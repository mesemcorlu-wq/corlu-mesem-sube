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ner\Desktop\ogrenci-sorgu-backend\"/>
    </mc:Choice>
  </mc:AlternateContent>
  <xr:revisionPtr revIDLastSave="0" documentId="13_ncr:1_{A2E1A12C-942B-4847-AF50-C096571D5919}" xr6:coauthVersionLast="47" xr6:coauthVersionMax="47" xr10:uidLastSave="{00000000-0000-0000-0000-000000000000}"/>
  <bookViews>
    <workbookView xWindow="-120" yWindow="-120" windowWidth="20640" windowHeight="11160" activeTab="1" xr2:uid="{5537CAC7-084E-4838-96FE-30F45C475769}"/>
  </bookViews>
  <sheets>
    <sheet name="RadGridExport - 2026-09-18T0901" sheetId="2" r:id="rId1"/>
    <sheet name="Sayfa1" sheetId="3" r:id="rId2"/>
    <sheet name="Sayfa2" sheetId="4" r:id="rId3"/>
  </sheets>
  <definedNames>
    <definedName name="_xlnm._FilterDatabase" localSheetId="1" hidden="1">Sayfa1!$A$1:$E$1363</definedName>
  </definedNames>
  <calcPr calcId="181029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2" i="3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4" i="2"/>
</calcChain>
</file>

<file path=xl/sharedStrings.xml><?xml version="1.0" encoding="utf-8"?>
<sst xmlns="http://schemas.openxmlformats.org/spreadsheetml/2006/main" count="10939" uniqueCount="3113">
  <si>
    <t>No</t>
  </si>
  <si>
    <t>Kimlik</t>
  </si>
  <si>
    <t>Ad</t>
  </si>
  <si>
    <t>Soyad</t>
  </si>
  <si>
    <t>Öğrenci</t>
  </si>
  <si>
    <t>Eğitim Türü</t>
  </si>
  <si>
    <t>Eğitim Programı</t>
  </si>
  <si>
    <t>Dal Adı</t>
  </si>
  <si>
    <t>Sınıf</t>
  </si>
  <si>
    <t>Şube</t>
  </si>
  <si>
    <t>Adı</t>
  </si>
  <si>
    <t>Umut KAYA</t>
  </si>
  <si>
    <t>Mesleki Eğitim + Diploma</t>
  </si>
  <si>
    <t>Asansör Sistemleri</t>
  </si>
  <si>
    <t>D</t>
  </si>
  <si>
    <t>Ahmet Emin KAYA</t>
  </si>
  <si>
    <t>Aşçılık</t>
  </si>
  <si>
    <t>G1</t>
  </si>
  <si>
    <t>Bahruz ALIZADA</t>
  </si>
  <si>
    <t>Elifnur ŞENGÜL</t>
  </si>
  <si>
    <t>Gül Deniz BİLECEN</t>
  </si>
  <si>
    <t>Levent Eymen BAŞKÖYLÜ</t>
  </si>
  <si>
    <t>Merve RENÇBER</t>
  </si>
  <si>
    <t>Nisanur SUSUR</t>
  </si>
  <si>
    <t>Ömer ÖZBEK</t>
  </si>
  <si>
    <t>Selman Musab YEŞİL</t>
  </si>
  <si>
    <t>Enes BİLİBEY</t>
  </si>
  <si>
    <t>Bilgisayar Teknik Servisi</t>
  </si>
  <si>
    <t>A2</t>
  </si>
  <si>
    <t>Yiğit Efe SEVİM</t>
  </si>
  <si>
    <t>Arda ÇAYLI</t>
  </si>
  <si>
    <t>Bilgisayarlı Makine İmalatı</t>
  </si>
  <si>
    <t>E1</t>
  </si>
  <si>
    <t>Arda TUNÇEL</t>
  </si>
  <si>
    <t>Berkant Can AKÇAY</t>
  </si>
  <si>
    <t>Bilal ERBULUN</t>
  </si>
  <si>
    <t>Eyüp YÜMÜN</t>
  </si>
  <si>
    <t>Furkan SEÇKİN</t>
  </si>
  <si>
    <t>Kubilay ÖZDİNÇ</t>
  </si>
  <si>
    <t>Mehmet ESEN</t>
  </si>
  <si>
    <t>Muhammed Yakup BARAN</t>
  </si>
  <si>
    <t>Muhammet ÇALKAN</t>
  </si>
  <si>
    <t>Muhammet Umut ERİK</t>
  </si>
  <si>
    <t>Musap ARSLAN</t>
  </si>
  <si>
    <t>Mustafa ÖNCEL</t>
  </si>
  <si>
    <t>Nurullah KAYA</t>
  </si>
  <si>
    <t>Ramazan ÜLEZ</t>
  </si>
  <si>
    <t>Serkan MEŞE</t>
  </si>
  <si>
    <t>Yusuf Ayaz ÇETİNKAYA</t>
  </si>
  <si>
    <t>Berk OK</t>
  </si>
  <si>
    <t>Bobinaj</t>
  </si>
  <si>
    <t>Erdem DEMİRBÜKEN</t>
  </si>
  <si>
    <t>Aleyna TERZİ</t>
  </si>
  <si>
    <t>Cilt Bakımı Ve Makyaj</t>
  </si>
  <si>
    <t>Esma DEMİR</t>
  </si>
  <si>
    <t>G</t>
  </si>
  <si>
    <t>Yiğithan KARAASLAN</t>
  </si>
  <si>
    <t>Dizel Motorları Yakıt Pompası Ve Enjektör Ayarcılığı</t>
  </si>
  <si>
    <t>B</t>
  </si>
  <si>
    <t>Ayaz BULUT</t>
  </si>
  <si>
    <t>Elektrik Tesisatları Ve Pano Montörlüğü</t>
  </si>
  <si>
    <t>Bedirhan Eren BÜLBÜL</t>
  </si>
  <si>
    <t>Berat Can PEKMEZCİ</t>
  </si>
  <si>
    <t>Doğukan KEMİKSİZ</t>
  </si>
  <si>
    <t>Efe Can KAYA</t>
  </si>
  <si>
    <t>Efe ÖZDİNÇ</t>
  </si>
  <si>
    <t>Enes TEKE</t>
  </si>
  <si>
    <t>İsmail EREN</t>
  </si>
  <si>
    <t>Melik Özkan FİDAN</t>
  </si>
  <si>
    <t>Mert Doruk DEMİR</t>
  </si>
  <si>
    <t>Mete TOPRAK</t>
  </si>
  <si>
    <t>Nur Muhammed ADIYAMAN</t>
  </si>
  <si>
    <t>Ömer Faruk ALABAŞ</t>
  </si>
  <si>
    <t>Ömer Faruk KAYİ</t>
  </si>
  <si>
    <t>Poyraz TEZCAN</t>
  </si>
  <si>
    <t>Tutku YILMAZLAR</t>
  </si>
  <si>
    <t>Yiğit Efe DİNLER</t>
  </si>
  <si>
    <t>Yusuf Eren GÜRCÜ</t>
  </si>
  <si>
    <t>Arda UZUN</t>
  </si>
  <si>
    <t>Elektrikli Ev Aletleri Teknik Servisi</t>
  </si>
  <si>
    <t>Hasan Erdoğan DEMİR</t>
  </si>
  <si>
    <t>Recep Emin GÜNEY</t>
  </si>
  <si>
    <t>Berat Muhammet ÖZCİRİT</t>
  </si>
  <si>
    <t>Endüstriyel Bakım Onarım</t>
  </si>
  <si>
    <t>Kayra Ege ÇOBANOĞLU</t>
  </si>
  <si>
    <t>Emircan FIRAT</t>
  </si>
  <si>
    <t>Endüstriyel Kontrol</t>
  </si>
  <si>
    <t>A3(KARMA)</t>
  </si>
  <si>
    <t>Ömer KARATEPE</t>
  </si>
  <si>
    <t>Yunus Emre BETİ</t>
  </si>
  <si>
    <t>Abdulkadir ELİK</t>
  </si>
  <si>
    <t>Erkek Kuaförlüğü</t>
  </si>
  <si>
    <t>E</t>
  </si>
  <si>
    <t>Ahmet Hakan DUMAN</t>
  </si>
  <si>
    <t>A</t>
  </si>
  <si>
    <t>Ali YARAR</t>
  </si>
  <si>
    <t>Alper ÇELİK</t>
  </si>
  <si>
    <t>Arda ALTUN</t>
  </si>
  <si>
    <t>Arda ÇAKIRKAYA</t>
  </si>
  <si>
    <t>Barış KÖMÜR</t>
  </si>
  <si>
    <t>Baver Aran ŞAHİN</t>
  </si>
  <si>
    <t>Berat KAYA</t>
  </si>
  <si>
    <t>Berat Osman YÜKSEKDAĞ</t>
  </si>
  <si>
    <t>Berkay KAHRAMAN</t>
  </si>
  <si>
    <t>Bilal AVCI</t>
  </si>
  <si>
    <t>Bilal KAÇAN</t>
  </si>
  <si>
    <t>Doğukan Burak ALPAY</t>
  </si>
  <si>
    <t>Efe Can ŞENEL</t>
  </si>
  <si>
    <t>Efe KUŞLU</t>
  </si>
  <si>
    <t>Efe TOPRAK</t>
  </si>
  <si>
    <t>Enes KURT</t>
  </si>
  <si>
    <t>Eren ÖZER</t>
  </si>
  <si>
    <t>Eyüp Taha ÖZLÜ</t>
  </si>
  <si>
    <t>Faruk TOSUN</t>
  </si>
  <si>
    <t>Fatih Kerem FERHAT</t>
  </si>
  <si>
    <t>Hasan ÇÜRÜK</t>
  </si>
  <si>
    <t>Kayra ŞEKER</t>
  </si>
  <si>
    <t>Kerem DEMİROĞLU</t>
  </si>
  <si>
    <t>Kuzey KAYLI</t>
  </si>
  <si>
    <t>Kuzey SORBİL</t>
  </si>
  <si>
    <t>Mehmet Can ÖZDEMİR</t>
  </si>
  <si>
    <t>Mehmet ÇINAR</t>
  </si>
  <si>
    <t>Mekin ALTAY</t>
  </si>
  <si>
    <t>Muhammed Baver EKİN</t>
  </si>
  <si>
    <t>Muhammet Eren DEMİREL</t>
  </si>
  <si>
    <t>Okay ÖNER</t>
  </si>
  <si>
    <t>Rüstem Efe GÜLAL</t>
  </si>
  <si>
    <t>Serkan GÜNÜLDES</t>
  </si>
  <si>
    <t>Şafak Ege TÜZÜN</t>
  </si>
  <si>
    <t>Umut Can ŞENGÜL</t>
  </si>
  <si>
    <t>Yağız CİVAN</t>
  </si>
  <si>
    <t>Yiğit ÜNAL</t>
  </si>
  <si>
    <t>Yunus EREN</t>
  </si>
  <si>
    <t>Yusuf Efe KARACA</t>
  </si>
  <si>
    <t>Yusuf GÖKÇELİ</t>
  </si>
  <si>
    <t>Yusuf İslam SARI</t>
  </si>
  <si>
    <t>Yusuf Reşit ÇAKAR</t>
  </si>
  <si>
    <t>Aybüke BAKİ</t>
  </si>
  <si>
    <t>Fotoğraf</t>
  </si>
  <si>
    <t>Pınar ÖZER</t>
  </si>
  <si>
    <t>İshak İsmail ÖZLÜ</t>
  </si>
  <si>
    <t>Gaz Tesisat Sistemleri</t>
  </si>
  <si>
    <t>D2</t>
  </si>
  <si>
    <t>İbrahim KAÇAR</t>
  </si>
  <si>
    <t>Güvenlik Sistemleri</t>
  </si>
  <si>
    <t>Muhammed Ferzende ÖZTÜRK</t>
  </si>
  <si>
    <t>Elif Beren SEKENDİZ</t>
  </si>
  <si>
    <t>Hazır Giyim Model Makineciliği</t>
  </si>
  <si>
    <t>Şevval NALCI</t>
  </si>
  <si>
    <t>Zülal AKYÜZ</t>
  </si>
  <si>
    <t>Ali Berkay BAYDAR</t>
  </si>
  <si>
    <t>Isıtma Ve Sıhhi Tesisat Sistemleri</t>
  </si>
  <si>
    <t>Beytülşefa DENİZ</t>
  </si>
  <si>
    <t>Muhammed Emin MANDACI</t>
  </si>
  <si>
    <t>Samet DENİZ</t>
  </si>
  <si>
    <t>Hasan Hüseyin YÜKSEL</t>
  </si>
  <si>
    <t>İç Mekân Ve Mobilya Teknolojisi</t>
  </si>
  <si>
    <t>D4</t>
  </si>
  <si>
    <t>Ahmet Taha YILDIZ</t>
  </si>
  <si>
    <t>İklimlendirme Sistemleri</t>
  </si>
  <si>
    <t>Mustafa Mete AKYILDIZ</t>
  </si>
  <si>
    <t>Hamza TEKÇE</t>
  </si>
  <si>
    <t>İş Makineleri</t>
  </si>
  <si>
    <t>Muhammed Furkan KARADAĞ</t>
  </si>
  <si>
    <t>C</t>
  </si>
  <si>
    <t>Mustafa Efe KARADEMİR</t>
  </si>
  <si>
    <t>F</t>
  </si>
  <si>
    <t>Ahmet Tuğra SEYHAN</t>
  </si>
  <si>
    <t>Kadın Kuaförlüğü</t>
  </si>
  <si>
    <t>Asel Bermal YILDIZ</t>
  </si>
  <si>
    <t>Aysu GÜNDÜZ</t>
  </si>
  <si>
    <t>Azra ERKAN</t>
  </si>
  <si>
    <t>Beren HEKİMOĞULLARI</t>
  </si>
  <si>
    <t>Berinnaz ONUK</t>
  </si>
  <si>
    <t>Berra Sude ÜLKER</t>
  </si>
  <si>
    <t>Buğlem ÇAKMAK</t>
  </si>
  <si>
    <t>Duygu KARAKAŞ</t>
  </si>
  <si>
    <t>Ecrin Naz KARABULUT</t>
  </si>
  <si>
    <t>Ela Gül ALTAN</t>
  </si>
  <si>
    <t>Elif GEZER</t>
  </si>
  <si>
    <t>Elif Naz AYYILDIZ</t>
  </si>
  <si>
    <t>Elvan SAMAR</t>
  </si>
  <si>
    <t>Esmanur SARSILMAZ</t>
  </si>
  <si>
    <t>Ezel Su SÖYLEMEZ</t>
  </si>
  <si>
    <t>Gülsüm DAĞIDIR</t>
  </si>
  <si>
    <t>Hakkı Soner TOPUZ</t>
  </si>
  <si>
    <t>Hira BEBE</t>
  </si>
  <si>
    <t>İlayda TARDU</t>
  </si>
  <si>
    <t>Medine TANÇ</t>
  </si>
  <si>
    <t>Medine YILDIRIM</t>
  </si>
  <si>
    <t>Miray KAHRAMAN</t>
  </si>
  <si>
    <t>Muhammed Kerim YAMAN</t>
  </si>
  <si>
    <t>Nisa Nur BAYRAKTAR</t>
  </si>
  <si>
    <t>Nisa Nur GÖKKAYA</t>
  </si>
  <si>
    <t>Nisa TAŞTEKİN</t>
  </si>
  <si>
    <t>Serap ÖZ</t>
  </si>
  <si>
    <t>Sıla Naz AKYİĞİT</t>
  </si>
  <si>
    <t>Tuana ARAT</t>
  </si>
  <si>
    <t>Utku ESEN</t>
  </si>
  <si>
    <t>Ümran KARTAL</t>
  </si>
  <si>
    <t>Zeynep DEMİR</t>
  </si>
  <si>
    <t>Zeynep DÜLGAR</t>
  </si>
  <si>
    <t>Zeynep KOÇ</t>
  </si>
  <si>
    <t>Beyzanur ERGÜN</t>
  </si>
  <si>
    <t>Kadın Terziliği</t>
  </si>
  <si>
    <t>Mehmet KURT</t>
  </si>
  <si>
    <t>Kasaplık</t>
  </si>
  <si>
    <t>Muhammet Kadir PÜSKÜLLÜ</t>
  </si>
  <si>
    <t>Kaynakçılık</t>
  </si>
  <si>
    <t>D3</t>
  </si>
  <si>
    <t>Yusuf AVCI</t>
  </si>
  <si>
    <t>Emir ÇEVİK</t>
  </si>
  <si>
    <t>Makine Bakım Onarım</t>
  </si>
  <si>
    <t>Eren GAYRET</t>
  </si>
  <si>
    <t>Habib ÇOĞUN</t>
  </si>
  <si>
    <t>Muhammed Ensar DİŞCİ</t>
  </si>
  <si>
    <t>Metal Doğrama</t>
  </si>
  <si>
    <t>Ahmet Eyüp YALIM</t>
  </si>
  <si>
    <t>Muhasebe</t>
  </si>
  <si>
    <t>A1</t>
  </si>
  <si>
    <t>İlayda PALA</t>
  </si>
  <si>
    <t>Mesut YAMAN</t>
  </si>
  <si>
    <t>Nazlı PİYAL</t>
  </si>
  <si>
    <t>Kuzey METE</t>
  </si>
  <si>
    <t>Oto Döşemeciliği</t>
  </si>
  <si>
    <t>Azat ALTINDEN</t>
  </si>
  <si>
    <t>Otomotiv Boya</t>
  </si>
  <si>
    <t>Miraç Emre TAĞ</t>
  </si>
  <si>
    <t>Muhammed Ali SERTBEL</t>
  </si>
  <si>
    <t>Yusuf KOYUN</t>
  </si>
  <si>
    <t>Berat Rüzgar KİÇÇİ</t>
  </si>
  <si>
    <t>Otomotiv Elektrikçiliği</t>
  </si>
  <si>
    <t>Efehan ŞAHİN</t>
  </si>
  <si>
    <t>Fırat SUNAR</t>
  </si>
  <si>
    <t>Furkan SERİN</t>
  </si>
  <si>
    <t>Miraç TAŞKIN</t>
  </si>
  <si>
    <t>Özgür YILMAZ</t>
  </si>
  <si>
    <t>Selim ÇELİKER</t>
  </si>
  <si>
    <t>Yunus Emre GÜRCAN</t>
  </si>
  <si>
    <t>Abdulmütalip TUNCEL</t>
  </si>
  <si>
    <t>Otomotiv Elektromekanik</t>
  </si>
  <si>
    <t>Ahmet Faruk BAĞCIOĞLU</t>
  </si>
  <si>
    <t>Ahmet TATAK</t>
  </si>
  <si>
    <t>Ahmet YILMAZ</t>
  </si>
  <si>
    <t>Arazdurdy VELIYEV</t>
  </si>
  <si>
    <t>Arda ÖZDEMİR</t>
  </si>
  <si>
    <t>Atlas YILMAZ</t>
  </si>
  <si>
    <t>Batuhan YAŞA</t>
  </si>
  <si>
    <t>Berat AYDIN</t>
  </si>
  <si>
    <t>Berat ÇİFTÇİ</t>
  </si>
  <si>
    <t>Berat SAMAR</t>
  </si>
  <si>
    <t>Berat YAŞAR</t>
  </si>
  <si>
    <t>Bertuğ KOCAARSLAN</t>
  </si>
  <si>
    <t>Bilal APOHAN</t>
  </si>
  <si>
    <t>Bünyamin ÇANKAYA</t>
  </si>
  <si>
    <t>Can Ahmed ALİŞAN</t>
  </si>
  <si>
    <t>Çınar Arslan TOPALOĞLU</t>
  </si>
  <si>
    <t>Doğukan TÜRE</t>
  </si>
  <si>
    <t>Doğuş UÇARYILMAZ</t>
  </si>
  <si>
    <t>Emir UĞUR</t>
  </si>
  <si>
    <t>Emirhan AKKAYA</t>
  </si>
  <si>
    <t>Enes ÇATALKAYA</t>
  </si>
  <si>
    <t>Enes Kaan GEDİK</t>
  </si>
  <si>
    <t>Enis KORKUT</t>
  </si>
  <si>
    <t>Eray GÜNERİ</t>
  </si>
  <si>
    <t>Eyüp KAYA</t>
  </si>
  <si>
    <t>Eyüpcan ÇİFTÇİ</t>
  </si>
  <si>
    <t>Eyyüp ÇOBAN</t>
  </si>
  <si>
    <t>Feim AYBAN</t>
  </si>
  <si>
    <t>Fırat GEÇER</t>
  </si>
  <si>
    <t>Hamza ŞENGÜL</t>
  </si>
  <si>
    <t>Hamza TUNCEL</t>
  </si>
  <si>
    <t>Hasan GÜNEL</t>
  </si>
  <si>
    <t>İbrahim AKTÜRK</t>
  </si>
  <si>
    <t>İbrahim TÜRKDOĞAN</t>
  </si>
  <si>
    <t>Kamil Can ŞEN</t>
  </si>
  <si>
    <t>Mehmet ASLAN</t>
  </si>
  <si>
    <t>Mehmet Sami ÇAĞLAR</t>
  </si>
  <si>
    <t>Mehmet SÖYLEMEZ</t>
  </si>
  <si>
    <t>Mert DİKMEN</t>
  </si>
  <si>
    <t>Metin ŞAHİN</t>
  </si>
  <si>
    <t>Muhammed AKPINAR</t>
  </si>
  <si>
    <t>Muhammed Ali ÖZGÜVEN</t>
  </si>
  <si>
    <t>Muhammed AYDIN</t>
  </si>
  <si>
    <t>Muhammed Üveys EŞUT</t>
  </si>
  <si>
    <t>Muhammet Ali TUNÇ</t>
  </si>
  <si>
    <t>Muhammet Emir ATAY</t>
  </si>
  <si>
    <t>Mustafa ÇİNAR</t>
  </si>
  <si>
    <t>Nur Muhammed BAYCUR</t>
  </si>
  <si>
    <t>Nurullah DENİZ</t>
  </si>
  <si>
    <t>Poyraz ALPEREN</t>
  </si>
  <si>
    <t>Serhat GEÇER</t>
  </si>
  <si>
    <t>Tarık DOĞAN</t>
  </si>
  <si>
    <t>Yakup Buğra BALAKÇI</t>
  </si>
  <si>
    <t>Yasin KARABUT</t>
  </si>
  <si>
    <t>Yiğit ÖZDEN</t>
  </si>
  <si>
    <t>Yiğitcan ÇEKİÇ</t>
  </si>
  <si>
    <t>Yunus ATLI</t>
  </si>
  <si>
    <t>Yusuf DEMİR</t>
  </si>
  <si>
    <t>Yusuf Emir KURNAZ</t>
  </si>
  <si>
    <t>Yusuf GÖK</t>
  </si>
  <si>
    <t>Zeki KARAKELLE</t>
  </si>
  <si>
    <t>Zeynel Tibet YOLCU</t>
  </si>
  <si>
    <t>Arda Kaan KURTULUŞ</t>
  </si>
  <si>
    <t>Otomotiv Gövde</t>
  </si>
  <si>
    <t>Aziz Berzan OGUR</t>
  </si>
  <si>
    <t>Çınar GÜLLER</t>
  </si>
  <si>
    <t>Eren KARA</t>
  </si>
  <si>
    <t>Muhammet Ali AYDIN</t>
  </si>
  <si>
    <t>Salih ORAL</t>
  </si>
  <si>
    <t>Sertaç Emir GÜVEN</t>
  </si>
  <si>
    <t>Yağız Efe DEMİRCİ</t>
  </si>
  <si>
    <t>Yunus Emre KAYA</t>
  </si>
  <si>
    <t>Adem AKBABA</t>
  </si>
  <si>
    <t>Otomotiv Mekanikerliği</t>
  </si>
  <si>
    <t>Berkay ÇÜRÜKOĞLU</t>
  </si>
  <si>
    <t>Burak YILDIZ</t>
  </si>
  <si>
    <t>Bünyamin Talha ÖRSEL</t>
  </si>
  <si>
    <t>Canberk KAVAK</t>
  </si>
  <si>
    <t>Devran BEKDAŞ</t>
  </si>
  <si>
    <t>Doruk BAKRAÇ</t>
  </si>
  <si>
    <t>Doruk KAYNA</t>
  </si>
  <si>
    <t>Emirhan OCAK</t>
  </si>
  <si>
    <t>Enes İLHAN</t>
  </si>
  <si>
    <t>Ferhat KOYUN</t>
  </si>
  <si>
    <t>Fırat DOĞAN</t>
  </si>
  <si>
    <t>Göktürk KAHRAMAN</t>
  </si>
  <si>
    <t>Hamza GÜNEY</t>
  </si>
  <si>
    <t>Hüseyin Efe AKINCI</t>
  </si>
  <si>
    <t>Kenan EGE</t>
  </si>
  <si>
    <t>Kerem Efe KARAGÖZ</t>
  </si>
  <si>
    <t>Kuzey Can ERKILIÇ</t>
  </si>
  <si>
    <t>Mehmet Reya DENİZ</t>
  </si>
  <si>
    <t>Mert KADIOĞLU</t>
  </si>
  <si>
    <t>Mustafa Berk GENÇOĞLU</t>
  </si>
  <si>
    <t>Özgür ÖZKARAMAN</t>
  </si>
  <si>
    <t>Semih GÖBEKLİ</t>
  </si>
  <si>
    <t>Taha TOZUN</t>
  </si>
  <si>
    <t>Yakup KAÇAR</t>
  </si>
  <si>
    <t>Yakup ÖZCAN</t>
  </si>
  <si>
    <t>Yiğitcan CİVİRCİ</t>
  </si>
  <si>
    <t>Yusuf KABAY</t>
  </si>
  <si>
    <t>Yusuf ÖZSARI</t>
  </si>
  <si>
    <t>Yusuf Sami TORUN</t>
  </si>
  <si>
    <t>Enes Malik TOPCU</t>
  </si>
  <si>
    <t>Otomotiv Motor Yenileştirmeciliği</t>
  </si>
  <si>
    <t>Muhammed ALAKAZ</t>
  </si>
  <si>
    <t>Emirhan ÇOLAKER</t>
  </si>
  <si>
    <t>Ön Düzen Ayarcılığı Ve Lastikçilik</t>
  </si>
  <si>
    <t>Emrah DAĞBAŞI</t>
  </si>
  <si>
    <t>Fatih GÜNER</t>
  </si>
  <si>
    <t>Umut AYDIN</t>
  </si>
  <si>
    <t>Yakup ATABEK</t>
  </si>
  <si>
    <t>Edanur KELEŞ</t>
  </si>
  <si>
    <t>Pasta Ve Tatlı Yapımı</t>
  </si>
  <si>
    <t>Esilasu KOZAN</t>
  </si>
  <si>
    <t>Melisa DÜNDAR</t>
  </si>
  <si>
    <t>Muhammet KURU</t>
  </si>
  <si>
    <t>Rumeysa ŞAHİN</t>
  </si>
  <si>
    <t>Battal HAMİTOĞLU</t>
  </si>
  <si>
    <t>Vitrin Kuyumculuğu</t>
  </si>
  <si>
    <t>Hamza TOPÇU</t>
  </si>
  <si>
    <t>Ahşap Doğrama Teknolojisi</t>
  </si>
  <si>
    <t>D1</t>
  </si>
  <si>
    <t>Muhammet Duran AKBULUT</t>
  </si>
  <si>
    <t>Yunus Emre SEVİNÇ</t>
  </si>
  <si>
    <t>Alper AYGIN</t>
  </si>
  <si>
    <t>Berat TAŞKIN</t>
  </si>
  <si>
    <t>Beytullah ZENBİLLİ</t>
  </si>
  <si>
    <t>Efe Can KALINLAR</t>
  </si>
  <si>
    <t>Emir DEMİRKAN</t>
  </si>
  <si>
    <t>Ömer VARLI</t>
  </si>
  <si>
    <t>Seyfullah Kasım VAROL</t>
  </si>
  <si>
    <t>Ayaz Ali SÖZEN</t>
  </si>
  <si>
    <t>M</t>
  </si>
  <si>
    <t>Can AKGÜN</t>
  </si>
  <si>
    <t>Efenuh KÖSEOĞLU</t>
  </si>
  <si>
    <t>Emir ÇELİK</t>
  </si>
  <si>
    <t>Habibe BAYKARA</t>
  </si>
  <si>
    <t>Hanzade KERİMOĞLU</t>
  </si>
  <si>
    <t>Havva KARAŞAHİN</t>
  </si>
  <si>
    <t>Ledeyna ÇATALBAŞ</t>
  </si>
  <si>
    <t>Mahmut KARATAŞ</t>
  </si>
  <si>
    <t>Muhammed Abdülhamid TANIK</t>
  </si>
  <si>
    <t>Muhammed Emin GÖKÇELİ</t>
  </si>
  <si>
    <t>Nisanur ANNAÇ</t>
  </si>
  <si>
    <t>Okan ÖZGÖR</t>
  </si>
  <si>
    <t>Ömer Faruk OCAK</t>
  </si>
  <si>
    <t>Samet Efe YILMAZ</t>
  </si>
  <si>
    <t>Seyfi OĞUZ</t>
  </si>
  <si>
    <t>Sinan GUBAT</t>
  </si>
  <si>
    <t>Tuğba CANPOLAT</t>
  </si>
  <si>
    <t>Yağmur GÜZELGÜL</t>
  </si>
  <si>
    <t>Yiğit GADİŞ</t>
  </si>
  <si>
    <t>Önder DOĞRU</t>
  </si>
  <si>
    <t>Ayakkabı Üretimi</t>
  </si>
  <si>
    <t>Abdülkerim AKIN</t>
  </si>
  <si>
    <t>Arslan Fatih YOĞURTÇU</t>
  </si>
  <si>
    <t>Belinay Havva TAŞPINAR</t>
  </si>
  <si>
    <t>Beren TÜRKOĞLU</t>
  </si>
  <si>
    <t>Furkan YÜCEMAN</t>
  </si>
  <si>
    <t>Ali Enes KAZIK</t>
  </si>
  <si>
    <t>L</t>
  </si>
  <si>
    <t>Arda GÖKDEMİR</t>
  </si>
  <si>
    <t>Bedirhan SOYLU</t>
  </si>
  <si>
    <t>Berat Kaan KURTULDU</t>
  </si>
  <si>
    <t>Ensar DEDE</t>
  </si>
  <si>
    <t>Eray BATTAL</t>
  </si>
  <si>
    <t>Eren Deniz DİNÇ</t>
  </si>
  <si>
    <t>Halil İbrahim KARA</t>
  </si>
  <si>
    <t>Mert GÜREL</t>
  </si>
  <si>
    <t>Muhammet KAÇAR</t>
  </si>
  <si>
    <t>Rezak Çınar DENİZ</t>
  </si>
  <si>
    <t>Serkan ÇETİNKAYA</t>
  </si>
  <si>
    <t>Yakup ÇAMCI</t>
  </si>
  <si>
    <t>Yakup KAYA</t>
  </si>
  <si>
    <t>Yiğit AKGÜL</t>
  </si>
  <si>
    <t>Berat BOYRAZ</t>
  </si>
  <si>
    <t>Eren TOKCAN</t>
  </si>
  <si>
    <t>Harun ÇAKIR</t>
  </si>
  <si>
    <t>Hüsnü MERÇ</t>
  </si>
  <si>
    <t>İbrahim KILIÇ</t>
  </si>
  <si>
    <t>İzzet Buğra AKAY</t>
  </si>
  <si>
    <t>Mikail Mustafa DERİN</t>
  </si>
  <si>
    <t>Mustafa KURT</t>
  </si>
  <si>
    <t>Yaver ERBULUN</t>
  </si>
  <si>
    <t>Arzu TOK</t>
  </si>
  <si>
    <t>Dilara NAYCI</t>
  </si>
  <si>
    <t>Doğa DURAK</t>
  </si>
  <si>
    <t>Ela MALKOÇ</t>
  </si>
  <si>
    <t>Elif Minel BERÇİN</t>
  </si>
  <si>
    <t>Ferah ELNASEN</t>
  </si>
  <si>
    <t>Zeynep Ilgın AKPOLAT</t>
  </si>
  <si>
    <t>Berkay TAŞKIN</t>
  </si>
  <si>
    <t>K</t>
  </si>
  <si>
    <t>İbrahim ZENGİN</t>
  </si>
  <si>
    <t>Özkan ÖZKAN</t>
  </si>
  <si>
    <t>Polat DÜZENLİ</t>
  </si>
  <si>
    <t>H</t>
  </si>
  <si>
    <t>Ahmet Can KÖLEMENOĞLU</t>
  </si>
  <si>
    <t>Ahmetcan EROL</t>
  </si>
  <si>
    <t>Ali Fırat ATLI</t>
  </si>
  <si>
    <t>Aslan AĞRAŞ</t>
  </si>
  <si>
    <t>Bekir KAYAHAN</t>
  </si>
  <si>
    <t>Burak ÇETİNKAYA</t>
  </si>
  <si>
    <t>Ege Doruk CANFER</t>
  </si>
  <si>
    <t>Emirhan ARTAN</t>
  </si>
  <si>
    <t>Emirhan İZSİZ</t>
  </si>
  <si>
    <t>Emirhan MEMİŞ</t>
  </si>
  <si>
    <t>Emirhan VERİM</t>
  </si>
  <si>
    <t>Enver Efe KARATAŞ</t>
  </si>
  <si>
    <t>Erdem Utku OĞUZ</t>
  </si>
  <si>
    <t>Ertuğrul ÇATALKAYA</t>
  </si>
  <si>
    <t>Eyüp KARATAŞ</t>
  </si>
  <si>
    <t>Gökay DEMİR</t>
  </si>
  <si>
    <t>Hüseyin Kerem KARAKAYA</t>
  </si>
  <si>
    <t>Levent ÖZER</t>
  </si>
  <si>
    <t>Muhammed Emir ALKANAT</t>
  </si>
  <si>
    <t>Muhammet Emir BUĞU</t>
  </si>
  <si>
    <t>Musa EREN</t>
  </si>
  <si>
    <t>Mustafa KELEŞ</t>
  </si>
  <si>
    <t>Ömer Rafet COŞKUN</t>
  </si>
  <si>
    <t>Resul ÖZTÜRK</t>
  </si>
  <si>
    <t>Rıdvan TEMEL</t>
  </si>
  <si>
    <t>Sabri Enes KARATAŞ</t>
  </si>
  <si>
    <t>Serhat YUCA</t>
  </si>
  <si>
    <t>Veysi AKTEKİN</t>
  </si>
  <si>
    <t>Yemlihan Berken ABDUKAYA</t>
  </si>
  <si>
    <t>Yusuf Ali BALKAYA</t>
  </si>
  <si>
    <t>Alparslan BARAN</t>
  </si>
  <si>
    <t>Baran ÇETİN</t>
  </si>
  <si>
    <t>Ege MANAVOĞLU</t>
  </si>
  <si>
    <t>Kayra Berke AKINCI</t>
  </si>
  <si>
    <t>Kerem KAMAR</t>
  </si>
  <si>
    <t>Kerimcan AÇIKGÖZ</t>
  </si>
  <si>
    <t>Mustafa Bekir AKAR</t>
  </si>
  <si>
    <t>Mustafa Efe ÇETİZ</t>
  </si>
  <si>
    <t>Ogün SAĞDIÇ</t>
  </si>
  <si>
    <t>Olgun Can YILMAZ</t>
  </si>
  <si>
    <t>Yusuf Salih ATMAN</t>
  </si>
  <si>
    <t>Ata Can SILDIR</t>
  </si>
  <si>
    <t>Göktuğ Zülkar ZÜLKEROĞLU</t>
  </si>
  <si>
    <t>Bedirhan BAKAR</t>
  </si>
  <si>
    <t>Endüstriyel Kalıp</t>
  </si>
  <si>
    <t>Ali TAŞGIN</t>
  </si>
  <si>
    <t>E2</t>
  </si>
  <si>
    <t>Muhammet Mustafa BAŞ</t>
  </si>
  <si>
    <t>Abdülbaki ARSLAN</t>
  </si>
  <si>
    <t>Abdüssamed ÇUKADAR</t>
  </si>
  <si>
    <t>Alperen TAKIM</t>
  </si>
  <si>
    <t>Arda YILMAZ</t>
  </si>
  <si>
    <t>Azad AYNA</t>
  </si>
  <si>
    <t>Azat Ensar KORDAĞLI</t>
  </si>
  <si>
    <t>Barış AKGÜN</t>
  </si>
  <si>
    <t>Barış Özgür SEVGİOĞLU</t>
  </si>
  <si>
    <t>Batın Mert GÜNDOĞDU</t>
  </si>
  <si>
    <t>Batuhan TEKİN</t>
  </si>
  <si>
    <t>Berat YAMAN</t>
  </si>
  <si>
    <t>Bilal KAYA</t>
  </si>
  <si>
    <t>Bilal TAHTALI</t>
  </si>
  <si>
    <t>Bünyamin ÇOLAK</t>
  </si>
  <si>
    <t>Celil ÖZKAN</t>
  </si>
  <si>
    <t>Cihangir BULUR</t>
  </si>
  <si>
    <t>Devrim TAŞ</t>
  </si>
  <si>
    <t>Durdu Eren ŞAHİN</t>
  </si>
  <si>
    <t>Efe GENÇ</t>
  </si>
  <si>
    <t>Ege KARAÇOBAN</t>
  </si>
  <si>
    <t>Emir YADIŞ</t>
  </si>
  <si>
    <t>Emirhan AKCAL</t>
  </si>
  <si>
    <t>Emirhan GÜNGÖR</t>
  </si>
  <si>
    <t>Eren Can AKKAYA</t>
  </si>
  <si>
    <t>Eser YENİYILDIZ</t>
  </si>
  <si>
    <t>Fatih ÇETİNKAYA</t>
  </si>
  <si>
    <t>Göktuğ Okan GİZİR</t>
  </si>
  <si>
    <t>Görkem Yiğit YALDIZ</t>
  </si>
  <si>
    <t>Halis YILMAZ</t>
  </si>
  <si>
    <t>Harun DOĞRU</t>
  </si>
  <si>
    <t>Hüseyin Berk KORKMAZ</t>
  </si>
  <si>
    <t>İdris Efe TORUN</t>
  </si>
  <si>
    <t>Kaan UZUN</t>
  </si>
  <si>
    <t>Muhammed Orhan KAYMAK</t>
  </si>
  <si>
    <t>Muhammet Alperen SÜRBAHANLI</t>
  </si>
  <si>
    <t>Mustafa KARATAŞ</t>
  </si>
  <si>
    <t>Mustafa SADE</t>
  </si>
  <si>
    <t>Nurullah CAZIR</t>
  </si>
  <si>
    <t>Ozan AKDOĞAN</t>
  </si>
  <si>
    <t>Özer DEMİR</t>
  </si>
  <si>
    <t>Ramazan Talha MUSLU</t>
  </si>
  <si>
    <t>Samet ÇELİK</t>
  </si>
  <si>
    <t>Selami AKBIYIK</t>
  </si>
  <si>
    <t>Serhat ÖRS</t>
  </si>
  <si>
    <t>Sinan DAĞCI</t>
  </si>
  <si>
    <t>Soykan KARADENİZ</t>
  </si>
  <si>
    <t>Taner LAÇIN</t>
  </si>
  <si>
    <t>Utku Miraç AKÇA</t>
  </si>
  <si>
    <t>Utku SARIKAYA</t>
  </si>
  <si>
    <t>Yiğit Efe TUFAN</t>
  </si>
  <si>
    <t>Yiğit Kaan ÇANDAR</t>
  </si>
  <si>
    <t>Yiğit ŞAHİN</t>
  </si>
  <si>
    <t>Yunus Emre TEKİN</t>
  </si>
  <si>
    <t>Yunus Emre UÇAK</t>
  </si>
  <si>
    <t>Yusuf Ziya AKÇİL</t>
  </si>
  <si>
    <t>Yüksel ET</t>
  </si>
  <si>
    <t>İlker SEÇGİN</t>
  </si>
  <si>
    <t>İpek YILDIZ</t>
  </si>
  <si>
    <t>Meryem EŞLİK</t>
  </si>
  <si>
    <t>Polat GÜNDÜZ</t>
  </si>
  <si>
    <t>Sümeyye UZUN</t>
  </si>
  <si>
    <t>Yaren AKÇA</t>
  </si>
  <si>
    <t>Yiğit PEKMEZ</t>
  </si>
  <si>
    <t>Görüntü Ve Ses Sistemleri</t>
  </si>
  <si>
    <t>Beytullah AYKUT</t>
  </si>
  <si>
    <t>Erdem ÖGEDAY</t>
  </si>
  <si>
    <t>Hamza EKİN</t>
  </si>
  <si>
    <t>Grafik</t>
  </si>
  <si>
    <t>Murat KAÇMAZ</t>
  </si>
  <si>
    <t>Haberleşme Sistemleri</t>
  </si>
  <si>
    <t>Abdulrezak AKTEKİN</t>
  </si>
  <si>
    <t>L1</t>
  </si>
  <si>
    <t>Ahmet ÇAKIRKAYA</t>
  </si>
  <si>
    <t>Ali Talha ASLAN</t>
  </si>
  <si>
    <t>Ebubekir EROL</t>
  </si>
  <si>
    <t>Eren DEMİR</t>
  </si>
  <si>
    <t>Fehim ŞAŞMAZ</t>
  </si>
  <si>
    <t>Ömer Fırat KIVRAK</t>
  </si>
  <si>
    <t>Özgür Can AFŞAR</t>
  </si>
  <si>
    <t>Şerzan Hasan EREN</t>
  </si>
  <si>
    <t>Umut KIRCA</t>
  </si>
  <si>
    <t>Yiğit YORULMAZ</t>
  </si>
  <si>
    <t>Yoldaş GEDİK</t>
  </si>
  <si>
    <t>Abdülsamet GÜLTEKİN</t>
  </si>
  <si>
    <t>Berat KARAMAN</t>
  </si>
  <si>
    <t>Muhammed Ali İZSİZ</t>
  </si>
  <si>
    <t>Gökhan BAYDAR</t>
  </si>
  <si>
    <t>Uğur UÇAR</t>
  </si>
  <si>
    <t>Ali Eren UYGUR</t>
  </si>
  <si>
    <t>Aras KEPEKLİ</t>
  </si>
  <si>
    <t>Asya Melin TEKİNALP</t>
  </si>
  <si>
    <t>Aysun Ecrin BOZKURT</t>
  </si>
  <si>
    <t>Bahadır AKKUL</t>
  </si>
  <si>
    <t>Berra KOÇ</t>
  </si>
  <si>
    <t>Berru Hira KÖKSAL</t>
  </si>
  <si>
    <t>Cansu VURAL</t>
  </si>
  <si>
    <t>Cemile PEKTAŞ</t>
  </si>
  <si>
    <t>Duru KAYA</t>
  </si>
  <si>
    <t>Edam MUHARREM</t>
  </si>
  <si>
    <t>Elifnur PEKER</t>
  </si>
  <si>
    <t>Emine Berna TAŞ</t>
  </si>
  <si>
    <t>Emine KORKMAZ</t>
  </si>
  <si>
    <t>Eslem Nisa BAYCAN</t>
  </si>
  <si>
    <t>Eylem AYDOĞDU</t>
  </si>
  <si>
    <t>Eylül Esra NURDOĞAN</t>
  </si>
  <si>
    <t>Gizem ÖZTÜRK</t>
  </si>
  <si>
    <t>Gözde MANGIRCI</t>
  </si>
  <si>
    <t>Gül Suna BALCI</t>
  </si>
  <si>
    <t>Hacer KAYA</t>
  </si>
  <si>
    <t>Haktan AKKUŞ</t>
  </si>
  <si>
    <t>Havvanur BEDELOV</t>
  </si>
  <si>
    <t>Hira KILIÇ</t>
  </si>
  <si>
    <t>Hiranur SİRİ</t>
  </si>
  <si>
    <t>Hüseyin Kadir KARABULUT</t>
  </si>
  <si>
    <t>Irmak ERYILMAZ</t>
  </si>
  <si>
    <t>İlayda DEMİRÖZ</t>
  </si>
  <si>
    <t>İlke Ebrar ERGÜL</t>
  </si>
  <si>
    <t>Kardelen KARTUN</t>
  </si>
  <si>
    <t>Kübra SARISU</t>
  </si>
  <si>
    <t>Mehmet Ufuk KARAARSLAN</t>
  </si>
  <si>
    <t>Melisa KARABIYIK</t>
  </si>
  <si>
    <t>Merve ÜNLÜ</t>
  </si>
  <si>
    <t>Merve YILMAZ</t>
  </si>
  <si>
    <t>Muhammed Öner KAYA</t>
  </si>
  <si>
    <t>Nisa Nur BAYCAN</t>
  </si>
  <si>
    <t>Nisagül Şehri KALAYCI</t>
  </si>
  <si>
    <t>Nisanur ÇOLAK</t>
  </si>
  <si>
    <t>Pınar YENİYURT</t>
  </si>
  <si>
    <t>Ramis HACIOĞLU</t>
  </si>
  <si>
    <t>Sena ERDAL</t>
  </si>
  <si>
    <t>Sıla ÜNSAL</t>
  </si>
  <si>
    <t>Suden ERGİNSOY</t>
  </si>
  <si>
    <t>Sudenaz KAVAK</t>
  </si>
  <si>
    <t>Şevval AYBEK</t>
  </si>
  <si>
    <t>Tuğba HAN</t>
  </si>
  <si>
    <t>Yaprak Ahu AKIN</t>
  </si>
  <si>
    <t>Yıldız ÇEVİK</t>
  </si>
  <si>
    <t>Emir ERTÜRK</t>
  </si>
  <si>
    <t>C1</t>
  </si>
  <si>
    <t>Göktuğ ARICI</t>
  </si>
  <si>
    <t>Mustafa Efe MERAL</t>
  </si>
  <si>
    <t>Okan MEŞE</t>
  </si>
  <si>
    <t>Ataberk İLERİ</t>
  </si>
  <si>
    <t>Hasan Hüseyin KAYA</t>
  </si>
  <si>
    <t>Kasım ÇAKMAKÇI</t>
  </si>
  <si>
    <t>Ömer ŞİMŞEK</t>
  </si>
  <si>
    <t>Özgür ERGÜN</t>
  </si>
  <si>
    <t>Serdar TEKDOĞAN</t>
  </si>
  <si>
    <t>Yiğit KÜÇÜKBATUR</t>
  </si>
  <si>
    <t>Defne Ela VARLAR</t>
  </si>
  <si>
    <t>C2</t>
  </si>
  <si>
    <t>Melisa ARSLAN</t>
  </si>
  <si>
    <t>Muhammed Ali SARIBUĞA</t>
  </si>
  <si>
    <t>Ali Furkan LEVENT</t>
  </si>
  <si>
    <t>Aliyar YAVRUTÜRK</t>
  </si>
  <si>
    <t>İ</t>
  </si>
  <si>
    <t>Arda TOPÇU</t>
  </si>
  <si>
    <t>Bulut KARA</t>
  </si>
  <si>
    <t>Diyar Amed TOPRAK</t>
  </si>
  <si>
    <t>Kudret BAKADUR</t>
  </si>
  <si>
    <t>Salih SÖYÜNCÜ</t>
  </si>
  <si>
    <t>Tugay KARAMAN</t>
  </si>
  <si>
    <t>Yusuf ELNASEN</t>
  </si>
  <si>
    <t>Abdulbasit ELŞAVİ</t>
  </si>
  <si>
    <t>Abdulkerim GÜÇLÜGİL</t>
  </si>
  <si>
    <t>Bayram Ali TOPCU</t>
  </si>
  <si>
    <t>Emirhan DANACIOĞLU</t>
  </si>
  <si>
    <t>Eyüp KARTAL</t>
  </si>
  <si>
    <t>Mehmet Fatih GÜMÜŞ</t>
  </si>
  <si>
    <t>Volkan BOZOĞLU</t>
  </si>
  <si>
    <t>Yağız Kemal UĞUN</t>
  </si>
  <si>
    <t>Yusuf KÖYSÜ</t>
  </si>
  <si>
    <t>Abdulsamet TEMEL</t>
  </si>
  <si>
    <t>Abdurrahim KAYA</t>
  </si>
  <si>
    <t>Abdül Samet ZORAVALİ</t>
  </si>
  <si>
    <t>Ahmet YÜKSEL</t>
  </si>
  <si>
    <t>Akın AYAN</t>
  </si>
  <si>
    <t>Ali Haydar ALİBAY</t>
  </si>
  <si>
    <t>Ali Osman KARADENİZ</t>
  </si>
  <si>
    <t>Arda ÇELEBİ</t>
  </si>
  <si>
    <t>Arif Hasan KARAOĞLU</t>
  </si>
  <si>
    <t>Atakan SEVGİ</t>
  </si>
  <si>
    <t>Aytuğ ÇETİN</t>
  </si>
  <si>
    <t>Baran YILDIRIM</t>
  </si>
  <si>
    <t>Berat GÖKÇE</t>
  </si>
  <si>
    <t>Berat YEGİN</t>
  </si>
  <si>
    <t>Bünyamin YAĞIZ</t>
  </si>
  <si>
    <t>Çınar ŞAHİN</t>
  </si>
  <si>
    <t>Efe ARSLAN</t>
  </si>
  <si>
    <t>Efecan ERMİŞ</t>
  </si>
  <si>
    <t>Ege MUTLU</t>
  </si>
  <si>
    <t>Elyesa KILIÇ</t>
  </si>
  <si>
    <t>Emir Efe ERDOĞMUŞ</t>
  </si>
  <si>
    <t>Emir Nevzat ŞENKAN</t>
  </si>
  <si>
    <t>Enes TÜRKAY</t>
  </si>
  <si>
    <t>Eren AKBULUT</t>
  </si>
  <si>
    <t>Eren KÖYLÜ</t>
  </si>
  <si>
    <t>Eren ÖZTÜRK</t>
  </si>
  <si>
    <t>Fatih ÇAKIR</t>
  </si>
  <si>
    <t>Halil Burak KARA</t>
  </si>
  <si>
    <t>Hüsamettin KILIÇ</t>
  </si>
  <si>
    <t>Hüzeyfe GÖKKAYA</t>
  </si>
  <si>
    <t>İbrahim Halil SEZİKLİ</t>
  </si>
  <si>
    <t>İshak UĞUZ</t>
  </si>
  <si>
    <t>Kaan TEZEL</t>
  </si>
  <si>
    <t>Kaancan BAŞARAN</t>
  </si>
  <si>
    <t>Kadir YAVUZ</t>
  </si>
  <si>
    <t>Kenan KURT</t>
  </si>
  <si>
    <t>Kerem KUĞUMCU</t>
  </si>
  <si>
    <t>Kuzey BAYAR</t>
  </si>
  <si>
    <t>Mehmet Can ŞAYIP</t>
  </si>
  <si>
    <t>Mert Ali BAYLAN</t>
  </si>
  <si>
    <t>Mert TAŞKIN</t>
  </si>
  <si>
    <t>Metehan ÇİÇEK</t>
  </si>
  <si>
    <t>Muhammed Berat EŞUT</t>
  </si>
  <si>
    <t>Muhammed Emin BABAN</t>
  </si>
  <si>
    <t>Muhammed Sait KAYA</t>
  </si>
  <si>
    <t>Muhammed SIRÇANCI</t>
  </si>
  <si>
    <t>Muhammet Emin GÖREN</t>
  </si>
  <si>
    <t>Muhammet Hüseyin DEMİR</t>
  </si>
  <si>
    <t>Muhammet İNAN</t>
  </si>
  <si>
    <t>Muhammet Mustafa YILDIZ</t>
  </si>
  <si>
    <t>Muharrem TEKE</t>
  </si>
  <si>
    <t>Murat YOLDAŞ</t>
  </si>
  <si>
    <t>Mustafa Cesur NARİN</t>
  </si>
  <si>
    <t>Müslüm ÇOBAN</t>
  </si>
  <si>
    <t>Ömer ALTAY</t>
  </si>
  <si>
    <t>Ömer BENLİ</t>
  </si>
  <si>
    <t>Ömer Efe FİLİZ</t>
  </si>
  <si>
    <t>Ömer Kerem YAKIN</t>
  </si>
  <si>
    <t>N</t>
  </si>
  <si>
    <t>Ömer TAŞ</t>
  </si>
  <si>
    <t>Ömer TUNÇ</t>
  </si>
  <si>
    <t>Polat ÇINAR</t>
  </si>
  <si>
    <t>Poyraz Ali ÇAĞLAK</t>
  </si>
  <si>
    <t>Ramazan TAŞGIN</t>
  </si>
  <si>
    <t>Recep Tayyip KAYA</t>
  </si>
  <si>
    <t>Recep TÜRKKAN</t>
  </si>
  <si>
    <t>Rojhat GÜNGÜR</t>
  </si>
  <si>
    <t>Rüzgar ATAÇ</t>
  </si>
  <si>
    <t>Salih SAGIŞ</t>
  </si>
  <si>
    <t>Salih YILMAZ</t>
  </si>
  <si>
    <t>Samet BEYDOĞAN</t>
  </si>
  <si>
    <t>Sefa Eren CAN</t>
  </si>
  <si>
    <t>Süheyl TATAK</t>
  </si>
  <si>
    <t>Şenol EMEK</t>
  </si>
  <si>
    <t>Şiyar KARADAĞ</t>
  </si>
  <si>
    <t>Talha Ensar BOLAT</t>
  </si>
  <si>
    <t>Tunahan DİLEK</t>
  </si>
  <si>
    <t>Umut Arslan KAYALAR</t>
  </si>
  <si>
    <t>Utku KUŞKU</t>
  </si>
  <si>
    <t>Yağız Efe GÜNER</t>
  </si>
  <si>
    <t>Yasin CİSA</t>
  </si>
  <si>
    <t>Yasin ÇELİK</t>
  </si>
  <si>
    <t>Yasin EROL</t>
  </si>
  <si>
    <t>Yasin ESEN</t>
  </si>
  <si>
    <t>Yiğit GEMİCİ</t>
  </si>
  <si>
    <t>Yiğit GÜLEN</t>
  </si>
  <si>
    <t>Yiğit ÖVÜT</t>
  </si>
  <si>
    <t>Yunus Can ALTINTAŞ</t>
  </si>
  <si>
    <t>Yunus Emre GÜZELYURT</t>
  </si>
  <si>
    <t>Yunus Emre SAYGI</t>
  </si>
  <si>
    <t>Yusuf TOKUR</t>
  </si>
  <si>
    <t>Yusufcan CENGİZ</t>
  </si>
  <si>
    <t>Abdullah GÖK</t>
  </si>
  <si>
    <t>Ahmet Talha KARTAL</t>
  </si>
  <si>
    <t>Arda SERTTAŞ</t>
  </si>
  <si>
    <t>Berat BABACAN</t>
  </si>
  <si>
    <t>Berkay TATAR</t>
  </si>
  <si>
    <t>Berke SOVAN</t>
  </si>
  <si>
    <t>Cesim ERGÜN</t>
  </si>
  <si>
    <t>Egehan DOĞRU</t>
  </si>
  <si>
    <t>Emir ALTUNOLUK</t>
  </si>
  <si>
    <t>Emre SAKA</t>
  </si>
  <si>
    <t>İsmail Efe YENİYURT</t>
  </si>
  <si>
    <t>Kuzey BOSTANCI</t>
  </si>
  <si>
    <t>Mert Can ÖZTATAR</t>
  </si>
  <si>
    <t>Mikail Yalçın KAYA</t>
  </si>
  <si>
    <t>Muhammed Can ALPASLAN</t>
  </si>
  <si>
    <t>Muhammed Can OLGUN</t>
  </si>
  <si>
    <t>Mustafa Emir AKYILDIZ</t>
  </si>
  <si>
    <t>Serkan GÜNDOĞDU</t>
  </si>
  <si>
    <t>Seyit Ahmet EROL</t>
  </si>
  <si>
    <t>Umut KARTAL</t>
  </si>
  <si>
    <t>Yiğit Can ERMİŞ</t>
  </si>
  <si>
    <t>Yusuf KURU</t>
  </si>
  <si>
    <t>Ahmet Hasan KAYA</t>
  </si>
  <si>
    <t>Ali ÖZDEMİR</t>
  </si>
  <si>
    <t>Barış Enes HORZUM</t>
  </si>
  <si>
    <t>Batuhan SEVGİ</t>
  </si>
  <si>
    <t>Berat AKKUL</t>
  </si>
  <si>
    <t>Berat ATEŞ</t>
  </si>
  <si>
    <t>Berat BİLGİN</t>
  </si>
  <si>
    <t>Berat KABA</t>
  </si>
  <si>
    <t>Berke BASAR</t>
  </si>
  <si>
    <t>Bilal Can KARASAKAL</t>
  </si>
  <si>
    <t>Bünyamin BAŞ</t>
  </si>
  <si>
    <t>Cesur ARMUT</t>
  </si>
  <si>
    <t>Demir Kaan DUMAN</t>
  </si>
  <si>
    <t>Efe DÖNMEZ</t>
  </si>
  <si>
    <t>Efe GÖKBULUT</t>
  </si>
  <si>
    <t>Efe ÖZCAN</t>
  </si>
  <si>
    <t>Efe TAŞTEKİN</t>
  </si>
  <si>
    <t>Ege ALGUR</t>
  </si>
  <si>
    <t>Ege EROL</t>
  </si>
  <si>
    <t>Emir GÜREŞİR</t>
  </si>
  <si>
    <t>Enes AKAY</t>
  </si>
  <si>
    <t>Ezel Berk ŞEN</t>
  </si>
  <si>
    <t>Faik KAYA</t>
  </si>
  <si>
    <t>Furkan TEKİN</t>
  </si>
  <si>
    <t>Hakan ARIK</t>
  </si>
  <si>
    <t>Haluk Melik ÇAKAN</t>
  </si>
  <si>
    <t>Hasan AKDENİZ</t>
  </si>
  <si>
    <t>Hüseyin Kayra ÖZER</t>
  </si>
  <si>
    <t>İbrahim Emre ASLAN</t>
  </si>
  <si>
    <t>İlker Kağan ÖZER</t>
  </si>
  <si>
    <t>Kaan DAL</t>
  </si>
  <si>
    <t>Kaan İNAN</t>
  </si>
  <si>
    <t>Kemal ATAK</t>
  </si>
  <si>
    <t>Lokman Efe ŞENGÜL</t>
  </si>
  <si>
    <t>Mahmut ÇETİNKAYA</t>
  </si>
  <si>
    <t>Mehmet Ali GÜNEY</t>
  </si>
  <si>
    <t>Mehmet Emir SOYLU</t>
  </si>
  <si>
    <t>Muarrem BAYDAR</t>
  </si>
  <si>
    <t>Muhammed Emin ZORAVALİ</t>
  </si>
  <si>
    <t>Muhammed Furkan KÖSE</t>
  </si>
  <si>
    <t>Muhammed Mustafa GILIÇ</t>
  </si>
  <si>
    <t>Muhammed Yasir GÖK</t>
  </si>
  <si>
    <t>Muhammet Can IŞIK</t>
  </si>
  <si>
    <t>Muhammet Efe ÖZÇELİK</t>
  </si>
  <si>
    <t>Muhammet Hasan ALTIN</t>
  </si>
  <si>
    <t>Murat Efe KOÇDAĞ</t>
  </si>
  <si>
    <t>Mustafa Eren ŞİMŞEK</t>
  </si>
  <si>
    <t>Onur ÖNCEL</t>
  </si>
  <si>
    <t>Poyraz DEMİR</t>
  </si>
  <si>
    <t>Ramazan GELİYOR</t>
  </si>
  <si>
    <t>Rasim KİLİTÇİ</t>
  </si>
  <si>
    <t>Remzi GÖKÇE</t>
  </si>
  <si>
    <t>Said Mansur ELBAHADIR</t>
  </si>
  <si>
    <t>Serhat ADIGÜZEL</t>
  </si>
  <si>
    <t>Taha GÖZCÜ</t>
  </si>
  <si>
    <t>Talha Muhammet ÇAPCI</t>
  </si>
  <si>
    <t>Tuğrul SEVGİ</t>
  </si>
  <si>
    <t>Tunahan EKER</t>
  </si>
  <si>
    <t>Uğur KUŞCU</t>
  </si>
  <si>
    <t>Umut YILDIZLI</t>
  </si>
  <si>
    <t>Umutcan AYAZ</t>
  </si>
  <si>
    <t>Utku SANCAR</t>
  </si>
  <si>
    <t>Veysel ALİŞAN</t>
  </si>
  <si>
    <t>Veysel GÖKÇE</t>
  </si>
  <si>
    <t>Veysel YILDIRIM</t>
  </si>
  <si>
    <t>Yiğit Can SEVİM</t>
  </si>
  <si>
    <t>Yiğit KAHRAMAN</t>
  </si>
  <si>
    <t>Yiğit PEKMEZCİ</t>
  </si>
  <si>
    <t>Yunus Emre YILDIZ</t>
  </si>
  <si>
    <t>Yusuf Yiğit ARPACI</t>
  </si>
  <si>
    <t>Berat YAVUZ</t>
  </si>
  <si>
    <t>Ümit YILMAZ</t>
  </si>
  <si>
    <t>Abdulservet ŞAHİN</t>
  </si>
  <si>
    <t>Ali Can YANIKCI</t>
  </si>
  <si>
    <t>Ata İŞLER</t>
  </si>
  <si>
    <t>Batuhan ÖZBURUN</t>
  </si>
  <si>
    <t>Bedirhan KOÇ</t>
  </si>
  <si>
    <t>Beytullah AKYÜZ</t>
  </si>
  <si>
    <t>Bilal ÖZBEK</t>
  </si>
  <si>
    <t>Burak ACAR</t>
  </si>
  <si>
    <t>Enver ÜNAL</t>
  </si>
  <si>
    <t>Mahmut YILDIRIM</t>
  </si>
  <si>
    <t>Mert Can TEKDOĞAN</t>
  </si>
  <si>
    <t>Muhammed Eren KAR</t>
  </si>
  <si>
    <t>Muhammed KOÇ</t>
  </si>
  <si>
    <t>Ramazan GÜNEŞ</t>
  </si>
  <si>
    <t>Samet BEBE</t>
  </si>
  <si>
    <t>Sefa YILMAZ</t>
  </si>
  <si>
    <t>Soner ÖZMENTEŞ</t>
  </si>
  <si>
    <t>Yakup Mehmet YÜKSEL</t>
  </si>
  <si>
    <t>Yusuf ÇİFTÇİ</t>
  </si>
  <si>
    <t>Yusuf Eren ÇUKADAR</t>
  </si>
  <si>
    <t>Yusuf Ziya BAYRAM</t>
  </si>
  <si>
    <t>Ahmed GÜNEŞ</t>
  </si>
  <si>
    <t>Avesta Damla OKŞAK</t>
  </si>
  <si>
    <t>Beyzanur KARATAŞ</t>
  </si>
  <si>
    <t>Ceren Betül DURMUŞ</t>
  </si>
  <si>
    <t>Ceylin ÖKSÜZ</t>
  </si>
  <si>
    <t>Delil SÖYLEMEZ</t>
  </si>
  <si>
    <t>Ecrin Naz KARAMAN</t>
  </si>
  <si>
    <t>Enes ERDEM</t>
  </si>
  <si>
    <t>Kardelen İLTER</t>
  </si>
  <si>
    <t>Nesrin KINIK</t>
  </si>
  <si>
    <t>Poyraz COŞKUN</t>
  </si>
  <si>
    <t>Sahra Saliha SARIGÜL</t>
  </si>
  <si>
    <t>Sümeyye SIRDAŞ</t>
  </si>
  <si>
    <t>Şüheda GÖNÜL</t>
  </si>
  <si>
    <t>Yasin Erdinç AKINCI</t>
  </si>
  <si>
    <t>Yeşim BALANDI</t>
  </si>
  <si>
    <t>Yunus ALADAĞ</t>
  </si>
  <si>
    <t>Yusuf Sami ÖZEL</t>
  </si>
  <si>
    <t>Zeynep AYNA</t>
  </si>
  <si>
    <t>Mustafa TAŞHAN</t>
  </si>
  <si>
    <t>Sac İşleri</t>
  </si>
  <si>
    <t>Muhammed Muaz ÇAVUŞOĞLU</t>
  </si>
  <si>
    <t>Satış Elemanlığı</t>
  </si>
  <si>
    <t>A3</t>
  </si>
  <si>
    <t>Enes NAZLIGÜL</t>
  </si>
  <si>
    <t>Soğutma Sistemleri</t>
  </si>
  <si>
    <t>Alperen ÖZDEMİR</t>
  </si>
  <si>
    <t>Yazılım Geliştirme</t>
  </si>
  <si>
    <t>Ömer Fatih CENGİZ</t>
  </si>
  <si>
    <t>Ercan YILMAZ</t>
  </si>
  <si>
    <t>K7</t>
  </si>
  <si>
    <t>Kemal Tuna BAŞARAN</t>
  </si>
  <si>
    <t>Mesleki Eğitim</t>
  </si>
  <si>
    <t>K9</t>
  </si>
  <si>
    <t>Asya YAMAN</t>
  </si>
  <si>
    <t>Azra SÖYLEMEZ</t>
  </si>
  <si>
    <t>Bulut DEMİR</t>
  </si>
  <si>
    <t>Elif BAGIRAN</t>
  </si>
  <si>
    <t>Emirhan BAYDEDE</t>
  </si>
  <si>
    <t>Fatmanur AYDIN</t>
  </si>
  <si>
    <t>Huriye ŞEYHAHMED</t>
  </si>
  <si>
    <t>Muhammet Batuhan AYDIN</t>
  </si>
  <si>
    <t>Musa TÜRKAY</t>
  </si>
  <si>
    <t>Mustafa Efe DEMİR</t>
  </si>
  <si>
    <t>Necati Levent HEBEBCİ</t>
  </si>
  <si>
    <t>Oğuzhan SAPİL</t>
  </si>
  <si>
    <t>Sinem BİLECEN</t>
  </si>
  <si>
    <t>Şeref DÜZENLİ</t>
  </si>
  <si>
    <t>Taha ÇAKMAK</t>
  </si>
  <si>
    <t>Yiğit AŞCI</t>
  </si>
  <si>
    <t>Fatih BUDAK</t>
  </si>
  <si>
    <t>K4</t>
  </si>
  <si>
    <t>Yunus Emre KURT</t>
  </si>
  <si>
    <t>Yusuf Aybars ÇELİK</t>
  </si>
  <si>
    <t>Arda DİŞLİ</t>
  </si>
  <si>
    <t>Barış ATTİLLA</t>
  </si>
  <si>
    <t>Batuhan GÜNDOĞAN</t>
  </si>
  <si>
    <t>Doğukan ÖZMEN</t>
  </si>
  <si>
    <t>Efe ÇAMURCU</t>
  </si>
  <si>
    <t>Kaan TELLİ</t>
  </si>
  <si>
    <t>Kemal ÇETİNKAYA</t>
  </si>
  <si>
    <t>Muhammed Mümtaz AŞIROĞLU</t>
  </si>
  <si>
    <t>Mustafa AKBABA</t>
  </si>
  <si>
    <t>Oğuz ÇOKDER</t>
  </si>
  <si>
    <t>Ömer Emin Can ATEŞ</t>
  </si>
  <si>
    <t>Serhat ÇETİNKAYA</t>
  </si>
  <si>
    <t>Yasin TATAR</t>
  </si>
  <si>
    <t>Caner ÇOMAK</t>
  </si>
  <si>
    <t>Emirhan DEĞERLİ</t>
  </si>
  <si>
    <t>Samet TONBUL</t>
  </si>
  <si>
    <t>Yasin ÖZKAYA</t>
  </si>
  <si>
    <t>Çisem Berna ÖNDARÖ</t>
  </si>
  <si>
    <t>Elif MACAR</t>
  </si>
  <si>
    <t>Fatma Zehra DEMİREL</t>
  </si>
  <si>
    <t>Nisanur ATICI</t>
  </si>
  <si>
    <t>Nisanur KOCAR</t>
  </si>
  <si>
    <t>Yağmur ÇETİNKAYA</t>
  </si>
  <si>
    <t>Yasmin YALIM</t>
  </si>
  <si>
    <t>Yunus Emre KORCAN</t>
  </si>
  <si>
    <t>Yusuf Ali DAĞ</t>
  </si>
  <si>
    <t>Alperen ÜNLÜ</t>
  </si>
  <si>
    <t>Arda HAS</t>
  </si>
  <si>
    <t>K8</t>
  </si>
  <si>
    <t>Barış OK</t>
  </si>
  <si>
    <t>Batuhan ÇALIŞKAN</t>
  </si>
  <si>
    <t>Egemen BİRYAN</t>
  </si>
  <si>
    <t>Emirhan ELİTAŞ</t>
  </si>
  <si>
    <t>Enes KARAMAN</t>
  </si>
  <si>
    <t>Ercan EREN</t>
  </si>
  <si>
    <t>Hüseyin YAMAN</t>
  </si>
  <si>
    <t>Kadim AĞRAŞ</t>
  </si>
  <si>
    <t>Mehmet UZUN</t>
  </si>
  <si>
    <t>Mert ÇETİNKAYA</t>
  </si>
  <si>
    <t>Mert DERENBİK</t>
  </si>
  <si>
    <t>Samet İNCİ</t>
  </si>
  <si>
    <t>Şaban ÜNLÜ</t>
  </si>
  <si>
    <t>Taha DEMİR</t>
  </si>
  <si>
    <t>Yakup EREN</t>
  </si>
  <si>
    <t>Yiğit KIRCAOĞLU</t>
  </si>
  <si>
    <t>Yunus Bilal AKYÜZ</t>
  </si>
  <si>
    <t>Yunus Emre KALAYCI</t>
  </si>
  <si>
    <t>Baran AKINCI</t>
  </si>
  <si>
    <t>Metin Can TAŞKIRAN</t>
  </si>
  <si>
    <t>Uğur GÜLER</t>
  </si>
  <si>
    <t>Eyüp TEKTAŞ</t>
  </si>
  <si>
    <t>C3</t>
  </si>
  <si>
    <t>Taha KARAER</t>
  </si>
  <si>
    <t>Endüstriyel Reklamcı (Tabelacı)</t>
  </si>
  <si>
    <t>K12</t>
  </si>
  <si>
    <t>Ahmet AYDOĞAN</t>
  </si>
  <si>
    <t>Arda ÖZAYDIN</t>
  </si>
  <si>
    <t>Arda YÜKSEL</t>
  </si>
  <si>
    <t>Batuhan ÖZEN</t>
  </si>
  <si>
    <t>Berat Kaan TATAR</t>
  </si>
  <si>
    <t>Berat ÖZLÜ</t>
  </si>
  <si>
    <t>Berkay ÇAMCI</t>
  </si>
  <si>
    <t>Efe DOĞAN</t>
  </si>
  <si>
    <t>Emre TÜRK</t>
  </si>
  <si>
    <t>Erdem Eren BİLİCİ</t>
  </si>
  <si>
    <t>Eren GÜRAY</t>
  </si>
  <si>
    <t>Fırat YARIM</t>
  </si>
  <si>
    <t>Fuat Efe EĞRİYOL</t>
  </si>
  <si>
    <t>Hacı Mustafa TEKNE</t>
  </si>
  <si>
    <t>Hüseyin Erdem AKSEL</t>
  </si>
  <si>
    <t>İbrahim DEMİR</t>
  </si>
  <si>
    <t>İlker KARAASLAN</t>
  </si>
  <si>
    <t>İsmail DEMİR</t>
  </si>
  <si>
    <t>İsmet SİVRİ</t>
  </si>
  <si>
    <t>Kadir TEKDOĞAN</t>
  </si>
  <si>
    <t>Mehmet Ali ERYİĞİT</t>
  </si>
  <si>
    <t>Mehmet Emre YEŞİLYURT</t>
  </si>
  <si>
    <t>Melih SARAÇLI</t>
  </si>
  <si>
    <t>Mert TÜRK</t>
  </si>
  <si>
    <t>Miraç AKYÜZ</t>
  </si>
  <si>
    <t>Muhammed CANLI</t>
  </si>
  <si>
    <t>Mustafa YANIKCI</t>
  </si>
  <si>
    <t>Nurettin ÇOLAK</t>
  </si>
  <si>
    <t>Umut Arda ÇELİK</t>
  </si>
  <si>
    <t>Umut ŞAHİN</t>
  </si>
  <si>
    <t>Umutcan YURTSEVEN</t>
  </si>
  <si>
    <t>Veysel Aras SAVCI</t>
  </si>
  <si>
    <t>Volkan Ahmet KILIÇ</t>
  </si>
  <si>
    <t>Yasin BOZKURT</t>
  </si>
  <si>
    <t>Yasin GÜNDÜZ</t>
  </si>
  <si>
    <t>Ysmayyl MYRATNAZAROV</t>
  </si>
  <si>
    <t>Yunus Emre KAHRAMAN</t>
  </si>
  <si>
    <t>Enes BARAN</t>
  </si>
  <si>
    <t>Fırıncılık</t>
  </si>
  <si>
    <t>H2</t>
  </si>
  <si>
    <t>Enes Buğra CEYLAN</t>
  </si>
  <si>
    <t>Ferhat YILDIRIM</t>
  </si>
  <si>
    <t>Göknur ATLI</t>
  </si>
  <si>
    <t>Hasan KARTAL</t>
  </si>
  <si>
    <t>Gaz Yakıcı Cihazlar Ve Servis</t>
  </si>
  <si>
    <t>İ4</t>
  </si>
  <si>
    <t>Mehmet Uğur DÖNER</t>
  </si>
  <si>
    <t>Murat KARTAL</t>
  </si>
  <si>
    <t>Tarık ÇELİK</t>
  </si>
  <si>
    <t>Erdoğan YEŞİLDAĞ</t>
  </si>
  <si>
    <t>K10</t>
  </si>
  <si>
    <t>Mustafa Burak TARHAN</t>
  </si>
  <si>
    <t>Yakup DÖMBEK</t>
  </si>
  <si>
    <t>Yakup Efe DOĞMUŞ</t>
  </si>
  <si>
    <t>Berat CİVELEK</t>
  </si>
  <si>
    <t>C4</t>
  </si>
  <si>
    <t>Yiğit Can KAÇMAZ</t>
  </si>
  <si>
    <t>Yusuf BAYRAM</t>
  </si>
  <si>
    <t>Delil EREN</t>
  </si>
  <si>
    <t>İ3</t>
  </si>
  <si>
    <t>Muhammet EREN</t>
  </si>
  <si>
    <t>Sidar EREN</t>
  </si>
  <si>
    <t>Vedat AKTEKİN</t>
  </si>
  <si>
    <t>Yusuf AKTEKİN</t>
  </si>
  <si>
    <t>Emre ZENBİLLİ</t>
  </si>
  <si>
    <t>K6</t>
  </si>
  <si>
    <t>Eymen ÖNAL</t>
  </si>
  <si>
    <t>Muhammet Emin KAYA</t>
  </si>
  <si>
    <t>Burak YAVUZ</t>
  </si>
  <si>
    <t>İ5</t>
  </si>
  <si>
    <t>Demir YILDIRAN</t>
  </si>
  <si>
    <t>Emircan SAATCI</t>
  </si>
  <si>
    <t>F1</t>
  </si>
  <si>
    <t>Hikmet Eren SERTOĞLU</t>
  </si>
  <si>
    <t>İbrahim Ersan TOZUN</t>
  </si>
  <si>
    <t>Aysu DEMİRKIR</t>
  </si>
  <si>
    <t>Azra ÇAĞAN</t>
  </si>
  <si>
    <t>Azra KENT</t>
  </si>
  <si>
    <t>Berfin ERYİĞİT</t>
  </si>
  <si>
    <t>Beril ŞENTÜRK</t>
  </si>
  <si>
    <t>Beyzanur MERĞEN</t>
  </si>
  <si>
    <t>Burak BALKIZ</t>
  </si>
  <si>
    <t>Damla CANER</t>
  </si>
  <si>
    <t>Ecenur ÇAMCI</t>
  </si>
  <si>
    <t>Ecrin Havin AKDOĞAN</t>
  </si>
  <si>
    <t>Ecrin KALAY</t>
  </si>
  <si>
    <t>Ecrin Kamile AĞIR</t>
  </si>
  <si>
    <t>Efe Tuğra URAL</t>
  </si>
  <si>
    <t>Ela Seray SEVİM</t>
  </si>
  <si>
    <t>Emine DENİZ</t>
  </si>
  <si>
    <t>Esra TÜRKDOĞAN</t>
  </si>
  <si>
    <t>Eylül Yasmin TEMİZKAN</t>
  </si>
  <si>
    <t>Fatma TOSUN</t>
  </si>
  <si>
    <t>Gizem YURTSEVER</t>
  </si>
  <si>
    <t>Halil Suat PABUÇÇU</t>
  </si>
  <si>
    <t>Hüseyin Eymen DUMANOVA</t>
  </si>
  <si>
    <t>İrem YURTSEVER</t>
  </si>
  <si>
    <t>İremnaz DEMİRDÖVEN</t>
  </si>
  <si>
    <t>Mediha Naz ALTUNAY</t>
  </si>
  <si>
    <t>Mert KIZILKAYA</t>
  </si>
  <si>
    <t>Merve GÜNEŞ</t>
  </si>
  <si>
    <t>Rengin ÇAKIN</t>
  </si>
  <si>
    <t>Rojbin ÇELEBİ</t>
  </si>
  <si>
    <t>Rosida DEMİRHAN</t>
  </si>
  <si>
    <t>Selen YALÇIN</t>
  </si>
  <si>
    <t>Selin BOZKURT</t>
  </si>
  <si>
    <t>Songül GÜRCÜ</t>
  </si>
  <si>
    <t>Sudenaz TANIK</t>
  </si>
  <si>
    <t>Sumaya OLIMOVA</t>
  </si>
  <si>
    <t>Tunç KESER</t>
  </si>
  <si>
    <t>Umut GÜRCÜ</t>
  </si>
  <si>
    <t>Yaren KARADENİZ</t>
  </si>
  <si>
    <t>Yiğit Efe KÖKSAL</t>
  </si>
  <si>
    <t>Yunus Emre ÇİÇEK</t>
  </si>
  <si>
    <t>Yunus Emre GÜNDÜZ</t>
  </si>
  <si>
    <t>Zerrin ÖZER</t>
  </si>
  <si>
    <t>Alper BALCI</t>
  </si>
  <si>
    <t>Caner KUYU</t>
  </si>
  <si>
    <t>Faruk KOÇYİĞİT</t>
  </si>
  <si>
    <t>Mert ATTİLLA</t>
  </si>
  <si>
    <t>Muhammet Ali KAYA</t>
  </si>
  <si>
    <t>Yunus ULUSOY</t>
  </si>
  <si>
    <t>Enes SAMANCI</t>
  </si>
  <si>
    <t>İ1</t>
  </si>
  <si>
    <t>Kaan Deniz İLGÜN</t>
  </si>
  <si>
    <t>Oğuzhan Kayra DEMİR</t>
  </si>
  <si>
    <t>Ömer Sait TOPCU</t>
  </si>
  <si>
    <t>Mermer İşleme</t>
  </si>
  <si>
    <t>İ2</t>
  </si>
  <si>
    <t>Efe BABUR</t>
  </si>
  <si>
    <t>K2</t>
  </si>
  <si>
    <t>Açelya BAYEZİT</t>
  </si>
  <si>
    <t>K3</t>
  </si>
  <si>
    <t>Duru KÜÇÜK</t>
  </si>
  <si>
    <t>Sevim Yaren TEZCAN</t>
  </si>
  <si>
    <t>Ahmet Serkan ÖZYÜRÜK</t>
  </si>
  <si>
    <t>Baran AKÇAKOCA</t>
  </si>
  <si>
    <t>İlyas AYDIN</t>
  </si>
  <si>
    <t>Jiyan AY</t>
  </si>
  <si>
    <t>Mehmet EKİCİ</t>
  </si>
  <si>
    <t>Ahmet Can YILMAZ</t>
  </si>
  <si>
    <t>Ayberk YAŞLI</t>
  </si>
  <si>
    <t>Berat Emin BİNGÖL</t>
  </si>
  <si>
    <t>Hüseyin KUŞCU</t>
  </si>
  <si>
    <t>Olcay PAKSOY</t>
  </si>
  <si>
    <t>Ramazan ATICI</t>
  </si>
  <si>
    <t>Abdulkadir YAĞIZ</t>
  </si>
  <si>
    <t>Abdullah Samet BEKDAŞ</t>
  </si>
  <si>
    <t>Adnan GÖKÇEBAŞ</t>
  </si>
  <si>
    <t>Ahmet KELEŞ</t>
  </si>
  <si>
    <t>Ahmet Şafak KANAT</t>
  </si>
  <si>
    <t>Ahmet YİĞİT</t>
  </si>
  <si>
    <t>Ahmetcan BAYAR</t>
  </si>
  <si>
    <t>Ali Erkut GÜZEL</t>
  </si>
  <si>
    <t>Alperen YAMAN</t>
  </si>
  <si>
    <t>Azat ÇETİNKAYA</t>
  </si>
  <si>
    <t>Baki GÜNDOĞDU</t>
  </si>
  <si>
    <t>Baran BAYTAR</t>
  </si>
  <si>
    <t>Batın KILIÇ</t>
  </si>
  <si>
    <t>Bedirhan HACIOĞLU</t>
  </si>
  <si>
    <t>Bedirhan KARAKAYA</t>
  </si>
  <si>
    <t>Bedirhan SEVGİ</t>
  </si>
  <si>
    <t>Bıhışt BOZKURT</t>
  </si>
  <si>
    <t>Bilal Rojhat AKİNCİ</t>
  </si>
  <si>
    <t>Bora ÖZ</t>
  </si>
  <si>
    <t>Burak KUBUR</t>
  </si>
  <si>
    <t>Bünyamin BÜTÜN</t>
  </si>
  <si>
    <t>Cem GÜLEÇ</t>
  </si>
  <si>
    <t>Çağrı SAKİNAK</t>
  </si>
  <si>
    <t>Devran Ege ELİBOL</t>
  </si>
  <si>
    <t>Devrim DÜNDAR</t>
  </si>
  <si>
    <t>Duhan ÜNLÜTÜRK</t>
  </si>
  <si>
    <t>Egemen ERSEVEN</t>
  </si>
  <si>
    <t>Emirhan AKAY</t>
  </si>
  <si>
    <t>Emirhan ATAŞ</t>
  </si>
  <si>
    <t>Emre DEMİR</t>
  </si>
  <si>
    <t>Emre KIRCA</t>
  </si>
  <si>
    <t>Enes TEKDEMİR</t>
  </si>
  <si>
    <t>Furkan Emin ÖZDERE</t>
  </si>
  <si>
    <t>Harun KAYALIK</t>
  </si>
  <si>
    <t>Hasan ASLAN</t>
  </si>
  <si>
    <t>Hasan Efe CİCİOĞLU</t>
  </si>
  <si>
    <t>İsmail Buğra YÜREKLİ</t>
  </si>
  <si>
    <t>Kaan Altay ÇOLAK</t>
  </si>
  <si>
    <t>Kaan ENGES</t>
  </si>
  <si>
    <t>Kadir GERÇEKER</t>
  </si>
  <si>
    <t>Kadir YILDIZ</t>
  </si>
  <si>
    <t>Mehmet Arda ELÇİ</t>
  </si>
  <si>
    <t>Metin Eren DEMİRCİ</t>
  </si>
  <si>
    <t>Muhammed Yasin PEKTEZEL</t>
  </si>
  <si>
    <t>Murat Can AKYILDIZ</t>
  </si>
  <si>
    <t>Mustafa Samet KOCA</t>
  </si>
  <si>
    <t>Muzaffer KELEŞ</t>
  </si>
  <si>
    <t>Osman Kaan KÜSKÜ</t>
  </si>
  <si>
    <t>Ömer Faruk ALTUN</t>
  </si>
  <si>
    <t>Özbek SARIALTUN</t>
  </si>
  <si>
    <t>Polat BOYRAZ</t>
  </si>
  <si>
    <t>Samet AYDIN</t>
  </si>
  <si>
    <t>Sami YAMAN</t>
  </si>
  <si>
    <t>Selman KELLE</t>
  </si>
  <si>
    <t>Vecih HARZUM</t>
  </si>
  <si>
    <t>Veysel Üveys YILDIZ</t>
  </si>
  <si>
    <t>Yağız Efe AYDEMİR</t>
  </si>
  <si>
    <t>Yiğit HAZER</t>
  </si>
  <si>
    <t>Yiğit ÖZGÜN</t>
  </si>
  <si>
    <t>Yusuf Erdem DELER</t>
  </si>
  <si>
    <t>Yusuf Eren İNAN</t>
  </si>
  <si>
    <t>Yusuf ÖZBEK</t>
  </si>
  <si>
    <t>H1</t>
  </si>
  <si>
    <t>Arda NARŞAP</t>
  </si>
  <si>
    <t>Eray BACİN</t>
  </si>
  <si>
    <t>Kadir ÇEKİM</t>
  </si>
  <si>
    <t>Kamil UĞUR</t>
  </si>
  <si>
    <t>Muhammed ELŞAVİ</t>
  </si>
  <si>
    <t>Muhammet Mustafa KÜÇÜK</t>
  </si>
  <si>
    <t>Mustafa Mert USKAN</t>
  </si>
  <si>
    <t>Umran ELŞAVİ</t>
  </si>
  <si>
    <t>Umut MARAL</t>
  </si>
  <si>
    <t>Veysel TAŞKIN</t>
  </si>
  <si>
    <t>Yağız DEMİR</t>
  </si>
  <si>
    <t>Yasin ALPDEGER</t>
  </si>
  <si>
    <t>Abdulsamed ERDEM</t>
  </si>
  <si>
    <t>Ahmed İSMAİL</t>
  </si>
  <si>
    <t>Ahmet Hilmi VURAL</t>
  </si>
  <si>
    <t>Ahmet Yasin SEL</t>
  </si>
  <si>
    <t>Alperen ÖZDEN</t>
  </si>
  <si>
    <t>Altay YALÇINKAYA</t>
  </si>
  <si>
    <t>Aykut BOYRAZ</t>
  </si>
  <si>
    <t>Aytuğ MÜCEHEZ</t>
  </si>
  <si>
    <t>Baran TURAN</t>
  </si>
  <si>
    <t>Batuhan ÖZMEN</t>
  </si>
  <si>
    <t>Bayram İYİGÖR</t>
  </si>
  <si>
    <t>Berat Efe GÜNEŞ</t>
  </si>
  <si>
    <t>Burak YENİLMEZ</t>
  </si>
  <si>
    <t>Burhan GENEŞ</t>
  </si>
  <si>
    <t>Cihan UĞUROĞLU</t>
  </si>
  <si>
    <t>Efecan HOŞAFCI</t>
  </si>
  <si>
    <t>Emirhan Bilal KALFA</t>
  </si>
  <si>
    <t>Emre ÇOBAN</t>
  </si>
  <si>
    <t>Eyüb Cihan ATEŞ</t>
  </si>
  <si>
    <t>Fırat Efe MUMCU</t>
  </si>
  <si>
    <t>Furkan ARSLAN</t>
  </si>
  <si>
    <t>Furkan KURT</t>
  </si>
  <si>
    <t>Göktuğ YÖRÜBAŞ</t>
  </si>
  <si>
    <t>Hasan BİNGÖL</t>
  </si>
  <si>
    <t>Hasan Sefa KARACA</t>
  </si>
  <si>
    <t>Hüseyin SOSYAL</t>
  </si>
  <si>
    <t>İbrahim Davut KURT</t>
  </si>
  <si>
    <t>İsa KIRMIZIYILDIZ</t>
  </si>
  <si>
    <t>İsmail UĞUZ</t>
  </si>
  <si>
    <t>Kerem EPÇAÇAN</t>
  </si>
  <si>
    <t>Melih ÇAPİN</t>
  </si>
  <si>
    <t>Mert BEŞİKÇİ</t>
  </si>
  <si>
    <t>Mert Veli TONBUL</t>
  </si>
  <si>
    <t>Muhammed İZSİZ</t>
  </si>
  <si>
    <t>Mustafa DEMİR</t>
  </si>
  <si>
    <t>Mustafa Yavuz BALCI</t>
  </si>
  <si>
    <t>Nurullah YILMAZ</t>
  </si>
  <si>
    <t>Oruç Can KARABOĞA</t>
  </si>
  <si>
    <t>Poyraz AYDINLI</t>
  </si>
  <si>
    <t>Rüzgar ATEŞSAÇAN</t>
  </si>
  <si>
    <t>Samed Alperen SELVİ</t>
  </si>
  <si>
    <t>Samet ÇOLAKER</t>
  </si>
  <si>
    <t>Samet Ege ÇELİKLER</t>
  </si>
  <si>
    <t>Siraç Emin GÜVEN</t>
  </si>
  <si>
    <t>Süleyman GÜNEŞ</t>
  </si>
  <si>
    <t>Şervan ERBULUN</t>
  </si>
  <si>
    <t>Toprak KOÇDAĞ</t>
  </si>
  <si>
    <t>Ufuk ELÇİ</t>
  </si>
  <si>
    <t>Utku Yiğit ÖZLÜ</t>
  </si>
  <si>
    <t>Ümit KAYA</t>
  </si>
  <si>
    <t>Yunus Emre BÜLBÜLER</t>
  </si>
  <si>
    <t>Burak TOPÇU</t>
  </si>
  <si>
    <t>G2</t>
  </si>
  <si>
    <t>Efe Hamza BAKACAK</t>
  </si>
  <si>
    <t>Yiğit ŞENER</t>
  </si>
  <si>
    <t>Ahmet Efe ÇOBANOĞLU</t>
  </si>
  <si>
    <t>F2</t>
  </si>
  <si>
    <t>Mehmet KARA</t>
  </si>
  <si>
    <t>Nadi Can BAKICI</t>
  </si>
  <si>
    <t>Okan ÖZDOĞAN</t>
  </si>
  <si>
    <t>Taha ÖZER</t>
  </si>
  <si>
    <t>Umut Baran AKIN</t>
  </si>
  <si>
    <t>Yiğit Ramazan OLUŞAN</t>
  </si>
  <si>
    <t>Eylül OKUR</t>
  </si>
  <si>
    <t>Furkan KINIK</t>
  </si>
  <si>
    <t>Hiranur ÇABEK</t>
  </si>
  <si>
    <t>Medine GEZER</t>
  </si>
  <si>
    <t>Melek ÇABEK</t>
  </si>
  <si>
    <t>Muhammed ARSLAN</t>
  </si>
  <si>
    <t>Nisa Nur AYDOĞAN</t>
  </si>
  <si>
    <t>Sude DEMİR</t>
  </si>
  <si>
    <t>Yağmur TEKİN</t>
  </si>
  <si>
    <t>Yunus Emre AFŞAR</t>
  </si>
  <si>
    <t>Yusuf ALADAĞ</t>
  </si>
  <si>
    <t>Ali GÜLTEKİN</t>
  </si>
  <si>
    <t>K1</t>
  </si>
  <si>
    <t>Eren HÜLÜR</t>
  </si>
  <si>
    <t>Hüseyin ÇOLAK</t>
  </si>
  <si>
    <t>Hikmet Anıl LAÇIN</t>
  </si>
  <si>
    <t>Yasin AKİCİ</t>
  </si>
  <si>
    <t>Hira Nur BAYGIN</t>
  </si>
  <si>
    <t>Sigortacılık</t>
  </si>
  <si>
    <t>Abdulkadir DEMİRCİ</t>
  </si>
  <si>
    <t>İ6</t>
  </si>
  <si>
    <t>Hamit HAMİTOĞLU</t>
  </si>
  <si>
    <t>K11</t>
  </si>
  <si>
    <t>Kaan DEMİRPERÇİN</t>
  </si>
  <si>
    <t>Altan Selim BAŞAR</t>
  </si>
  <si>
    <t>K5</t>
  </si>
  <si>
    <t>Ege ÇOBAN</t>
  </si>
  <si>
    <t>Kaan AKGÜN</t>
  </si>
  <si>
    <t>B2</t>
  </si>
  <si>
    <t>Muhammed Eren ATALAY</t>
  </si>
  <si>
    <t>Kadir EMİNOĞLU</t>
  </si>
  <si>
    <t>E4</t>
  </si>
  <si>
    <t>Muhammed MAVİŞ</t>
  </si>
  <si>
    <t>Nilay DEMİRAL</t>
  </si>
  <si>
    <t>Şevin Dar TÜRKAY</t>
  </si>
  <si>
    <t>Uğur SAMAR</t>
  </si>
  <si>
    <t>Yağmur ŞİRİN</t>
  </si>
  <si>
    <t>Can DEMİRKAYNAK</t>
  </si>
  <si>
    <t>Bilgisayar Destekli Makine Ressamlığı</t>
  </si>
  <si>
    <t>F5</t>
  </si>
  <si>
    <t>Yağız Efe ÖZMEN</t>
  </si>
  <si>
    <t>F6</t>
  </si>
  <si>
    <t>Adem Yakup ÖZDEMİR</t>
  </si>
  <si>
    <t>F3</t>
  </si>
  <si>
    <t>Ahmetcan CANTÜRK</t>
  </si>
  <si>
    <t>Berat BUL</t>
  </si>
  <si>
    <t>Davut AKTEKİN</t>
  </si>
  <si>
    <t>Hasan AKMAN</t>
  </si>
  <si>
    <t>Timuçin YEŞİLTEPE</t>
  </si>
  <si>
    <t>Ahmet Taha KOÇ</t>
  </si>
  <si>
    <t>Burhan Can YILMAZ</t>
  </si>
  <si>
    <t>Kemalettin KABAY</t>
  </si>
  <si>
    <t>Muhammed Emin DEMİREL</t>
  </si>
  <si>
    <t>Nurettin DAĞBAŞI</t>
  </si>
  <si>
    <t>Açelya Şule ERGENE</t>
  </si>
  <si>
    <t>Beyza ÇAKIR</t>
  </si>
  <si>
    <t>Kübra ÇELİK</t>
  </si>
  <si>
    <t>Naz KAYALAR</t>
  </si>
  <si>
    <t>Sıla Nazlı KARAMAN</t>
  </si>
  <si>
    <t>Yağmur Sude AYKUT</t>
  </si>
  <si>
    <t>Yaren ZEYBEKOĞLU</t>
  </si>
  <si>
    <t>Oğuzcan EKMEKCİ</t>
  </si>
  <si>
    <t>Abdullah UÇAN</t>
  </si>
  <si>
    <t>Alp DURMAZ</t>
  </si>
  <si>
    <t>Alperen ÇAVGA</t>
  </si>
  <si>
    <t>Arda BELLİ</t>
  </si>
  <si>
    <t>Arda TUNCA</t>
  </si>
  <si>
    <t>Çağrı TUĞLU</t>
  </si>
  <si>
    <t>Emir PINAR</t>
  </si>
  <si>
    <t>Habir OK</t>
  </si>
  <si>
    <t>İbrahim Efe KÖLEMEN</t>
  </si>
  <si>
    <t>Nurullah KÜL</t>
  </si>
  <si>
    <t>Sametcan BAYANDUR</t>
  </si>
  <si>
    <t>Uğur Efe DURDABAK</t>
  </si>
  <si>
    <t>Arda ÖREN</t>
  </si>
  <si>
    <t>Melih BEKDEMİR</t>
  </si>
  <si>
    <t>Eren BİLGİÇ</t>
  </si>
  <si>
    <t>Muhammet Taha ÇELİK</t>
  </si>
  <si>
    <t>Turgut TOPAL</t>
  </si>
  <si>
    <t>Abdullah IRMAK</t>
  </si>
  <si>
    <t>Arif KAPLAN</t>
  </si>
  <si>
    <t>Baran Efe BİTİRGİÇ</t>
  </si>
  <si>
    <t>Barış POLAT</t>
  </si>
  <si>
    <t>Berat TURAN</t>
  </si>
  <si>
    <t>Boran SAVAŞ</t>
  </si>
  <si>
    <t>Emir ŞENKAL</t>
  </si>
  <si>
    <t>Emrullah BİLECEN</t>
  </si>
  <si>
    <t>Eyüp YALIN</t>
  </si>
  <si>
    <t>Furkan ÖZER</t>
  </si>
  <si>
    <t>Hüseyin ÇOBAN</t>
  </si>
  <si>
    <t>Kayra KUĞUMCU</t>
  </si>
  <si>
    <t>Mert SUÇİN</t>
  </si>
  <si>
    <t>Muhammed Mustafa ALTUNTAŞ</t>
  </si>
  <si>
    <t>Muhammet Furkan AYDOĞAN</t>
  </si>
  <si>
    <t>Musa ÇETİN</t>
  </si>
  <si>
    <t>Osman KOCA</t>
  </si>
  <si>
    <t>Ömür OCAK</t>
  </si>
  <si>
    <t>Ramazan GÜRCÜ</t>
  </si>
  <si>
    <t>Recep Can TAYLAN</t>
  </si>
  <si>
    <t>Salih Can TOPAL</t>
  </si>
  <si>
    <t>Sedat İPEK</t>
  </si>
  <si>
    <t>Serkan CORUK</t>
  </si>
  <si>
    <t>Tayfun DEVELİ</t>
  </si>
  <si>
    <t>Veli Melih SAKA</t>
  </si>
  <si>
    <t>Yezen ABDULLAH</t>
  </si>
  <si>
    <t>Umut BORAL</t>
  </si>
  <si>
    <t>F8</t>
  </si>
  <si>
    <t>Bekir GÜLGEN</t>
  </si>
  <si>
    <t>Abdulkadir YAŞAR</t>
  </si>
  <si>
    <t>Fazıl ARSLAN</t>
  </si>
  <si>
    <t>F9</t>
  </si>
  <si>
    <t>Arda Kerem ERDEM</t>
  </si>
  <si>
    <t>Arif Buğra YALÇIN</t>
  </si>
  <si>
    <t>Batuhan ŞEN</t>
  </si>
  <si>
    <t>Berat USLUER</t>
  </si>
  <si>
    <t>Berk DEMİR</t>
  </si>
  <si>
    <t>Botan EREN</t>
  </si>
  <si>
    <t>Eyyüp Ensar KILIÇ</t>
  </si>
  <si>
    <t>İsa KIRLI</t>
  </si>
  <si>
    <t>Mert ÖZDEN</t>
  </si>
  <si>
    <t>Efe GÜÇLÜ</t>
  </si>
  <si>
    <t>B3</t>
  </si>
  <si>
    <t>Yusuf Can EZER</t>
  </si>
  <si>
    <t>Emirhan DİLEK</t>
  </si>
  <si>
    <t>Aynur Seda DERENBİK</t>
  </si>
  <si>
    <t>Berat AKTİKEN</t>
  </si>
  <si>
    <t>Berranur ÖZLÜ</t>
  </si>
  <si>
    <t>Duru TAŞCI</t>
  </si>
  <si>
    <t>Ecrin Nisa DENİZ</t>
  </si>
  <si>
    <t>Efe Can CANDAN</t>
  </si>
  <si>
    <t>Ege ÇELİK</t>
  </si>
  <si>
    <t>Elanur TUTAR</t>
  </si>
  <si>
    <t>Eren GÜLEN</t>
  </si>
  <si>
    <t>Esra SEÇGİN</t>
  </si>
  <si>
    <t>Eylül ELİEYİOĞLU</t>
  </si>
  <si>
    <t>Fadime DELİCE</t>
  </si>
  <si>
    <t>Hafize Nur TÜRKSOY</t>
  </si>
  <si>
    <t>Hasret UZUN</t>
  </si>
  <si>
    <t>Hatice AYDIN</t>
  </si>
  <si>
    <t>Hivvanur OCAKHAN</t>
  </si>
  <si>
    <t>Irmak ÖZER</t>
  </si>
  <si>
    <t>Minel ÇAĞLAR</t>
  </si>
  <si>
    <t>Nisa Nur CEYLAN</t>
  </si>
  <si>
    <t>Pınar GÖKSEL</t>
  </si>
  <si>
    <t>Sahabe Hazal ARSLAN</t>
  </si>
  <si>
    <t>Simge YAYIN</t>
  </si>
  <si>
    <t>Sude Naz FAZLIOĞLU</t>
  </si>
  <si>
    <t>Yaren ARSLAN</t>
  </si>
  <si>
    <t>Zeynep AKINCI</t>
  </si>
  <si>
    <t>F10</t>
  </si>
  <si>
    <t>Naz AKPOLAT</t>
  </si>
  <si>
    <t>Kantin İşletmeciliği</t>
  </si>
  <si>
    <t>F11</t>
  </si>
  <si>
    <t>Ali BARAN</t>
  </si>
  <si>
    <t>F4</t>
  </si>
  <si>
    <t>Berkcan ÇELİK</t>
  </si>
  <si>
    <t>Resulcan ONAY</t>
  </si>
  <si>
    <t>Burak YİĞİT</t>
  </si>
  <si>
    <t>Mobilya İskeleti Ve Döşemesi</t>
  </si>
  <si>
    <t>B4</t>
  </si>
  <si>
    <t>Yusuf AKGÜL</t>
  </si>
  <si>
    <t>F7</t>
  </si>
  <si>
    <t>Zubeyt SAPİL</t>
  </si>
  <si>
    <t>Furkan Enver KAYA</t>
  </si>
  <si>
    <t>Seyit Ömer TÜMER</t>
  </si>
  <si>
    <t>Tekin Tolga DENİZ</t>
  </si>
  <si>
    <t>Yakup SEÇMEN</t>
  </si>
  <si>
    <t>Anıl ARICAN</t>
  </si>
  <si>
    <t>Arda ELLER</t>
  </si>
  <si>
    <t>Batuhan Efe OZAN</t>
  </si>
  <si>
    <t>Bedirhan ARINÇ</t>
  </si>
  <si>
    <t>Berat YILDIZ</t>
  </si>
  <si>
    <t>Bilal Emre ÇAPRAZ</t>
  </si>
  <si>
    <t>Boran GÖNÜLTAŞ</t>
  </si>
  <si>
    <t>Cihan NARİN</t>
  </si>
  <si>
    <t>Deniz İĞCİ</t>
  </si>
  <si>
    <t>Ege KURALAY</t>
  </si>
  <si>
    <t>Furkan GEZER</t>
  </si>
  <si>
    <t>Hasan ESEN</t>
  </si>
  <si>
    <t>Hüseyin Mert KÜÇÜKER</t>
  </si>
  <si>
    <t>İsmail ÇANKAYA</t>
  </si>
  <si>
    <t>Kaan DEMİR</t>
  </si>
  <si>
    <t>Kaan SARAÇ</t>
  </si>
  <si>
    <t>Mehmet Ali KOCA</t>
  </si>
  <si>
    <t>Mehmethan TARI</t>
  </si>
  <si>
    <t>Mert Can ATICI</t>
  </si>
  <si>
    <t>Miraç Metin Can YAMAN</t>
  </si>
  <si>
    <t>Mücahit SEÇGİN</t>
  </si>
  <si>
    <t>Mesleki Eğitim + Diploma Telafi</t>
  </si>
  <si>
    <t>Semih YAŞAR</t>
  </si>
  <si>
    <t>Umut OKÇU</t>
  </si>
  <si>
    <t>Yasin AKPINAR</t>
  </si>
  <si>
    <t>Yiğit SARAÇLI</t>
  </si>
  <si>
    <t>Yusuf Taha ÖZBAKIR</t>
  </si>
  <si>
    <t>Yusuf Talha UĞUR</t>
  </si>
  <si>
    <t>Yusufcan YILDIRIM</t>
  </si>
  <si>
    <t>Arif Can GÖKTEPE</t>
  </si>
  <si>
    <t>Batuhan TUNA</t>
  </si>
  <si>
    <t>İsa TENEKECİ</t>
  </si>
  <si>
    <t>Kadir YILDIRIM</t>
  </si>
  <si>
    <t>Miraç KARADAĞ</t>
  </si>
  <si>
    <t>Abdulhalim ESEN</t>
  </si>
  <si>
    <t>Ahmet ASLAN</t>
  </si>
  <si>
    <t>Alkan ARSLAN</t>
  </si>
  <si>
    <t>Burak SAĞLAM</t>
  </si>
  <si>
    <t>Eyüp Can KIRMIZIYILDIZ</t>
  </si>
  <si>
    <t>Hüseyin ESEN</t>
  </si>
  <si>
    <t>Hüseyin KARAOĞLU</t>
  </si>
  <si>
    <t>Mehmet Sait YEGİN</t>
  </si>
  <si>
    <t>Muhammed Baran KAYA</t>
  </si>
  <si>
    <t>Mustafa SEZİKLİ</t>
  </si>
  <si>
    <t>Orçun SEVGİ</t>
  </si>
  <si>
    <t>Recep AKYÜREK</t>
  </si>
  <si>
    <t>Taner ESEN</t>
  </si>
  <si>
    <t>Tayyip Erdoğan KAHRAMANOĞLU</t>
  </si>
  <si>
    <t>Yıldıray SADIÇ</t>
  </si>
  <si>
    <t>Furkan KARAMAN</t>
  </si>
  <si>
    <t>Ali DEMİREL</t>
  </si>
  <si>
    <t>E3</t>
  </si>
  <si>
    <t>Cengizhan GÜMÜŞTAŞ</t>
  </si>
  <si>
    <t>İslam YALİN</t>
  </si>
  <si>
    <t>Osman Dijvar ÇAYIN</t>
  </si>
  <si>
    <t>Efe Yusuf TANIR</t>
  </si>
  <si>
    <t>E5</t>
  </si>
  <si>
    <t>Elif Tuğçe ÇELİK</t>
  </si>
  <si>
    <t>Sude ŞAHİN</t>
  </si>
  <si>
    <t>Ebuzer PEKMEZ</t>
  </si>
  <si>
    <t>B1</t>
  </si>
  <si>
    <t>Emir Can GÜLMEZ</t>
  </si>
  <si>
    <t>Mehmet Emin PEKMEZ</t>
  </si>
  <si>
    <t>Mücahit BAYKAN</t>
  </si>
  <si>
    <t>85610</t>
  </si>
  <si>
    <t>9D Asansör Sistemleri</t>
  </si>
  <si>
    <t>87170</t>
  </si>
  <si>
    <t>9G1 Aşçılık</t>
  </si>
  <si>
    <t>19092</t>
  </si>
  <si>
    <t>52934</t>
  </si>
  <si>
    <t>75728</t>
  </si>
  <si>
    <t>44094</t>
  </si>
  <si>
    <t>60558</t>
  </si>
  <si>
    <t>17570</t>
  </si>
  <si>
    <t>99468</t>
  </si>
  <si>
    <t>19616</t>
  </si>
  <si>
    <t>49600</t>
  </si>
  <si>
    <t>9A2 Bilgisayar Teknik Servisi</t>
  </si>
  <si>
    <t>79552</t>
  </si>
  <si>
    <t>91520</t>
  </si>
  <si>
    <t>9E1 Bilgisayarlı Makine İmalatı</t>
  </si>
  <si>
    <t>00468</t>
  </si>
  <si>
    <t>69300</t>
  </si>
  <si>
    <t>47896</t>
  </si>
  <si>
    <t>63748</t>
  </si>
  <si>
    <t>49768</t>
  </si>
  <si>
    <t>43240</t>
  </si>
  <si>
    <t>96652</t>
  </si>
  <si>
    <t>76602</t>
  </si>
  <si>
    <t>13026</t>
  </si>
  <si>
    <t>64276</t>
  </si>
  <si>
    <t>55994</t>
  </si>
  <si>
    <t>78906</t>
  </si>
  <si>
    <t>65648</t>
  </si>
  <si>
    <t>75404</t>
  </si>
  <si>
    <t>89072</t>
  </si>
  <si>
    <t>78098</t>
  </si>
  <si>
    <t>55522</t>
  </si>
  <si>
    <t>9D Bobinaj</t>
  </si>
  <si>
    <t>95394</t>
  </si>
  <si>
    <t>16238</t>
  </si>
  <si>
    <t>9 Cilt Bakımı Ve Makyaj</t>
  </si>
  <si>
    <t>25784</t>
  </si>
  <si>
    <t>9G Cilt Bakımı Ve Makyaj</t>
  </si>
  <si>
    <t>79828</t>
  </si>
  <si>
    <t>9B Dizel Motorları Yakıt Pompası Ve Enjektör Ayarcılığı</t>
  </si>
  <si>
    <t>73642</t>
  </si>
  <si>
    <t>9D Elektrik Tesisatları Ve Pano Montörlüğü</t>
  </si>
  <si>
    <t>57308</t>
  </si>
  <si>
    <t>36138</t>
  </si>
  <si>
    <t>37186</t>
  </si>
  <si>
    <t>28190</t>
  </si>
  <si>
    <t>19192</t>
  </si>
  <si>
    <t>33706</t>
  </si>
  <si>
    <t>21170</t>
  </si>
  <si>
    <t>79118</t>
  </si>
  <si>
    <t>66778</t>
  </si>
  <si>
    <t>12136</t>
  </si>
  <si>
    <t>89364</t>
  </si>
  <si>
    <t>72322</t>
  </si>
  <si>
    <t>46318</t>
  </si>
  <si>
    <t>63024</t>
  </si>
  <si>
    <t>24886</t>
  </si>
  <si>
    <t>75282</t>
  </si>
  <si>
    <t>9 Elektrik Tesisatları Ve Pano Montörlüğü</t>
  </si>
  <si>
    <t>61944</t>
  </si>
  <si>
    <t>78742</t>
  </si>
  <si>
    <t>9D Elektrikli Ev Aletleri Teknik Servisi</t>
  </si>
  <si>
    <t>55584</t>
  </si>
  <si>
    <t>04130</t>
  </si>
  <si>
    <t>18008</t>
  </si>
  <si>
    <t>9D Endüstriyel Bakım Onarım</t>
  </si>
  <si>
    <t>79188</t>
  </si>
  <si>
    <t>39372</t>
  </si>
  <si>
    <t>9A3(KARMA) Endüstriyel Kontrol</t>
  </si>
  <si>
    <t>82510</t>
  </si>
  <si>
    <t>49178</t>
  </si>
  <si>
    <t>20680</t>
  </si>
  <si>
    <t>9E Erkek Kuaförlüğü</t>
  </si>
  <si>
    <t>12444</t>
  </si>
  <si>
    <t>9A Erkek Kuaförlüğü</t>
  </si>
  <si>
    <t>09828</t>
  </si>
  <si>
    <t>9G Erkek Kuaförlüğü</t>
  </si>
  <si>
    <t>59330</t>
  </si>
  <si>
    <t>39764</t>
  </si>
  <si>
    <t>23926</t>
  </si>
  <si>
    <t>43942</t>
  </si>
  <si>
    <t>17262</t>
  </si>
  <si>
    <t>08074</t>
  </si>
  <si>
    <t>44092</t>
  </si>
  <si>
    <t>54838</t>
  </si>
  <si>
    <t>45862</t>
  </si>
  <si>
    <t>50918</t>
  </si>
  <si>
    <t>66134</t>
  </si>
  <si>
    <t>88776</t>
  </si>
  <si>
    <t>26792</t>
  </si>
  <si>
    <t>06568</t>
  </si>
  <si>
    <t>62212</t>
  </si>
  <si>
    <t>12264</t>
  </si>
  <si>
    <t>92216</t>
  </si>
  <si>
    <t>42220</t>
  </si>
  <si>
    <t>79750</t>
  </si>
  <si>
    <t>89874</t>
  </si>
  <si>
    <t>69180</t>
  </si>
  <si>
    <t>87618</t>
  </si>
  <si>
    <t>19058</t>
  </si>
  <si>
    <t>58146</t>
  </si>
  <si>
    <t>20860</t>
  </si>
  <si>
    <t>92670</t>
  </si>
  <si>
    <t>75972</t>
  </si>
  <si>
    <t>22822</t>
  </si>
  <si>
    <t>48312</t>
  </si>
  <si>
    <t>32860</t>
  </si>
  <si>
    <t>56106</t>
  </si>
  <si>
    <t>35210</t>
  </si>
  <si>
    <t>44812</t>
  </si>
  <si>
    <t>62120</t>
  </si>
  <si>
    <t>33404</t>
  </si>
  <si>
    <t>22390</t>
  </si>
  <si>
    <t>58518</t>
  </si>
  <si>
    <t>77802</t>
  </si>
  <si>
    <t>65498</t>
  </si>
  <si>
    <t>04988</t>
  </si>
  <si>
    <t>37644</t>
  </si>
  <si>
    <t>63308</t>
  </si>
  <si>
    <t>9A3(KARMA) Fotoğraf</t>
  </si>
  <si>
    <t>07156</t>
  </si>
  <si>
    <t>81726</t>
  </si>
  <si>
    <t>9D2 Gaz Tesisat Sistemleri</t>
  </si>
  <si>
    <t>71484</t>
  </si>
  <si>
    <t>9D Güvenlik Sistemleri</t>
  </si>
  <si>
    <t>37132</t>
  </si>
  <si>
    <t>76642</t>
  </si>
  <si>
    <t>9A3(KARMA) Hazır Giyim Model Makineciliği</t>
  </si>
  <si>
    <t>85722</t>
  </si>
  <si>
    <t>54690</t>
  </si>
  <si>
    <t>84074</t>
  </si>
  <si>
    <t>9D2 Isıtma Ve Sıhhi Tesisat Sistemleri</t>
  </si>
  <si>
    <t>01054</t>
  </si>
  <si>
    <t>33002</t>
  </si>
  <si>
    <t>80362</t>
  </si>
  <si>
    <t>65602</t>
  </si>
  <si>
    <t>9D4 İç Mekân Ve Mobilya Teknolojisi</t>
  </si>
  <si>
    <t>02310</t>
  </si>
  <si>
    <t>9D2 İklimlendirme Sistemleri</t>
  </si>
  <si>
    <t>68768</t>
  </si>
  <si>
    <t>21902</t>
  </si>
  <si>
    <t>9B İş Makineleri</t>
  </si>
  <si>
    <t>46638</t>
  </si>
  <si>
    <t>9C İş Makineleri</t>
  </si>
  <si>
    <t>30224</t>
  </si>
  <si>
    <t>9F İş Makineleri</t>
  </si>
  <si>
    <t>76924</t>
  </si>
  <si>
    <t>9A Kadın Kuaförlüğü</t>
  </si>
  <si>
    <t>56676</t>
  </si>
  <si>
    <t>23896</t>
  </si>
  <si>
    <t>9G Kadın Kuaförlüğü</t>
  </si>
  <si>
    <t>29770</t>
  </si>
  <si>
    <t>54800</t>
  </si>
  <si>
    <t>55688</t>
  </si>
  <si>
    <t>01496</t>
  </si>
  <si>
    <t>32846</t>
  </si>
  <si>
    <t>80916</t>
  </si>
  <si>
    <t>48406</t>
  </si>
  <si>
    <t>11610</t>
  </si>
  <si>
    <t>80440</t>
  </si>
  <si>
    <t>43922</t>
  </si>
  <si>
    <t>14348</t>
  </si>
  <si>
    <t>14138</t>
  </si>
  <si>
    <t>37022</t>
  </si>
  <si>
    <t>15774</t>
  </si>
  <si>
    <t>39456</t>
  </si>
  <si>
    <t>14718</t>
  </si>
  <si>
    <t>35372</t>
  </si>
  <si>
    <t>79366</t>
  </si>
  <si>
    <t>05964</t>
  </si>
  <si>
    <t>9 Kadın Kuaförlüğü</t>
  </si>
  <si>
    <t>09766</t>
  </si>
  <si>
    <t>65194</t>
  </si>
  <si>
    <t>75566</t>
  </si>
  <si>
    <t>95968</t>
  </si>
  <si>
    <t>86162</t>
  </si>
  <si>
    <t>80514</t>
  </si>
  <si>
    <t>70618</t>
  </si>
  <si>
    <t>19234</t>
  </si>
  <si>
    <t>23102</t>
  </si>
  <si>
    <t>23912</t>
  </si>
  <si>
    <t>14290</t>
  </si>
  <si>
    <t>74618</t>
  </si>
  <si>
    <t>17508</t>
  </si>
  <si>
    <t>08064</t>
  </si>
  <si>
    <t>9A3(KARMA) Kadın Terziliği</t>
  </si>
  <si>
    <t>57708</t>
  </si>
  <si>
    <t>9G1 Kasaplık</t>
  </si>
  <si>
    <t>88448</t>
  </si>
  <si>
    <t>9D3 Kaynakçılık</t>
  </si>
  <si>
    <t>57966</t>
  </si>
  <si>
    <t>33978</t>
  </si>
  <si>
    <t>9E1 Makine Bakım Onarım</t>
  </si>
  <si>
    <t>16340</t>
  </si>
  <si>
    <t>55694</t>
  </si>
  <si>
    <t>21076</t>
  </si>
  <si>
    <t>9D3 Metal Doğrama</t>
  </si>
  <si>
    <t>69866</t>
  </si>
  <si>
    <t>9A1 Muhasebe</t>
  </si>
  <si>
    <t>25476</t>
  </si>
  <si>
    <t>09178</t>
  </si>
  <si>
    <t>95162</t>
  </si>
  <si>
    <t>14230</t>
  </si>
  <si>
    <t>9D4 Oto Döşemeciliği</t>
  </si>
  <si>
    <t>07016</t>
  </si>
  <si>
    <t>9C Otomotiv Boya</t>
  </si>
  <si>
    <t>94690</t>
  </si>
  <si>
    <t>85150</t>
  </si>
  <si>
    <t>9F Otomotiv Boya</t>
  </si>
  <si>
    <t>64484</t>
  </si>
  <si>
    <t>9B Otomotiv Boya</t>
  </si>
  <si>
    <t>89790</t>
  </si>
  <si>
    <t>9F Otomotiv Elektrikçiliği</t>
  </si>
  <si>
    <t>42312</t>
  </si>
  <si>
    <t>9C Otomotiv Elektrikçiliği</t>
  </si>
  <si>
    <t>32098</t>
  </si>
  <si>
    <t>31092</t>
  </si>
  <si>
    <t>72046</t>
  </si>
  <si>
    <t>75108</t>
  </si>
  <si>
    <t>34186</t>
  </si>
  <si>
    <t>9B Otomotiv Elektrikçiliği</t>
  </si>
  <si>
    <t>61612</t>
  </si>
  <si>
    <t>13992</t>
  </si>
  <si>
    <t>9C Otomotiv Elektromekanik</t>
  </si>
  <si>
    <t>17734</t>
  </si>
  <si>
    <t>9B Otomotiv Elektromekanik</t>
  </si>
  <si>
    <t>51168</t>
  </si>
  <si>
    <t>9F Otomotiv Elektromekanik</t>
  </si>
  <si>
    <t>76462</t>
  </si>
  <si>
    <t>94004</t>
  </si>
  <si>
    <t>74082</t>
  </si>
  <si>
    <t>47452</t>
  </si>
  <si>
    <t>31448</t>
  </si>
  <si>
    <t>31042</t>
  </si>
  <si>
    <t>37938</t>
  </si>
  <si>
    <t>79250</t>
  </si>
  <si>
    <t>49884</t>
  </si>
  <si>
    <t>45402</t>
  </si>
  <si>
    <t>64374</t>
  </si>
  <si>
    <t>47532</t>
  </si>
  <si>
    <t>21432</t>
  </si>
  <si>
    <t>21254</t>
  </si>
  <si>
    <t>13988</t>
  </si>
  <si>
    <t>77386</t>
  </si>
  <si>
    <t>61900</t>
  </si>
  <si>
    <t>12882</t>
  </si>
  <si>
    <t>28336</t>
  </si>
  <si>
    <t>17538</t>
  </si>
  <si>
    <t>30150</t>
  </si>
  <si>
    <t>14200</t>
  </si>
  <si>
    <t>23108</t>
  </si>
  <si>
    <t>69110</t>
  </si>
  <si>
    <t>13458</t>
  </si>
  <si>
    <t>82402</t>
  </si>
  <si>
    <t>53918</t>
  </si>
  <si>
    <t>27446</t>
  </si>
  <si>
    <t>70926</t>
  </si>
  <si>
    <t>25674</t>
  </si>
  <si>
    <t>78488</t>
  </si>
  <si>
    <t>9 Otomotiv Elektromekanik</t>
  </si>
  <si>
    <t>72998</t>
  </si>
  <si>
    <t>32102</t>
  </si>
  <si>
    <t>11458</t>
  </si>
  <si>
    <t>48516</t>
  </si>
  <si>
    <t>83482</t>
  </si>
  <si>
    <t>48730</t>
  </si>
  <si>
    <t>78684</t>
  </si>
  <si>
    <t>19722</t>
  </si>
  <si>
    <t>35106</t>
  </si>
  <si>
    <t>34228</t>
  </si>
  <si>
    <t>26204</t>
  </si>
  <si>
    <t>42762</t>
  </si>
  <si>
    <t>18828</t>
  </si>
  <si>
    <t>87502</t>
  </si>
  <si>
    <t>01974</t>
  </si>
  <si>
    <t>83544</t>
  </si>
  <si>
    <t>64700</t>
  </si>
  <si>
    <t>36592</t>
  </si>
  <si>
    <t>83272</t>
  </si>
  <si>
    <t>67750</t>
  </si>
  <si>
    <t>20948</t>
  </si>
  <si>
    <t>23620</t>
  </si>
  <si>
    <t>72992</t>
  </si>
  <si>
    <t>00272</t>
  </si>
  <si>
    <t>62340</t>
  </si>
  <si>
    <t>43288</t>
  </si>
  <si>
    <t>21464</t>
  </si>
  <si>
    <t>51250</t>
  </si>
  <si>
    <t>9C Otomotiv Gövde</t>
  </si>
  <si>
    <t>24688</t>
  </si>
  <si>
    <t>9F Otomotiv Gövde</t>
  </si>
  <si>
    <t>36996</t>
  </si>
  <si>
    <t>51800</t>
  </si>
  <si>
    <t>58616</t>
  </si>
  <si>
    <t>04208</t>
  </si>
  <si>
    <t>75786</t>
  </si>
  <si>
    <t>00338</t>
  </si>
  <si>
    <t>86176</t>
  </si>
  <si>
    <t>35536</t>
  </si>
  <si>
    <t>9F Otomotiv Mekanikerliği</t>
  </si>
  <si>
    <t>76858</t>
  </si>
  <si>
    <t>9C Otomotiv Mekanikerliği</t>
  </si>
  <si>
    <t>18768</t>
  </si>
  <si>
    <t>03476</t>
  </si>
  <si>
    <t>37378</t>
  </si>
  <si>
    <t>34494</t>
  </si>
  <si>
    <t>9B Otomotiv Mekanikerliği</t>
  </si>
  <si>
    <t>52482</t>
  </si>
  <si>
    <t>51454</t>
  </si>
  <si>
    <t>06932</t>
  </si>
  <si>
    <t>02846</t>
  </si>
  <si>
    <t>17098</t>
  </si>
  <si>
    <t>95168</t>
  </si>
  <si>
    <t>20110</t>
  </si>
  <si>
    <t>38902</t>
  </si>
  <si>
    <t>09274</t>
  </si>
  <si>
    <t>23894</t>
  </si>
  <si>
    <t>73542</t>
  </si>
  <si>
    <t>38380</t>
  </si>
  <si>
    <t>88280</t>
  </si>
  <si>
    <t>44216</t>
  </si>
  <si>
    <t>21324</t>
  </si>
  <si>
    <t>96972</t>
  </si>
  <si>
    <t>9 Otomotiv Mekanikerliği</t>
  </si>
  <si>
    <t>34804</t>
  </si>
  <si>
    <t>83458</t>
  </si>
  <si>
    <t>17654</t>
  </si>
  <si>
    <t>06626</t>
  </si>
  <si>
    <t>21888</t>
  </si>
  <si>
    <t>07916</t>
  </si>
  <si>
    <t>35972</t>
  </si>
  <si>
    <t>37572</t>
  </si>
  <si>
    <t>08462</t>
  </si>
  <si>
    <t>9C Otomotiv Motor Yenileştirmeciliği</t>
  </si>
  <si>
    <t>41456</t>
  </si>
  <si>
    <t>45512</t>
  </si>
  <si>
    <t>9F Ön Düzen Ayarcılığı Ve Lastikçilik</t>
  </si>
  <si>
    <t>01418</t>
  </si>
  <si>
    <t>00416</t>
  </si>
  <si>
    <t>9B Ön Düzen Ayarcılığı Ve Lastikçilik</t>
  </si>
  <si>
    <t>19940</t>
  </si>
  <si>
    <t>9C Ön Düzen Ayarcılığı Ve Lastikçilik</t>
  </si>
  <si>
    <t>89604</t>
  </si>
  <si>
    <t>36126</t>
  </si>
  <si>
    <t>9G1 Pasta Ve Tatlı Yapımı</t>
  </si>
  <si>
    <t>39658</t>
  </si>
  <si>
    <t>98290</t>
  </si>
  <si>
    <t>46896</t>
  </si>
  <si>
    <t>43460</t>
  </si>
  <si>
    <t>78058</t>
  </si>
  <si>
    <t>9A3(KARMA) Vitrin Kuyumculuğu</t>
  </si>
  <si>
    <t>77720</t>
  </si>
  <si>
    <t>10D1 Ahşap Doğrama Teknolojisi</t>
  </si>
  <si>
    <t>60544</t>
  </si>
  <si>
    <t>90526</t>
  </si>
  <si>
    <t>92132</t>
  </si>
  <si>
    <t>10E Asansör Sistemleri</t>
  </si>
  <si>
    <t>20336</t>
  </si>
  <si>
    <t>96454</t>
  </si>
  <si>
    <t>10D Asansör Sistemleri</t>
  </si>
  <si>
    <t>02224</t>
  </si>
  <si>
    <t>59406</t>
  </si>
  <si>
    <t>78334</t>
  </si>
  <si>
    <t>33436</t>
  </si>
  <si>
    <t>41342</t>
  </si>
  <si>
    <t>10M Aşçılık</t>
  </si>
  <si>
    <t>35280</t>
  </si>
  <si>
    <t>29638</t>
  </si>
  <si>
    <t>78672</t>
  </si>
  <si>
    <t>57286</t>
  </si>
  <si>
    <t>06512</t>
  </si>
  <si>
    <t>38416</t>
  </si>
  <si>
    <t>87028</t>
  </si>
  <si>
    <t>51156</t>
  </si>
  <si>
    <t>25700</t>
  </si>
  <si>
    <t>05044</t>
  </si>
  <si>
    <t>13124</t>
  </si>
  <si>
    <t>24704</t>
  </si>
  <si>
    <t>01692</t>
  </si>
  <si>
    <t>19168</t>
  </si>
  <si>
    <t>36316</t>
  </si>
  <si>
    <t>70974</t>
  </si>
  <si>
    <t>60448</t>
  </si>
  <si>
    <t>23782</t>
  </si>
  <si>
    <t>50416</t>
  </si>
  <si>
    <t>36100</t>
  </si>
  <si>
    <t>10A2 Ayakkabı Üretimi</t>
  </si>
  <si>
    <t>60576</t>
  </si>
  <si>
    <t>10E1 Bilgisayar Teknik Servisi</t>
  </si>
  <si>
    <t>63094</t>
  </si>
  <si>
    <t>99528</t>
  </si>
  <si>
    <t>59790</t>
  </si>
  <si>
    <t>47792</t>
  </si>
  <si>
    <t>66132</t>
  </si>
  <si>
    <t>10L Bilgisayarlı Makine İmalatı</t>
  </si>
  <si>
    <t>27482</t>
  </si>
  <si>
    <t>00010</t>
  </si>
  <si>
    <t>38218</t>
  </si>
  <si>
    <t>19464</t>
  </si>
  <si>
    <t>57366</t>
  </si>
  <si>
    <t>76146</t>
  </si>
  <si>
    <t>12416</t>
  </si>
  <si>
    <t>16142</t>
  </si>
  <si>
    <t>46868</t>
  </si>
  <si>
    <t>47230</t>
  </si>
  <si>
    <t>83404</t>
  </si>
  <si>
    <t>40350</t>
  </si>
  <si>
    <t>93458</t>
  </si>
  <si>
    <t>72114</t>
  </si>
  <si>
    <t>50828</t>
  </si>
  <si>
    <t>10E Bobinaj</t>
  </si>
  <si>
    <t>93016</t>
  </si>
  <si>
    <t>10D Bobinaj</t>
  </si>
  <si>
    <t>14736</t>
  </si>
  <si>
    <t>87504</t>
  </si>
  <si>
    <t>31298</t>
  </si>
  <si>
    <t>31508</t>
  </si>
  <si>
    <t>41104</t>
  </si>
  <si>
    <t>56280</t>
  </si>
  <si>
    <t>14044</t>
  </si>
  <si>
    <t>28792</t>
  </si>
  <si>
    <t>10A Cilt Bakımı Ve Makyaj</t>
  </si>
  <si>
    <t>50296</t>
  </si>
  <si>
    <t>10B Cilt Bakımı Ve Makyaj</t>
  </si>
  <si>
    <t>21066</t>
  </si>
  <si>
    <t>03752</t>
  </si>
  <si>
    <t>10 Cilt Bakımı Ve Makyaj</t>
  </si>
  <si>
    <t>84086</t>
  </si>
  <si>
    <t>82594</t>
  </si>
  <si>
    <t>88240</t>
  </si>
  <si>
    <t>73982</t>
  </si>
  <si>
    <t>10K Dizel Motorları Yakıt Pompası Ve Enjektör Ayarcılığı</t>
  </si>
  <si>
    <t>61246</t>
  </si>
  <si>
    <t>10F Dizel Motorları Yakıt Pompası Ve Enjektör Ayarcılığı</t>
  </si>
  <si>
    <t>99084</t>
  </si>
  <si>
    <t>05538</t>
  </si>
  <si>
    <t>10H Dizel Motorları Yakıt Pompası Ve Enjektör Ayarcılığı</t>
  </si>
  <si>
    <t>67470</t>
  </si>
  <si>
    <t>10E Elektrik Tesisatları Ve Pano Montörlüğü</t>
  </si>
  <si>
    <t>33420</t>
  </si>
  <si>
    <t>10D Elektrik Tesisatları Ve Pano Montörlüğü</t>
  </si>
  <si>
    <t>50744</t>
  </si>
  <si>
    <t>75554</t>
  </si>
  <si>
    <t>09610</t>
  </si>
  <si>
    <t>08534</t>
  </si>
  <si>
    <t>20314</t>
  </si>
  <si>
    <t>02346</t>
  </si>
  <si>
    <t>40120</t>
  </si>
  <si>
    <t>92256</t>
  </si>
  <si>
    <t>40684</t>
  </si>
  <si>
    <t>61594</t>
  </si>
  <si>
    <t>36206</t>
  </si>
  <si>
    <t>31528</t>
  </si>
  <si>
    <t>34258</t>
  </si>
  <si>
    <t>82810</t>
  </si>
  <si>
    <t>59436</t>
  </si>
  <si>
    <t>66816</t>
  </si>
  <si>
    <t>06636</t>
  </si>
  <si>
    <t>89078</t>
  </si>
  <si>
    <t>17086</t>
  </si>
  <si>
    <t>19576</t>
  </si>
  <si>
    <t>70150</t>
  </si>
  <si>
    <t>08526</t>
  </si>
  <si>
    <t>26532</t>
  </si>
  <si>
    <t>07136</t>
  </si>
  <si>
    <t>77006</t>
  </si>
  <si>
    <t>20750</t>
  </si>
  <si>
    <t>86536</t>
  </si>
  <si>
    <t>86770</t>
  </si>
  <si>
    <t>04646</t>
  </si>
  <si>
    <t>10D Elektrikli Ev Aletleri Teknik Servisi</t>
  </si>
  <si>
    <t>93124</t>
  </si>
  <si>
    <t>75272</t>
  </si>
  <si>
    <t>10E Elektrikli Ev Aletleri Teknik Servisi</t>
  </si>
  <si>
    <t>41924</t>
  </si>
  <si>
    <t>39256</t>
  </si>
  <si>
    <t>85076</t>
  </si>
  <si>
    <t>04560</t>
  </si>
  <si>
    <t>82924</t>
  </si>
  <si>
    <t>21750</t>
  </si>
  <si>
    <t>44304</t>
  </si>
  <si>
    <t>66580</t>
  </si>
  <si>
    <t>87396</t>
  </si>
  <si>
    <t>10E Endüstriyel Bakım Onarım</t>
  </si>
  <si>
    <t>86590</t>
  </si>
  <si>
    <t>62032</t>
  </si>
  <si>
    <t>10L Endüstriyel Kalıp</t>
  </si>
  <si>
    <t>74558</t>
  </si>
  <si>
    <t>10E2 Endüstriyel Kontrol</t>
  </si>
  <si>
    <t>00916</t>
  </si>
  <si>
    <t>04846</t>
  </si>
  <si>
    <t>10B Erkek Kuaförlüğü</t>
  </si>
  <si>
    <t>97736</t>
  </si>
  <si>
    <t>10 Erkek Kuaförlüğü</t>
  </si>
  <si>
    <t>31406</t>
  </si>
  <si>
    <t>10C Erkek Kuaförlüğü</t>
  </si>
  <si>
    <t>65124</t>
  </si>
  <si>
    <t>91374</t>
  </si>
  <si>
    <t>52440</t>
  </si>
  <si>
    <t>40820</t>
  </si>
  <si>
    <t>66908</t>
  </si>
  <si>
    <t>30098</t>
  </si>
  <si>
    <t>77560</t>
  </si>
  <si>
    <t>43700</t>
  </si>
  <si>
    <t>96044</t>
  </si>
  <si>
    <t>30790</t>
  </si>
  <si>
    <t>10A Erkek Kuaförlüğü</t>
  </si>
  <si>
    <t>36656</t>
  </si>
  <si>
    <t>43734</t>
  </si>
  <si>
    <t>52450</t>
  </si>
  <si>
    <t>61638</t>
  </si>
  <si>
    <t>66552</t>
  </si>
  <si>
    <t>34132</t>
  </si>
  <si>
    <t>52570</t>
  </si>
  <si>
    <t>94462</t>
  </si>
  <si>
    <t>17382</t>
  </si>
  <si>
    <t>17526</t>
  </si>
  <si>
    <t>50892</t>
  </si>
  <si>
    <t>27664</t>
  </si>
  <si>
    <t>16090</t>
  </si>
  <si>
    <t>30424</t>
  </si>
  <si>
    <t>85284</t>
  </si>
  <si>
    <t>49538</t>
  </si>
  <si>
    <t>58918</t>
  </si>
  <si>
    <t>63506</t>
  </si>
  <si>
    <t>96158</t>
  </si>
  <si>
    <t>85268</t>
  </si>
  <si>
    <t>48236</t>
  </si>
  <si>
    <t>78140</t>
  </si>
  <si>
    <t>46326</t>
  </si>
  <si>
    <t>71518</t>
  </si>
  <si>
    <t>46696</t>
  </si>
  <si>
    <t>64344</t>
  </si>
  <si>
    <t>73638</t>
  </si>
  <si>
    <t>77796</t>
  </si>
  <si>
    <t>41464</t>
  </si>
  <si>
    <t>17784</t>
  </si>
  <si>
    <t>10050</t>
  </si>
  <si>
    <t>68154</t>
  </si>
  <si>
    <t>48036</t>
  </si>
  <si>
    <t>39992</t>
  </si>
  <si>
    <t>67896</t>
  </si>
  <si>
    <t>43446</t>
  </si>
  <si>
    <t>65560</t>
  </si>
  <si>
    <t>29554</t>
  </si>
  <si>
    <t>37382</t>
  </si>
  <si>
    <t>54566</t>
  </si>
  <si>
    <t>44732</t>
  </si>
  <si>
    <t>81542</t>
  </si>
  <si>
    <t>53816</t>
  </si>
  <si>
    <t>44294</t>
  </si>
  <si>
    <t>10A1 Fotoğraf</t>
  </si>
  <si>
    <t>91328</t>
  </si>
  <si>
    <t>23808</t>
  </si>
  <si>
    <t>14162</t>
  </si>
  <si>
    <t>55882</t>
  </si>
  <si>
    <t>79292</t>
  </si>
  <si>
    <t>59662</t>
  </si>
  <si>
    <t>70050</t>
  </si>
  <si>
    <t>10D Görüntü Ve Ses Sistemleri</t>
  </si>
  <si>
    <t>74726</t>
  </si>
  <si>
    <t>06408</t>
  </si>
  <si>
    <t>10E Görüntü Ve Ses Sistemleri</t>
  </si>
  <si>
    <t>07310</t>
  </si>
  <si>
    <t>10A1 Grafik</t>
  </si>
  <si>
    <t>14530</t>
  </si>
  <si>
    <t>10E Haberleşme Sistemleri</t>
  </si>
  <si>
    <t>87614</t>
  </si>
  <si>
    <t>10L1 Isıtma Ve Sıhhi Tesisat Sistemleri</t>
  </si>
  <si>
    <t>80434</t>
  </si>
  <si>
    <t>82092</t>
  </si>
  <si>
    <t>34526</t>
  </si>
  <si>
    <t>37954</t>
  </si>
  <si>
    <t>73276</t>
  </si>
  <si>
    <t>80096</t>
  </si>
  <si>
    <t>16154</t>
  </si>
  <si>
    <t>71558</t>
  </si>
  <si>
    <t>57492</t>
  </si>
  <si>
    <t>01298</t>
  </si>
  <si>
    <t>22928</t>
  </si>
  <si>
    <t>75456</t>
  </si>
  <si>
    <t>10D1 İç Mekân Ve Mobilya Teknolojisi</t>
  </si>
  <si>
    <t>20386</t>
  </si>
  <si>
    <t>46272</t>
  </si>
  <si>
    <t>62602</t>
  </si>
  <si>
    <t>10L1 İklimlendirme Sistemleri</t>
  </si>
  <si>
    <t>79340</t>
  </si>
  <si>
    <t>10G İş Makineleri</t>
  </si>
  <si>
    <t>39018</t>
  </si>
  <si>
    <t>10B Kadın Kuaförlüğü</t>
  </si>
  <si>
    <t>85512</t>
  </si>
  <si>
    <t>10A Kadın Kuaförlüğü</t>
  </si>
  <si>
    <t>03988</t>
  </si>
  <si>
    <t>41240</t>
  </si>
  <si>
    <t>79064</t>
  </si>
  <si>
    <t>73816</t>
  </si>
  <si>
    <t>77828</t>
  </si>
  <si>
    <t>96072</t>
  </si>
  <si>
    <t>31810</t>
  </si>
  <si>
    <t>54970</t>
  </si>
  <si>
    <t>24378</t>
  </si>
  <si>
    <t>11446</t>
  </si>
  <si>
    <t>13046</t>
  </si>
  <si>
    <t>49618</t>
  </si>
  <si>
    <t>49246</t>
  </si>
  <si>
    <t>26806</t>
  </si>
  <si>
    <t>35532</t>
  </si>
  <si>
    <t>24826</t>
  </si>
  <si>
    <t>97198</t>
  </si>
  <si>
    <t>37318</t>
  </si>
  <si>
    <t>60420</t>
  </si>
  <si>
    <t>07384</t>
  </si>
  <si>
    <t>96484</t>
  </si>
  <si>
    <t>86234</t>
  </si>
  <si>
    <t>50562</t>
  </si>
  <si>
    <t>02764</t>
  </si>
  <si>
    <t>09334</t>
  </si>
  <si>
    <t>75514</t>
  </si>
  <si>
    <t>03790</t>
  </si>
  <si>
    <t>08176</t>
  </si>
  <si>
    <t>35490</t>
  </si>
  <si>
    <t>81152</t>
  </si>
  <si>
    <t>37860</t>
  </si>
  <si>
    <t>89798</t>
  </si>
  <si>
    <t>57606</t>
  </si>
  <si>
    <t>78820</t>
  </si>
  <si>
    <t>80082</t>
  </si>
  <si>
    <t>84082</t>
  </si>
  <si>
    <t>53552</t>
  </si>
  <si>
    <t>51592</t>
  </si>
  <si>
    <t>75240</t>
  </si>
  <si>
    <t>70576</t>
  </si>
  <si>
    <t>91740</t>
  </si>
  <si>
    <t>54708</t>
  </si>
  <si>
    <t>24772</t>
  </si>
  <si>
    <t>39830</t>
  </si>
  <si>
    <t>63862</t>
  </si>
  <si>
    <t>28838</t>
  </si>
  <si>
    <t>10C1 Kaynakçılık</t>
  </si>
  <si>
    <t>66418</t>
  </si>
  <si>
    <t>42418</t>
  </si>
  <si>
    <t>90832</t>
  </si>
  <si>
    <t>51132</t>
  </si>
  <si>
    <t>10L Makine Bakım Onarım</t>
  </si>
  <si>
    <t>86440</t>
  </si>
  <si>
    <t>22538</t>
  </si>
  <si>
    <t>56914</t>
  </si>
  <si>
    <t>36234</t>
  </si>
  <si>
    <t>16926</t>
  </si>
  <si>
    <t>43656</t>
  </si>
  <si>
    <t>03606</t>
  </si>
  <si>
    <t>10C2 Muhasebe</t>
  </si>
  <si>
    <t>37486</t>
  </si>
  <si>
    <t>53272</t>
  </si>
  <si>
    <t>22070</t>
  </si>
  <si>
    <t>10F Otomotiv Boya</t>
  </si>
  <si>
    <t>12440</t>
  </si>
  <si>
    <t>10İ Otomotiv Boya</t>
  </si>
  <si>
    <t>17742</t>
  </si>
  <si>
    <t>10K Otomotiv Boya</t>
  </si>
  <si>
    <t>59440</t>
  </si>
  <si>
    <t>54658</t>
  </si>
  <si>
    <t>10G Otomotiv Boya</t>
  </si>
  <si>
    <t>21320</t>
  </si>
  <si>
    <t>24438</t>
  </si>
  <si>
    <t>86760</t>
  </si>
  <si>
    <t>95374</t>
  </si>
  <si>
    <t>16338</t>
  </si>
  <si>
    <t>10İ Otomotiv Elektrikçiliği</t>
  </si>
  <si>
    <t>55332</t>
  </si>
  <si>
    <t>10F Otomotiv Elektrikçiliği</t>
  </si>
  <si>
    <t>19034</t>
  </si>
  <si>
    <t>43268</t>
  </si>
  <si>
    <t>30044</t>
  </si>
  <si>
    <t>10H Otomotiv Elektrikçiliği</t>
  </si>
  <si>
    <t>29778</t>
  </si>
  <si>
    <t>05148</t>
  </si>
  <si>
    <t>74256</t>
  </si>
  <si>
    <t>69982</t>
  </si>
  <si>
    <t>10G Otomotiv Elektrikçiliği</t>
  </si>
  <si>
    <t>32038</t>
  </si>
  <si>
    <t>10F Otomotiv Elektromekanik</t>
  </si>
  <si>
    <t>43226</t>
  </si>
  <si>
    <t>10K Otomotiv Elektromekanik</t>
  </si>
  <si>
    <t>83772</t>
  </si>
  <si>
    <t>75464</t>
  </si>
  <si>
    <t>10G Otomotiv Elektromekanik</t>
  </si>
  <si>
    <t>20268</t>
  </si>
  <si>
    <t>94822</t>
  </si>
  <si>
    <t>34136</t>
  </si>
  <si>
    <t>10İ Otomotiv Elektromekanik</t>
  </si>
  <si>
    <t>65284</t>
  </si>
  <si>
    <t>63756</t>
  </si>
  <si>
    <t>89622</t>
  </si>
  <si>
    <t>12222</t>
  </si>
  <si>
    <t>36304</t>
  </si>
  <si>
    <t>67020</t>
  </si>
  <si>
    <t>24646</t>
  </si>
  <si>
    <t>10H Otomotiv Elektromekanik</t>
  </si>
  <si>
    <t>61916</t>
  </si>
  <si>
    <t>93410</t>
  </si>
  <si>
    <t>50154</t>
  </si>
  <si>
    <t>67854</t>
  </si>
  <si>
    <t>53542</t>
  </si>
  <si>
    <t>20798</t>
  </si>
  <si>
    <t>52326</t>
  </si>
  <si>
    <t>70248</t>
  </si>
  <si>
    <t>39350</t>
  </si>
  <si>
    <t>29402</t>
  </si>
  <si>
    <t>78042</t>
  </si>
  <si>
    <t>30512</t>
  </si>
  <si>
    <t>22290</t>
  </si>
  <si>
    <t>05282</t>
  </si>
  <si>
    <t>78308</t>
  </si>
  <si>
    <t>25838</t>
  </si>
  <si>
    <t>55168</t>
  </si>
  <si>
    <t>48010</t>
  </si>
  <si>
    <t>90320</t>
  </si>
  <si>
    <t>47786</t>
  </si>
  <si>
    <t>37986</t>
  </si>
  <si>
    <t>29794</t>
  </si>
  <si>
    <t>73694</t>
  </si>
  <si>
    <t>46014</t>
  </si>
  <si>
    <t>28118</t>
  </si>
  <si>
    <t>30262</t>
  </si>
  <si>
    <t>72052</t>
  </si>
  <si>
    <t>60076</t>
  </si>
  <si>
    <t>37552</t>
  </si>
  <si>
    <t>81348</t>
  </si>
  <si>
    <t>67638</t>
  </si>
  <si>
    <t>86810</t>
  </si>
  <si>
    <t>21148</t>
  </si>
  <si>
    <t>21532</t>
  </si>
  <si>
    <t>83562</t>
  </si>
  <si>
    <t>28254</t>
  </si>
  <si>
    <t>99904</t>
  </si>
  <si>
    <t>51374</t>
  </si>
  <si>
    <t>80284</t>
  </si>
  <si>
    <t>48450</t>
  </si>
  <si>
    <t>93996</t>
  </si>
  <si>
    <t>07840</t>
  </si>
  <si>
    <t>40416</t>
  </si>
  <si>
    <t>11690</t>
  </si>
  <si>
    <t>10N Otomotiv Elektromekanik</t>
  </si>
  <si>
    <t>41676</t>
  </si>
  <si>
    <t>22058</t>
  </si>
  <si>
    <t>99612</t>
  </si>
  <si>
    <t>92236</t>
  </si>
  <si>
    <t>18206</t>
  </si>
  <si>
    <t>05154</t>
  </si>
  <si>
    <t>67670</t>
  </si>
  <si>
    <t>82744</t>
  </si>
  <si>
    <t>72476</t>
  </si>
  <si>
    <t>37770</t>
  </si>
  <si>
    <t>00760</t>
  </si>
  <si>
    <t>62682</t>
  </si>
  <si>
    <t>31170</t>
  </si>
  <si>
    <t>57010</t>
  </si>
  <si>
    <t>71178</t>
  </si>
  <si>
    <t>75252</t>
  </si>
  <si>
    <t>52220</t>
  </si>
  <si>
    <t>77026</t>
  </si>
  <si>
    <t>44898</t>
  </si>
  <si>
    <t>29826</t>
  </si>
  <si>
    <t>96494</t>
  </si>
  <si>
    <t>63384</t>
  </si>
  <si>
    <t>36608</t>
  </si>
  <si>
    <t>31892</t>
  </si>
  <si>
    <t>40882</t>
  </si>
  <si>
    <t>07626</t>
  </si>
  <si>
    <t>38376</t>
  </si>
  <si>
    <t>46728</t>
  </si>
  <si>
    <t>15114</t>
  </si>
  <si>
    <t>94206</t>
  </si>
  <si>
    <t>58484</t>
  </si>
  <si>
    <t>57096</t>
  </si>
  <si>
    <t>81290</t>
  </si>
  <si>
    <t>95456</t>
  </si>
  <si>
    <t>10G Otomotiv Gövde</t>
  </si>
  <si>
    <t>50060</t>
  </si>
  <si>
    <t>10H Otomotiv Gövde</t>
  </si>
  <si>
    <t>68268</t>
  </si>
  <si>
    <t>10F Otomotiv Gövde</t>
  </si>
  <si>
    <t>77952</t>
  </si>
  <si>
    <t>85780</t>
  </si>
  <si>
    <t>10İ Otomotiv Gövde</t>
  </si>
  <si>
    <t>06808</t>
  </si>
  <si>
    <t>24402</t>
  </si>
  <si>
    <t>53234</t>
  </si>
  <si>
    <t>98738</t>
  </si>
  <si>
    <t>97444</t>
  </si>
  <si>
    <t>86644</t>
  </si>
  <si>
    <t>34304</t>
  </si>
  <si>
    <t>10K Otomotiv Gövde</t>
  </si>
  <si>
    <t>79654</t>
  </si>
  <si>
    <t>30832</t>
  </si>
  <si>
    <t>03394</t>
  </si>
  <si>
    <t>62080</t>
  </si>
  <si>
    <t>21032</t>
  </si>
  <si>
    <t>93430</t>
  </si>
  <si>
    <t>62884</t>
  </si>
  <si>
    <t>05578</t>
  </si>
  <si>
    <t>03224</t>
  </si>
  <si>
    <t>31088</t>
  </si>
  <si>
    <t>03054</t>
  </si>
  <si>
    <t>10G Otomotiv Mekanikerliği</t>
  </si>
  <si>
    <t>24110</t>
  </si>
  <si>
    <t>10H Otomotiv Mekanikerliği</t>
  </si>
  <si>
    <t>90808</t>
  </si>
  <si>
    <t>50026</t>
  </si>
  <si>
    <t>10İ Otomotiv Mekanikerliği</t>
  </si>
  <si>
    <t>95076</t>
  </si>
  <si>
    <t>10K Otomotiv Mekanikerliği</t>
  </si>
  <si>
    <t>75788</t>
  </si>
  <si>
    <t>02642</t>
  </si>
  <si>
    <t>58258</t>
  </si>
  <si>
    <t>50192</t>
  </si>
  <si>
    <t>87498</t>
  </si>
  <si>
    <t>99222</t>
  </si>
  <si>
    <t>10F Otomotiv Mekanikerliği</t>
  </si>
  <si>
    <t>85740</t>
  </si>
  <si>
    <t>96666</t>
  </si>
  <si>
    <t>49182</t>
  </si>
  <si>
    <t>86664</t>
  </si>
  <si>
    <t>14630</t>
  </si>
  <si>
    <t>11516</t>
  </si>
  <si>
    <t>17940</t>
  </si>
  <si>
    <t>06528</t>
  </si>
  <si>
    <t>99086</t>
  </si>
  <si>
    <t>41066</t>
  </si>
  <si>
    <t>63764</t>
  </si>
  <si>
    <t>34430</t>
  </si>
  <si>
    <t>87324</t>
  </si>
  <si>
    <t>70266</t>
  </si>
  <si>
    <t>44338</t>
  </si>
  <si>
    <t>08306</t>
  </si>
  <si>
    <t>19416</t>
  </si>
  <si>
    <t>32898</t>
  </si>
  <si>
    <t>22528</t>
  </si>
  <si>
    <t>30288</t>
  </si>
  <si>
    <t>87844</t>
  </si>
  <si>
    <t>15570</t>
  </si>
  <si>
    <t>57872</t>
  </si>
  <si>
    <t>14496</t>
  </si>
  <si>
    <t>05788</t>
  </si>
  <si>
    <t>43506</t>
  </si>
  <si>
    <t>60132</t>
  </si>
  <si>
    <t>24700</t>
  </si>
  <si>
    <t>57060</t>
  </si>
  <si>
    <t>21268</t>
  </si>
  <si>
    <t>55294</t>
  </si>
  <si>
    <t>57130</t>
  </si>
  <si>
    <t>43172</t>
  </si>
  <si>
    <t>22150</t>
  </si>
  <si>
    <t>81640</t>
  </si>
  <si>
    <t>90872</t>
  </si>
  <si>
    <t>57656</t>
  </si>
  <si>
    <t>27280</t>
  </si>
  <si>
    <t>09300</t>
  </si>
  <si>
    <t>35068</t>
  </si>
  <si>
    <t>54410</t>
  </si>
  <si>
    <t>03888</t>
  </si>
  <si>
    <t>19932</t>
  </si>
  <si>
    <t>10N Otomotiv Mekanikerliği</t>
  </si>
  <si>
    <t>14526</t>
  </si>
  <si>
    <t>94122</t>
  </si>
  <si>
    <t>23480</t>
  </si>
  <si>
    <t>31816</t>
  </si>
  <si>
    <t>56448</t>
  </si>
  <si>
    <t>30138</t>
  </si>
  <si>
    <t>55900</t>
  </si>
  <si>
    <t>84860</t>
  </si>
  <si>
    <t>76126</t>
  </si>
  <si>
    <t>07320</t>
  </si>
  <si>
    <t>98112</t>
  </si>
  <si>
    <t>54630</t>
  </si>
  <si>
    <t>02332</t>
  </si>
  <si>
    <t>22498</t>
  </si>
  <si>
    <t>43998</t>
  </si>
  <si>
    <t>10656</t>
  </si>
  <si>
    <t>10F Otomotiv Motor Yenileştirmeciliği</t>
  </si>
  <si>
    <t>55808</t>
  </si>
  <si>
    <t>10K Otomotiv Motor Yenileştirmeciliği</t>
  </si>
  <si>
    <t>58410</t>
  </si>
  <si>
    <t>10F Ön Düzen Ayarcılığı Ve Lastikçilik</t>
  </si>
  <si>
    <t>55876</t>
  </si>
  <si>
    <t>10K Ön Düzen Ayarcılığı Ve Lastikçilik</t>
  </si>
  <si>
    <t>10946</t>
  </si>
  <si>
    <t>10G Ön Düzen Ayarcılığı Ve Lastikçilik</t>
  </si>
  <si>
    <t>71886</t>
  </si>
  <si>
    <t>83636</t>
  </si>
  <si>
    <t>54532</t>
  </si>
  <si>
    <t>10İ Ön Düzen Ayarcılığı Ve Lastikçilik</t>
  </si>
  <si>
    <t>21864</t>
  </si>
  <si>
    <t>10H Ön Düzen Ayarcılığı Ve Lastikçilik</t>
  </si>
  <si>
    <t>60210</t>
  </si>
  <si>
    <t>84422</t>
  </si>
  <si>
    <t>54258</t>
  </si>
  <si>
    <t>57980</t>
  </si>
  <si>
    <t>52486</t>
  </si>
  <si>
    <t>18952</t>
  </si>
  <si>
    <t>70160</t>
  </si>
  <si>
    <t>73826</t>
  </si>
  <si>
    <t>37038</t>
  </si>
  <si>
    <t>80150</t>
  </si>
  <si>
    <t>99666</t>
  </si>
  <si>
    <t>42284</t>
  </si>
  <si>
    <t>49632</t>
  </si>
  <si>
    <t>58706</t>
  </si>
  <si>
    <t>91976</t>
  </si>
  <si>
    <t>10M Pasta Ve Tatlı Yapımı</t>
  </si>
  <si>
    <t>92898</t>
  </si>
  <si>
    <t>23228</t>
  </si>
  <si>
    <t>99374</t>
  </si>
  <si>
    <t>39576</t>
  </si>
  <si>
    <t>36042</t>
  </si>
  <si>
    <t>96794</t>
  </si>
  <si>
    <t>52558</t>
  </si>
  <si>
    <t>80132</t>
  </si>
  <si>
    <t>01756</t>
  </si>
  <si>
    <t>67052</t>
  </si>
  <si>
    <t>72408</t>
  </si>
  <si>
    <t>64820</t>
  </si>
  <si>
    <t>22852</t>
  </si>
  <si>
    <t>09972</t>
  </si>
  <si>
    <t>40056</t>
  </si>
  <si>
    <t>30130</t>
  </si>
  <si>
    <t>31140</t>
  </si>
  <si>
    <t>18468</t>
  </si>
  <si>
    <t>10 Pasta Ve Tatlı Yapımı</t>
  </si>
  <si>
    <t>00434</t>
  </si>
  <si>
    <t>10C1 Sac İşleri</t>
  </si>
  <si>
    <t>37654</t>
  </si>
  <si>
    <t>10A3 Satış Elemanlığı</t>
  </si>
  <si>
    <t>55726</t>
  </si>
  <si>
    <t>10L1 Soğutma Sistemleri</t>
  </si>
  <si>
    <t>91366</t>
  </si>
  <si>
    <t>10E1 Yazılım Geliştirme</t>
  </si>
  <si>
    <t>77486</t>
  </si>
  <si>
    <t>30084</t>
  </si>
  <si>
    <t>11K7 Ahşap Doğrama Teknolojisi</t>
  </si>
  <si>
    <t>10488</t>
  </si>
  <si>
    <t>11K9 Asansör Sistemleri</t>
  </si>
  <si>
    <t>55898</t>
  </si>
  <si>
    <t>11D Aşçılık</t>
  </si>
  <si>
    <t>09864</t>
  </si>
  <si>
    <t>15940</t>
  </si>
  <si>
    <t>89482</t>
  </si>
  <si>
    <t>50240</t>
  </si>
  <si>
    <t>56120</t>
  </si>
  <si>
    <t>28662</t>
  </si>
  <si>
    <t>14166</t>
  </si>
  <si>
    <t>66616</t>
  </si>
  <si>
    <t>42946</t>
  </si>
  <si>
    <t>17426</t>
  </si>
  <si>
    <t>71460</t>
  </si>
  <si>
    <t>24390</t>
  </si>
  <si>
    <t>27250</t>
  </si>
  <si>
    <t>27260</t>
  </si>
  <si>
    <t>22000</t>
  </si>
  <si>
    <t>17900</t>
  </si>
  <si>
    <t>11K4 Bilgisayar Teknik Servisi</t>
  </si>
  <si>
    <t>98726</t>
  </si>
  <si>
    <t>91792</t>
  </si>
  <si>
    <t>02858</t>
  </si>
  <si>
    <t>11İ Bilgisayarlı Makine İmalatı</t>
  </si>
  <si>
    <t>13668</t>
  </si>
  <si>
    <t>86192</t>
  </si>
  <si>
    <t>41628</t>
  </si>
  <si>
    <t>57796</t>
  </si>
  <si>
    <t>57824</t>
  </si>
  <si>
    <t>70586</t>
  </si>
  <si>
    <t>27800</t>
  </si>
  <si>
    <t>99220</t>
  </si>
  <si>
    <t>07966</t>
  </si>
  <si>
    <t>04346</t>
  </si>
  <si>
    <t>93936</t>
  </si>
  <si>
    <t>78124</t>
  </si>
  <si>
    <t>11C1 Bobinaj</t>
  </si>
  <si>
    <t>59936</t>
  </si>
  <si>
    <t>15428</t>
  </si>
  <si>
    <t>14760</t>
  </si>
  <si>
    <t>17572</t>
  </si>
  <si>
    <t>11A1 Cilt Bakımı Ve Makyaj</t>
  </si>
  <si>
    <t>76706</t>
  </si>
  <si>
    <t>73630</t>
  </si>
  <si>
    <t>99696</t>
  </si>
  <si>
    <t>28806</t>
  </si>
  <si>
    <t>86246</t>
  </si>
  <si>
    <t>50670</t>
  </si>
  <si>
    <t>27306</t>
  </si>
  <si>
    <t>11E1 Dizel Motorları Yakıt Pompası Ve Enjektör Ayarcılığı</t>
  </si>
  <si>
    <t>13036</t>
  </si>
  <si>
    <t>11E Dizel Motorları Yakıt Pompası Ve Enjektör Ayarcılığı</t>
  </si>
  <si>
    <t>36446</t>
  </si>
  <si>
    <t>11C Elektrik Tesisatları Ve Pano Montörlüğü</t>
  </si>
  <si>
    <t>42738</t>
  </si>
  <si>
    <t>11K8 Elektrik Tesisatları Ve Pano Montörlüğü</t>
  </si>
  <si>
    <t>36498</t>
  </si>
  <si>
    <t>26118</t>
  </si>
  <si>
    <t>07746</t>
  </si>
  <si>
    <t>67420</t>
  </si>
  <si>
    <t>18464</t>
  </si>
  <si>
    <t>37098</t>
  </si>
  <si>
    <t>45062</t>
  </si>
  <si>
    <t>58654</t>
  </si>
  <si>
    <t>33590</t>
  </si>
  <si>
    <t>72574</t>
  </si>
  <si>
    <t>22384</t>
  </si>
  <si>
    <t>42838</t>
  </si>
  <si>
    <t>11116</t>
  </si>
  <si>
    <t>20508</t>
  </si>
  <si>
    <t>65394</t>
  </si>
  <si>
    <t>76998</t>
  </si>
  <si>
    <t>42862</t>
  </si>
  <si>
    <t>05130</t>
  </si>
  <si>
    <t>11C2 Elektrikli Ev Aletleri Teknik Servisi</t>
  </si>
  <si>
    <t>03182</t>
  </si>
  <si>
    <t>48436</t>
  </si>
  <si>
    <t>38688</t>
  </si>
  <si>
    <t>11C3 Endüstriyel Bakım Onarım</t>
  </si>
  <si>
    <t>13282</t>
  </si>
  <si>
    <t>11K12 Endüstriyel Reklamcı (Tabelacı)</t>
  </si>
  <si>
    <t>46582</t>
  </si>
  <si>
    <t>11B Erkek Kuaförlüğü</t>
  </si>
  <si>
    <t>53726</t>
  </si>
  <si>
    <t>56992</t>
  </si>
  <si>
    <t>10024</t>
  </si>
  <si>
    <t>98074</t>
  </si>
  <si>
    <t>05946</t>
  </si>
  <si>
    <t>30984</t>
  </si>
  <si>
    <t>15792</t>
  </si>
  <si>
    <t>87248</t>
  </si>
  <si>
    <t>89608</t>
  </si>
  <si>
    <t>36224</t>
  </si>
  <si>
    <t>78898</t>
  </si>
  <si>
    <t>37336</t>
  </si>
  <si>
    <t>49746</t>
  </si>
  <si>
    <t>09330</t>
  </si>
  <si>
    <t>75354</t>
  </si>
  <si>
    <t>07904</t>
  </si>
  <si>
    <t>05912</t>
  </si>
  <si>
    <t>92538</t>
  </si>
  <si>
    <t>31158</t>
  </si>
  <si>
    <t>59776</t>
  </si>
  <si>
    <t>56816</t>
  </si>
  <si>
    <t>53580</t>
  </si>
  <si>
    <t>87622</t>
  </si>
  <si>
    <t>56512</t>
  </si>
  <si>
    <t>82540</t>
  </si>
  <si>
    <t>42300</t>
  </si>
  <si>
    <t>29162</t>
  </si>
  <si>
    <t>36876</t>
  </si>
  <si>
    <t>30532</t>
  </si>
  <si>
    <t>02092</t>
  </si>
  <si>
    <t>88520</t>
  </si>
  <si>
    <t>80350</t>
  </si>
  <si>
    <t>32466</t>
  </si>
  <si>
    <t>71130</t>
  </si>
  <si>
    <t>25750</t>
  </si>
  <si>
    <t>68942</t>
  </si>
  <si>
    <t>77606</t>
  </si>
  <si>
    <t>11H2 Fırıncılık</t>
  </si>
  <si>
    <t>85182</t>
  </si>
  <si>
    <t>11D2 Fotoğraf</t>
  </si>
  <si>
    <t>02122</t>
  </si>
  <si>
    <t>63372</t>
  </si>
  <si>
    <t>28134</t>
  </si>
  <si>
    <t>11İ4 Gaz Yakıcı Cihazlar Ve Servis</t>
  </si>
  <si>
    <t>74272</t>
  </si>
  <si>
    <t>61490</t>
  </si>
  <si>
    <t>75140</t>
  </si>
  <si>
    <t>12502</t>
  </si>
  <si>
    <t>11K10 Görüntü Ve Ses Sistemleri</t>
  </si>
  <si>
    <t>14672</t>
  </si>
  <si>
    <t>87422</t>
  </si>
  <si>
    <t>87326</t>
  </si>
  <si>
    <t>19706</t>
  </si>
  <si>
    <t>11C4 Haberleşme Sistemleri</t>
  </si>
  <si>
    <t>01862</t>
  </si>
  <si>
    <t>31272</t>
  </si>
  <si>
    <t>69306</t>
  </si>
  <si>
    <t>11İ3 Isıtma Ve Sıhhi Tesisat Sistemleri</t>
  </si>
  <si>
    <t>48092</t>
  </si>
  <si>
    <t>89580</t>
  </si>
  <si>
    <t>17506</t>
  </si>
  <si>
    <t>80908</t>
  </si>
  <si>
    <t>43164</t>
  </si>
  <si>
    <t>11K6 İç Mekân Ve Mobilya Teknolojisi</t>
  </si>
  <si>
    <t>20822</t>
  </si>
  <si>
    <t>68654</t>
  </si>
  <si>
    <t>68502</t>
  </si>
  <si>
    <t>11İ5 İklimlendirme Sistemleri</t>
  </si>
  <si>
    <t>93702</t>
  </si>
  <si>
    <t>53558</t>
  </si>
  <si>
    <t>11F1 İş Makineleri</t>
  </si>
  <si>
    <t>20800</t>
  </si>
  <si>
    <t>46062</t>
  </si>
  <si>
    <t>42344</t>
  </si>
  <si>
    <t>11A Kadın Kuaförlüğü</t>
  </si>
  <si>
    <t>45418</t>
  </si>
  <si>
    <t>28092</t>
  </si>
  <si>
    <t>07146</t>
  </si>
  <si>
    <t>11798</t>
  </si>
  <si>
    <t>29312</t>
  </si>
  <si>
    <t>95950</t>
  </si>
  <si>
    <t>43604</t>
  </si>
  <si>
    <t>92870</t>
  </si>
  <si>
    <t>72116</t>
  </si>
  <si>
    <t>23012</t>
  </si>
  <si>
    <t>11146</t>
  </si>
  <si>
    <t>82016</t>
  </si>
  <si>
    <t>83602</t>
  </si>
  <si>
    <t>78942</t>
  </si>
  <si>
    <t>87104</t>
  </si>
  <si>
    <t>10102</t>
  </si>
  <si>
    <t>20346</t>
  </si>
  <si>
    <t>46844</t>
  </si>
  <si>
    <t>36164</t>
  </si>
  <si>
    <t>28944</t>
  </si>
  <si>
    <t>03192</t>
  </si>
  <si>
    <t>48796</t>
  </si>
  <si>
    <t>00502</t>
  </si>
  <si>
    <t>45850</t>
  </si>
  <si>
    <t>47696</t>
  </si>
  <si>
    <t>66284</t>
  </si>
  <si>
    <t>08528</t>
  </si>
  <si>
    <t>76468</t>
  </si>
  <si>
    <t>92786</t>
  </si>
  <si>
    <t>73252</t>
  </si>
  <si>
    <t>87824</t>
  </si>
  <si>
    <t>27210</t>
  </si>
  <si>
    <t>01008</t>
  </si>
  <si>
    <t>42236</t>
  </si>
  <si>
    <t>21942</t>
  </si>
  <si>
    <t>00652</t>
  </si>
  <si>
    <t>15192</t>
  </si>
  <si>
    <t>65982</t>
  </si>
  <si>
    <t>33090</t>
  </si>
  <si>
    <t>11K Kaynakçılık</t>
  </si>
  <si>
    <t>99504</t>
  </si>
  <si>
    <t>52256</t>
  </si>
  <si>
    <t>46776</t>
  </si>
  <si>
    <t>84600</t>
  </si>
  <si>
    <t>11236</t>
  </si>
  <si>
    <t>30916</t>
  </si>
  <si>
    <t>11İ1 Makine Bakım Onarım</t>
  </si>
  <si>
    <t>55964</t>
  </si>
  <si>
    <t>80996</t>
  </si>
  <si>
    <t>68046</t>
  </si>
  <si>
    <t>11İ2 Mermer İşleme</t>
  </si>
  <si>
    <t>82664</t>
  </si>
  <si>
    <t>11K2 Metal Doğrama</t>
  </si>
  <si>
    <t>79540</t>
  </si>
  <si>
    <t>11K3 Muhasebe</t>
  </si>
  <si>
    <t>45152</t>
  </si>
  <si>
    <t>93028</t>
  </si>
  <si>
    <t>94422</t>
  </si>
  <si>
    <t>11E2 Otomotiv Boya</t>
  </si>
  <si>
    <t>67478</t>
  </si>
  <si>
    <t>41566</t>
  </si>
  <si>
    <t>49090</t>
  </si>
  <si>
    <t>44906</t>
  </si>
  <si>
    <t>44400</t>
  </si>
  <si>
    <t>02270</t>
  </si>
  <si>
    <t>11G1 Otomotiv Elektrikçiliği</t>
  </si>
  <si>
    <t>12594</t>
  </si>
  <si>
    <t>85200</t>
  </si>
  <si>
    <t>00114</t>
  </si>
  <si>
    <t>21962</t>
  </si>
  <si>
    <t>27494</t>
  </si>
  <si>
    <t>14728</t>
  </si>
  <si>
    <t>11E Otomotiv Elektromekanik</t>
  </si>
  <si>
    <t>02554</t>
  </si>
  <si>
    <t>30792</t>
  </si>
  <si>
    <t>11014</t>
  </si>
  <si>
    <t>11F Otomotiv Elektromekanik</t>
  </si>
  <si>
    <t>26386</t>
  </si>
  <si>
    <t>93376</t>
  </si>
  <si>
    <t>27944</t>
  </si>
  <si>
    <t>10382</t>
  </si>
  <si>
    <t>31906</t>
  </si>
  <si>
    <t>37724</t>
  </si>
  <si>
    <t>69562</t>
  </si>
  <si>
    <t>87084</t>
  </si>
  <si>
    <t>32114</t>
  </si>
  <si>
    <t>99054</t>
  </si>
  <si>
    <t>34284</t>
  </si>
  <si>
    <t>06434</t>
  </si>
  <si>
    <t>22878</t>
  </si>
  <si>
    <t>31488</t>
  </si>
  <si>
    <t>08348</t>
  </si>
  <si>
    <t>56974</t>
  </si>
  <si>
    <t>39952</t>
  </si>
  <si>
    <t>70872</t>
  </si>
  <si>
    <t>28324</t>
  </si>
  <si>
    <t>72962</t>
  </si>
  <si>
    <t>99598</t>
  </si>
  <si>
    <t>80080</t>
  </si>
  <si>
    <t>24474</t>
  </si>
  <si>
    <t>52972</t>
  </si>
  <si>
    <t>14092</t>
  </si>
  <si>
    <t>65202</t>
  </si>
  <si>
    <t>23710</t>
  </si>
  <si>
    <t>65748</t>
  </si>
  <si>
    <t>82678</t>
  </si>
  <si>
    <t>20524</t>
  </si>
  <si>
    <t>53176</t>
  </si>
  <si>
    <t>50402</t>
  </si>
  <si>
    <t>52794</t>
  </si>
  <si>
    <t>34860</t>
  </si>
  <si>
    <t>51002</t>
  </si>
  <si>
    <t>72926</t>
  </si>
  <si>
    <t>19980</t>
  </si>
  <si>
    <t>54422</t>
  </si>
  <si>
    <t>73954</t>
  </si>
  <si>
    <t>76284</t>
  </si>
  <si>
    <t>64602</t>
  </si>
  <si>
    <t>60536</t>
  </si>
  <si>
    <t>51560</t>
  </si>
  <si>
    <t>22486</t>
  </si>
  <si>
    <t>41472</t>
  </si>
  <si>
    <t>82932</t>
  </si>
  <si>
    <t>06460</t>
  </si>
  <si>
    <t>88290</t>
  </si>
  <si>
    <t>43412</t>
  </si>
  <si>
    <t>52922</t>
  </si>
  <si>
    <t>76500</t>
  </si>
  <si>
    <t>33408</t>
  </si>
  <si>
    <t>19968</t>
  </si>
  <si>
    <t>35640</t>
  </si>
  <si>
    <t>69926</t>
  </si>
  <si>
    <t>00364</t>
  </si>
  <si>
    <t>21304</t>
  </si>
  <si>
    <t>59944</t>
  </si>
  <si>
    <t>11H1 Otomotiv Gövde</t>
  </si>
  <si>
    <t>26062</t>
  </si>
  <si>
    <t>82964</t>
  </si>
  <si>
    <t>07614</t>
  </si>
  <si>
    <t>16274</t>
  </si>
  <si>
    <t>75824</t>
  </si>
  <si>
    <t>75318</t>
  </si>
  <si>
    <t>16110</t>
  </si>
  <si>
    <t>95848</t>
  </si>
  <si>
    <t>12270</t>
  </si>
  <si>
    <t>48950</t>
  </si>
  <si>
    <t>59590</t>
  </si>
  <si>
    <t>08876</t>
  </si>
  <si>
    <t>11H Otomotiv Mekanikerliği</t>
  </si>
  <si>
    <t>00732</t>
  </si>
  <si>
    <t>40080</t>
  </si>
  <si>
    <t>64792</t>
  </si>
  <si>
    <t>43878</t>
  </si>
  <si>
    <t>11G Otomotiv Mekanikerliği</t>
  </si>
  <si>
    <t>16228</t>
  </si>
  <si>
    <t>25344</t>
  </si>
  <si>
    <t>13888</t>
  </si>
  <si>
    <t>29594</t>
  </si>
  <si>
    <t>06942</t>
  </si>
  <si>
    <t>48614</t>
  </si>
  <si>
    <t>61716</t>
  </si>
  <si>
    <t>89964</t>
  </si>
  <si>
    <t>33128</t>
  </si>
  <si>
    <t>19186</t>
  </si>
  <si>
    <t>40348</t>
  </si>
  <si>
    <t>58516</t>
  </si>
  <si>
    <t>35360</t>
  </si>
  <si>
    <t>17522</t>
  </si>
  <si>
    <t>52494</t>
  </si>
  <si>
    <t>33018</t>
  </si>
  <si>
    <t>62728</t>
  </si>
  <si>
    <t>42292</t>
  </si>
  <si>
    <t>81232</t>
  </si>
  <si>
    <t>76296</t>
  </si>
  <si>
    <t>22236</t>
  </si>
  <si>
    <t>52620</t>
  </si>
  <si>
    <t>77682</t>
  </si>
  <si>
    <t>17892</t>
  </si>
  <si>
    <t>20420</t>
  </si>
  <si>
    <t>98004</t>
  </si>
  <si>
    <t>21396</t>
  </si>
  <si>
    <t>64194</t>
  </si>
  <si>
    <t>26064</t>
  </si>
  <si>
    <t>25278</t>
  </si>
  <si>
    <t>57262</t>
  </si>
  <si>
    <t>91548</t>
  </si>
  <si>
    <t>16912</t>
  </si>
  <si>
    <t>01428</t>
  </si>
  <si>
    <t>22694</t>
  </si>
  <si>
    <t>06506</t>
  </si>
  <si>
    <t>17178</t>
  </si>
  <si>
    <t>53368</t>
  </si>
  <si>
    <t>17420</t>
  </si>
  <si>
    <t>31432</t>
  </si>
  <si>
    <t>77364</t>
  </si>
  <si>
    <t>72330</t>
  </si>
  <si>
    <t>72032</t>
  </si>
  <si>
    <t>93520</t>
  </si>
  <si>
    <t>42480</t>
  </si>
  <si>
    <t>69404</t>
  </si>
  <si>
    <t>79458</t>
  </si>
  <si>
    <t>04466</t>
  </si>
  <si>
    <t>11G2 Otomotiv Motor Yenileştirmeciliği</t>
  </si>
  <si>
    <t>88340</t>
  </si>
  <si>
    <t>52704</t>
  </si>
  <si>
    <t>11F2 Ön Düzen Ayarcılığı Ve Lastikçilik</t>
  </si>
  <si>
    <t>33150</t>
  </si>
  <si>
    <t>88130</t>
  </si>
  <si>
    <t>59884</t>
  </si>
  <si>
    <t>62260</t>
  </si>
  <si>
    <t>48560</t>
  </si>
  <si>
    <t>06378</t>
  </si>
  <si>
    <t>57248</t>
  </si>
  <si>
    <t>11D1 Pasta Ve Tatlı Yapımı</t>
  </si>
  <si>
    <t>60296</t>
  </si>
  <si>
    <t>03572</t>
  </si>
  <si>
    <t>21624</t>
  </si>
  <si>
    <t>94092</t>
  </si>
  <si>
    <t>39110</t>
  </si>
  <si>
    <t>91558</t>
  </si>
  <si>
    <t>02632</t>
  </si>
  <si>
    <t>14182</t>
  </si>
  <si>
    <t>87270</t>
  </si>
  <si>
    <t>29232</t>
  </si>
  <si>
    <t>29046</t>
  </si>
  <si>
    <t>11K1 Sac İşleri</t>
  </si>
  <si>
    <t>54478</t>
  </si>
  <si>
    <t>37854</t>
  </si>
  <si>
    <t>29636</t>
  </si>
  <si>
    <t>11D3 Satış Elemanlığı</t>
  </si>
  <si>
    <t>69156</t>
  </si>
  <si>
    <t>78332</t>
  </si>
  <si>
    <t>11D4 Sigortacılık</t>
  </si>
  <si>
    <t>01360</t>
  </si>
  <si>
    <t>11İ6 Soğutma Sistemleri</t>
  </si>
  <si>
    <t>88706</t>
  </si>
  <si>
    <t>11K11 Vitrin Kuyumculuğu</t>
  </si>
  <si>
    <t>97992</t>
  </si>
  <si>
    <t>64268</t>
  </si>
  <si>
    <t>11K5 Yazılım Geliştirme</t>
  </si>
  <si>
    <t>95372</t>
  </si>
  <si>
    <t>67976</t>
  </si>
  <si>
    <t>12B2 Ahşap Doğrama Teknolojisi</t>
  </si>
  <si>
    <t>87976</t>
  </si>
  <si>
    <t>42104</t>
  </si>
  <si>
    <t>12E4 Aşçılık</t>
  </si>
  <si>
    <t>55532</t>
  </si>
  <si>
    <t>66542</t>
  </si>
  <si>
    <t>28494</t>
  </si>
  <si>
    <t>36262</t>
  </si>
  <si>
    <t>01902</t>
  </si>
  <si>
    <t>12F5 Bilgisayar Destekli Makine Ressamlığı</t>
  </si>
  <si>
    <t>78378</t>
  </si>
  <si>
    <t>12F6 Bilgisayar Teknik Servisi</t>
  </si>
  <si>
    <t>88426</t>
  </si>
  <si>
    <t>12F3 Bilgisayarlı Makine İmalatı</t>
  </si>
  <si>
    <t>71598</t>
  </si>
  <si>
    <t>39886</t>
  </si>
  <si>
    <t>74600</t>
  </si>
  <si>
    <t>05340</t>
  </si>
  <si>
    <t>72856</t>
  </si>
  <si>
    <t>52196</t>
  </si>
  <si>
    <t>12C1 Bobinaj</t>
  </si>
  <si>
    <t>32964</t>
  </si>
  <si>
    <t>27516</t>
  </si>
  <si>
    <t>22442</t>
  </si>
  <si>
    <t>99856</t>
  </si>
  <si>
    <t>55992</t>
  </si>
  <si>
    <t>12A1 Cilt Bakımı Ve Makyaj</t>
  </si>
  <si>
    <t>09186</t>
  </si>
  <si>
    <t>77900</t>
  </si>
  <si>
    <t>36980</t>
  </si>
  <si>
    <t>69514</t>
  </si>
  <si>
    <t>46924</t>
  </si>
  <si>
    <t>80910</t>
  </si>
  <si>
    <t>24766</t>
  </si>
  <si>
    <t>12D1 Dizel Motorları Yakıt Pompası Ve Enjektör Ayarcılığı</t>
  </si>
  <si>
    <t>69616</t>
  </si>
  <si>
    <t>12C Elektrik Tesisatları Ve Pano Montörlüğü</t>
  </si>
  <si>
    <t>33432</t>
  </si>
  <si>
    <t>54530</t>
  </si>
  <si>
    <t>51750</t>
  </si>
  <si>
    <t>26510</t>
  </si>
  <si>
    <t>27312</t>
  </si>
  <si>
    <t>41010</t>
  </si>
  <si>
    <t>85556</t>
  </si>
  <si>
    <t>61870</t>
  </si>
  <si>
    <t>67874</t>
  </si>
  <si>
    <t>99138</t>
  </si>
  <si>
    <t>40426</t>
  </si>
  <si>
    <t>12C2 Elektrikli Ev Aletleri Teknik Servisi</t>
  </si>
  <si>
    <t>31604</t>
  </si>
  <si>
    <t>38612</t>
  </si>
  <si>
    <t>12C3 Endüstriyel Bakım Onarım</t>
  </si>
  <si>
    <t>37982</t>
  </si>
  <si>
    <t>86596</t>
  </si>
  <si>
    <t>15522</t>
  </si>
  <si>
    <t>12B Erkek Kuaförlüğü</t>
  </si>
  <si>
    <t>17214</t>
  </si>
  <si>
    <t>20096</t>
  </si>
  <si>
    <t>59380</t>
  </si>
  <si>
    <t>08078</t>
  </si>
  <si>
    <t>14094</t>
  </si>
  <si>
    <t>40060</t>
  </si>
  <si>
    <t>64802</t>
  </si>
  <si>
    <t>03496</t>
  </si>
  <si>
    <t>49590</t>
  </si>
  <si>
    <t>40444</t>
  </si>
  <si>
    <t>82770</t>
  </si>
  <si>
    <t>61036</t>
  </si>
  <si>
    <t>19734</t>
  </si>
  <si>
    <t>22758</t>
  </si>
  <si>
    <t>88460</t>
  </si>
  <si>
    <t>47510</t>
  </si>
  <si>
    <t>80578</t>
  </si>
  <si>
    <t>75526</t>
  </si>
  <si>
    <t>02478</t>
  </si>
  <si>
    <t>14588</t>
  </si>
  <si>
    <t>03638</t>
  </si>
  <si>
    <t>47258</t>
  </si>
  <si>
    <t>25428</t>
  </si>
  <si>
    <t>54650</t>
  </si>
  <si>
    <t>29042</t>
  </si>
  <si>
    <t>20400</t>
  </si>
  <si>
    <t>12F8 Fotoğraf</t>
  </si>
  <si>
    <t>83752</t>
  </si>
  <si>
    <t>12F1 Gaz Yakıcı Cihazlar Ve Servis</t>
  </si>
  <si>
    <t>17466</t>
  </si>
  <si>
    <t>12C4 Görüntü Ve Ses Sistemleri</t>
  </si>
  <si>
    <t>22330</t>
  </si>
  <si>
    <t>26080</t>
  </si>
  <si>
    <t>12F9 Grafik</t>
  </si>
  <si>
    <t>20972</t>
  </si>
  <si>
    <t>12F Isıtma Ve Sıhhi Tesisat Sistemleri</t>
  </si>
  <si>
    <t>14902</t>
  </si>
  <si>
    <t>74350</t>
  </si>
  <si>
    <t>12 Isıtma Ve Sıhhi Tesisat Sistemleri</t>
  </si>
  <si>
    <t>32462</t>
  </si>
  <si>
    <t>42662</t>
  </si>
  <si>
    <t>53046</t>
  </si>
  <si>
    <t>55528</t>
  </si>
  <si>
    <t>17304</t>
  </si>
  <si>
    <t>24070</t>
  </si>
  <si>
    <t>12B3 İç Mekân Ve Mobilya Teknolojisi</t>
  </si>
  <si>
    <t>40442</t>
  </si>
  <si>
    <t>12F2 İklimlendirme Sistemleri</t>
  </si>
  <si>
    <t>62128</t>
  </si>
  <si>
    <t>12D2 İş Makineleri</t>
  </si>
  <si>
    <t>50324</t>
  </si>
  <si>
    <t>12A Kadın Kuaförlüğü</t>
  </si>
  <si>
    <t>38336</t>
  </si>
  <si>
    <t>71576</t>
  </si>
  <si>
    <t>23862</t>
  </si>
  <si>
    <t>70764</t>
  </si>
  <si>
    <t>18868</t>
  </si>
  <si>
    <t>18866</t>
  </si>
  <si>
    <t>57364</t>
  </si>
  <si>
    <t>48488</t>
  </si>
  <si>
    <t>47228</t>
  </si>
  <si>
    <t>36434</t>
  </si>
  <si>
    <t>21644</t>
  </si>
  <si>
    <t>66432</t>
  </si>
  <si>
    <t>42968</t>
  </si>
  <si>
    <t>92008</t>
  </si>
  <si>
    <t>62904</t>
  </si>
  <si>
    <t>53872</t>
  </si>
  <si>
    <t>11868</t>
  </si>
  <si>
    <t>40032</t>
  </si>
  <si>
    <t>94150</t>
  </si>
  <si>
    <t>19370</t>
  </si>
  <si>
    <t>20388</t>
  </si>
  <si>
    <t>29690</t>
  </si>
  <si>
    <t>61620</t>
  </si>
  <si>
    <t>94008</t>
  </si>
  <si>
    <t>12F10 Kadın Terziliği</t>
  </si>
  <si>
    <t>59446</t>
  </si>
  <si>
    <t>12F11 Kantin İşletmeciliği</t>
  </si>
  <si>
    <t>32928</t>
  </si>
  <si>
    <t>12F4 Makine Bakım Onarım</t>
  </si>
  <si>
    <t>49470</t>
  </si>
  <si>
    <t>38492</t>
  </si>
  <si>
    <t>70392</t>
  </si>
  <si>
    <t>12B4 Mobilya İskeleti Ve Döşemesi</t>
  </si>
  <si>
    <t>10762</t>
  </si>
  <si>
    <t>12F7 Muhasebe</t>
  </si>
  <si>
    <t>44538</t>
  </si>
  <si>
    <t>44180</t>
  </si>
  <si>
    <t>12E1 Otomotiv Elektrikçiliği</t>
  </si>
  <si>
    <t>56592</t>
  </si>
  <si>
    <t>42130</t>
  </si>
  <si>
    <t>23748</t>
  </si>
  <si>
    <t>35332</t>
  </si>
  <si>
    <t>12D Otomotiv Elektromekanik</t>
  </si>
  <si>
    <t>35128</t>
  </si>
  <si>
    <t>10578</t>
  </si>
  <si>
    <t>75352</t>
  </si>
  <si>
    <t>08960</t>
  </si>
  <si>
    <t>29536</t>
  </si>
  <si>
    <t>29754</t>
  </si>
  <si>
    <t>32842</t>
  </si>
  <si>
    <t>83230</t>
  </si>
  <si>
    <t>88874</t>
  </si>
  <si>
    <t>95696</t>
  </si>
  <si>
    <t>25836</t>
  </si>
  <si>
    <t>24458</t>
  </si>
  <si>
    <t>29946</t>
  </si>
  <si>
    <t>95920</t>
  </si>
  <si>
    <t>71706</t>
  </si>
  <si>
    <t>51470</t>
  </si>
  <si>
    <t>19530</t>
  </si>
  <si>
    <t>78678</t>
  </si>
  <si>
    <t>09168</t>
  </si>
  <si>
    <t>94566</t>
  </si>
  <si>
    <t>12 Otomotiv Elektromekanik</t>
  </si>
  <si>
    <t>83028</t>
  </si>
  <si>
    <t>06582</t>
  </si>
  <si>
    <t>98392</t>
  </si>
  <si>
    <t>54414</t>
  </si>
  <si>
    <t>64910</t>
  </si>
  <si>
    <t>24316</t>
  </si>
  <si>
    <t>73750</t>
  </si>
  <si>
    <t>81890</t>
  </si>
  <si>
    <t>12E2 Otomotiv Gövde</t>
  </si>
  <si>
    <t>78768</t>
  </si>
  <si>
    <t>15566</t>
  </si>
  <si>
    <t>67912</t>
  </si>
  <si>
    <t>08124</t>
  </si>
  <si>
    <t>15246</t>
  </si>
  <si>
    <t>12E Otomotiv Mekanikerliği</t>
  </si>
  <si>
    <t>86180</t>
  </si>
  <si>
    <t>68134</t>
  </si>
  <si>
    <t>46498</t>
  </si>
  <si>
    <t>26490</t>
  </si>
  <si>
    <t>14894</t>
  </si>
  <si>
    <t>22640</t>
  </si>
  <si>
    <t>52836</t>
  </si>
  <si>
    <t>71978</t>
  </si>
  <si>
    <t>35328</t>
  </si>
  <si>
    <t>96592</t>
  </si>
  <si>
    <t>81590</t>
  </si>
  <si>
    <t>78014</t>
  </si>
  <si>
    <t>13964</t>
  </si>
  <si>
    <t>24590</t>
  </si>
  <si>
    <t>12D3 Otomotiv Motor Yenileştirmeciliği</t>
  </si>
  <si>
    <t>10410</t>
  </si>
  <si>
    <t>12E3 Ön Düzen Ayarcılığı Ve Lastikçilik</t>
  </si>
  <si>
    <t>36214</t>
  </si>
  <si>
    <t>83226</t>
  </si>
  <si>
    <t>00144</t>
  </si>
  <si>
    <t>21488</t>
  </si>
  <si>
    <t>12E5 Pasta Ve Tatlı Yapımı</t>
  </si>
  <si>
    <t>58232</t>
  </si>
  <si>
    <t>72302</t>
  </si>
  <si>
    <t>78826</t>
  </si>
  <si>
    <t>12B1 Sac İşleri</t>
  </si>
  <si>
    <t>61928</t>
  </si>
  <si>
    <t>74440</t>
  </si>
  <si>
    <t>09708</t>
  </si>
  <si>
    <t>tc_son5</t>
  </si>
  <si>
    <t>ad_soyad</t>
  </si>
  <si>
    <t>sube</t>
  </si>
  <si>
    <t>PAZARTESİ</t>
  </si>
  <si>
    <t>SALI</t>
  </si>
  <si>
    <t>ÇARŞAMBA</t>
  </si>
  <si>
    <t>PERŞEMBE</t>
  </si>
  <si>
    <t>CUMA</t>
  </si>
  <si>
    <t>9A</t>
  </si>
  <si>
    <t>9B</t>
  </si>
  <si>
    <t>9C</t>
  </si>
  <si>
    <t>9D</t>
  </si>
  <si>
    <t>10A</t>
  </si>
  <si>
    <t>10B</t>
  </si>
  <si>
    <t>10C</t>
  </si>
  <si>
    <t>10D</t>
  </si>
  <si>
    <t>10E</t>
  </si>
  <si>
    <t>10F</t>
  </si>
  <si>
    <t>10G</t>
  </si>
  <si>
    <t>10H</t>
  </si>
  <si>
    <t>10İ</t>
  </si>
  <si>
    <t>10K</t>
  </si>
  <si>
    <t>10L</t>
  </si>
  <si>
    <t>10M</t>
  </si>
  <si>
    <t>11B</t>
  </si>
  <si>
    <t>11C</t>
  </si>
  <si>
    <t>11D</t>
  </si>
  <si>
    <t>11E</t>
  </si>
  <si>
    <t>11A</t>
  </si>
  <si>
    <t>11F</t>
  </si>
  <si>
    <t>11G</t>
  </si>
  <si>
    <t>11H</t>
  </si>
  <si>
    <t>11İ</t>
  </si>
  <si>
    <t>11K</t>
  </si>
  <si>
    <t>12C</t>
  </si>
  <si>
    <t>12A</t>
  </si>
  <si>
    <t>12B</t>
  </si>
  <si>
    <t>12D</t>
  </si>
  <si>
    <t>12E</t>
  </si>
  <si>
    <t>12F</t>
  </si>
  <si>
    <t>9F</t>
  </si>
  <si>
    <t>9E</t>
  </si>
  <si>
    <t>9G1</t>
  </si>
  <si>
    <t>9A2</t>
  </si>
  <si>
    <t>9E1</t>
  </si>
  <si>
    <t>9A3</t>
  </si>
  <si>
    <t>9D2</t>
  </si>
  <si>
    <t>9D4</t>
  </si>
  <si>
    <t>9D3</t>
  </si>
  <si>
    <t>9A1</t>
  </si>
  <si>
    <t>9 O</t>
  </si>
  <si>
    <t xml:space="preserve">10 </t>
  </si>
  <si>
    <t>10N</t>
  </si>
  <si>
    <t xml:space="preserve">12 </t>
  </si>
  <si>
    <t>9G</t>
  </si>
  <si>
    <t>9A19A29A39A4</t>
  </si>
  <si>
    <t>9B9B19B29B39B4</t>
  </si>
  <si>
    <t>9C19C29C39C4</t>
  </si>
  <si>
    <t>9D19D29D39D4</t>
  </si>
  <si>
    <t>9E19E29E39E4</t>
  </si>
  <si>
    <t>9F19F29F39F4</t>
  </si>
  <si>
    <t>9K</t>
  </si>
  <si>
    <t>9O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</si>
</sst>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0"/>
      <color theme="1"/>
      <name val="Aptos Narrow"/>
      <family val="2"/>
      <charset val="162"/>
      <scheme val="minor"/>
    </font>
    <font>
      <b/>
      <sz val="10"/>
      <color theme="1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49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A8AF-2C7F-42C8-B833-7D49F599C0FC}">
  <dimension ref="A1:J1365"/>
  <sheetViews>
    <sheetView showGridLines="0" topLeftCell="D1" workbookViewId="0">
      <selection activeCell="J4" sqref="J4"/>
    </sheetView>
  </sheetViews>
  <sheetFormatPr defaultRowHeight="15" x14ac:dyDescent="0.25"/>
  <cols>
    <col min="1" max="1" width="23" customWidth="1"/>
    <col min="2" max="2" width="49.85546875" customWidth="1"/>
    <col min="3" max="3" width="31.42578125" customWidth="1"/>
    <col min="4" max="4" width="45" customWidth="1"/>
    <col min="5" max="5" width="8.42578125" customWidth="1"/>
    <col min="6" max="6" width="18.42578125" customWidth="1"/>
    <col min="7" max="7" width="9.140625" style="4"/>
    <col min="8" max="8" width="30.28515625" bestFit="1" customWidth="1"/>
    <col min="9" max="9" width="51.7109375" bestFit="1" customWidth="1"/>
  </cols>
  <sheetData>
    <row r="1" spans="1:10" x14ac:dyDescent="0.25">
      <c r="A1" s="1" t="s">
        <v>1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</row>
    <row r="2" spans="1:10" x14ac:dyDescent="0.25">
      <c r="A2" s="1" t="s">
        <v>0</v>
      </c>
      <c r="B2" s="1" t="s">
        <v>3</v>
      </c>
      <c r="C2" s="1" t="s">
        <v>5</v>
      </c>
      <c r="D2" s="1" t="s">
        <v>7</v>
      </c>
      <c r="E2" s="1" t="s">
        <v>0</v>
      </c>
      <c r="F2" s="1" t="s">
        <v>10</v>
      </c>
    </row>
    <row r="4" spans="1:10" x14ac:dyDescent="0.25">
      <c r="A4" s="3">
        <v>51274185610</v>
      </c>
      <c r="B4" s="3" t="s">
        <v>11</v>
      </c>
      <c r="C4" s="3" t="s">
        <v>12</v>
      </c>
      <c r="D4" s="3" t="s">
        <v>13</v>
      </c>
      <c r="E4" s="3">
        <v>9</v>
      </c>
      <c r="F4" s="3" t="s">
        <v>14</v>
      </c>
      <c r="G4" s="4" t="str">
        <f>RIGHT(A4,5)</f>
        <v>85610</v>
      </c>
      <c r="H4" t="str">
        <f>B4</f>
        <v>Umut KAYA</v>
      </c>
      <c r="I4" t="str">
        <f>CONCATENATE(E4,F4," ",D4)</f>
        <v>9D Asansör Sistemleri</v>
      </c>
      <c r="J4" t="str">
        <f>LEFT(I4,3)</f>
        <v xml:space="preserve">9D </v>
      </c>
    </row>
    <row r="5" spans="1:10" x14ac:dyDescent="0.25">
      <c r="A5" s="3">
        <v>17897587170</v>
      </c>
      <c r="B5" s="3" t="s">
        <v>15</v>
      </c>
      <c r="C5" s="3" t="s">
        <v>12</v>
      </c>
      <c r="D5" s="3" t="s">
        <v>16</v>
      </c>
      <c r="E5" s="3">
        <v>9</v>
      </c>
      <c r="F5" s="3" t="s">
        <v>17</v>
      </c>
      <c r="G5" s="4" t="str">
        <f t="shared" ref="G5:G68" si="0">RIGHT(A5,5)</f>
        <v>87170</v>
      </c>
      <c r="H5" t="str">
        <f t="shared" ref="H5:H68" si="1">B5</f>
        <v>Ahmet Emin KAYA</v>
      </c>
      <c r="I5" t="str">
        <f t="shared" ref="I5:I68" si="2">CONCATENATE(E5,F5," ",D5)</f>
        <v>9G1 Aşçılık</v>
      </c>
      <c r="J5" t="str">
        <f t="shared" ref="J5:J68" si="3">LEFT(I5,3)</f>
        <v>9G1</v>
      </c>
    </row>
    <row r="6" spans="1:10" x14ac:dyDescent="0.25">
      <c r="A6" s="3">
        <v>99762019092</v>
      </c>
      <c r="B6" s="3" t="s">
        <v>18</v>
      </c>
      <c r="C6" s="3" t="s">
        <v>12</v>
      </c>
      <c r="D6" s="3" t="s">
        <v>16</v>
      </c>
      <c r="E6" s="3">
        <v>9</v>
      </c>
      <c r="F6" s="3" t="s">
        <v>17</v>
      </c>
      <c r="G6" s="4" t="str">
        <f t="shared" si="0"/>
        <v>19092</v>
      </c>
      <c r="H6" t="str">
        <f t="shared" si="1"/>
        <v>Bahruz ALIZADA</v>
      </c>
      <c r="I6" t="str">
        <f t="shared" si="2"/>
        <v>9G1 Aşçılık</v>
      </c>
      <c r="J6" t="str">
        <f t="shared" si="3"/>
        <v>9G1</v>
      </c>
    </row>
    <row r="7" spans="1:10" x14ac:dyDescent="0.25">
      <c r="A7" s="3">
        <v>63934052934</v>
      </c>
      <c r="B7" s="3" t="s">
        <v>19</v>
      </c>
      <c r="C7" s="3" t="s">
        <v>12</v>
      </c>
      <c r="D7" s="3" t="s">
        <v>16</v>
      </c>
      <c r="E7" s="3">
        <v>9</v>
      </c>
      <c r="F7" s="3" t="s">
        <v>17</v>
      </c>
      <c r="G7" s="4" t="str">
        <f t="shared" si="0"/>
        <v>52934</v>
      </c>
      <c r="H7" t="str">
        <f t="shared" si="1"/>
        <v>Elifnur ŞENGÜL</v>
      </c>
      <c r="I7" t="str">
        <f t="shared" si="2"/>
        <v>9G1 Aşçılık</v>
      </c>
      <c r="J7" t="str">
        <f t="shared" si="3"/>
        <v>9G1</v>
      </c>
    </row>
    <row r="8" spans="1:10" x14ac:dyDescent="0.25">
      <c r="A8" s="3">
        <v>48226575728</v>
      </c>
      <c r="B8" s="3" t="s">
        <v>20</v>
      </c>
      <c r="C8" s="3" t="s">
        <v>12</v>
      </c>
      <c r="D8" s="3" t="s">
        <v>16</v>
      </c>
      <c r="E8" s="3">
        <v>9</v>
      </c>
      <c r="F8" s="3" t="s">
        <v>17</v>
      </c>
      <c r="G8" s="4" t="str">
        <f t="shared" si="0"/>
        <v>75728</v>
      </c>
      <c r="H8" t="str">
        <f t="shared" si="1"/>
        <v>Gül Deniz BİLECEN</v>
      </c>
      <c r="I8" t="str">
        <f t="shared" si="2"/>
        <v>9G1 Aşçılık</v>
      </c>
      <c r="J8" t="str">
        <f t="shared" si="3"/>
        <v>9G1</v>
      </c>
    </row>
    <row r="9" spans="1:10" x14ac:dyDescent="0.25">
      <c r="A9" s="3">
        <v>26270044094</v>
      </c>
      <c r="B9" s="3" t="s">
        <v>21</v>
      </c>
      <c r="C9" s="3" t="s">
        <v>12</v>
      </c>
      <c r="D9" s="3" t="s">
        <v>16</v>
      </c>
      <c r="E9" s="3">
        <v>9</v>
      </c>
      <c r="F9" s="3" t="s">
        <v>17</v>
      </c>
      <c r="G9" s="4" t="str">
        <f t="shared" si="0"/>
        <v>44094</v>
      </c>
      <c r="H9" t="str">
        <f t="shared" si="1"/>
        <v>Levent Eymen BAŞKÖYLÜ</v>
      </c>
      <c r="I9" t="str">
        <f t="shared" si="2"/>
        <v>9G1 Aşçılık</v>
      </c>
      <c r="J9" t="str">
        <f t="shared" si="3"/>
        <v>9G1</v>
      </c>
    </row>
    <row r="10" spans="1:10" x14ac:dyDescent="0.25">
      <c r="A10" s="3">
        <v>55060660558</v>
      </c>
      <c r="B10" s="3" t="s">
        <v>22</v>
      </c>
      <c r="C10" s="3" t="s">
        <v>12</v>
      </c>
      <c r="D10" s="3" t="s">
        <v>16</v>
      </c>
      <c r="E10" s="3">
        <v>9</v>
      </c>
      <c r="F10" s="3" t="s">
        <v>17</v>
      </c>
      <c r="G10" s="4" t="str">
        <f t="shared" si="0"/>
        <v>60558</v>
      </c>
      <c r="H10" t="str">
        <f t="shared" si="1"/>
        <v>Merve RENÇBER</v>
      </c>
      <c r="I10" t="str">
        <f t="shared" si="2"/>
        <v>9G1 Aşçılık</v>
      </c>
      <c r="J10" t="str">
        <f t="shared" si="3"/>
        <v>9G1</v>
      </c>
    </row>
    <row r="11" spans="1:10" x14ac:dyDescent="0.25">
      <c r="A11" s="3">
        <v>19979517570</v>
      </c>
      <c r="B11" s="3" t="s">
        <v>23</v>
      </c>
      <c r="C11" s="3" t="s">
        <v>12</v>
      </c>
      <c r="D11" s="3" t="s">
        <v>16</v>
      </c>
      <c r="E11" s="3">
        <v>9</v>
      </c>
      <c r="F11" s="3" t="s">
        <v>17</v>
      </c>
      <c r="G11" s="4" t="str">
        <f t="shared" si="0"/>
        <v>17570</v>
      </c>
      <c r="H11" t="str">
        <f t="shared" si="1"/>
        <v>Nisanur SUSUR</v>
      </c>
      <c r="I11" t="str">
        <f t="shared" si="2"/>
        <v>9G1 Aşçılık</v>
      </c>
      <c r="J11" t="str">
        <f t="shared" si="3"/>
        <v>9G1</v>
      </c>
    </row>
    <row r="12" spans="1:10" x14ac:dyDescent="0.25">
      <c r="A12" s="3">
        <v>49336599468</v>
      </c>
      <c r="B12" s="3" t="s">
        <v>24</v>
      </c>
      <c r="C12" s="3" t="s">
        <v>12</v>
      </c>
      <c r="D12" s="3" t="s">
        <v>16</v>
      </c>
      <c r="E12" s="3">
        <v>9</v>
      </c>
      <c r="F12" s="3" t="s">
        <v>17</v>
      </c>
      <c r="G12" s="4" t="str">
        <f t="shared" si="0"/>
        <v>99468</v>
      </c>
      <c r="H12" t="str">
        <f t="shared" si="1"/>
        <v>Ömer ÖZBEK</v>
      </c>
      <c r="I12" t="str">
        <f t="shared" si="2"/>
        <v>9G1 Aşçılık</v>
      </c>
      <c r="J12" t="str">
        <f t="shared" si="3"/>
        <v>9G1</v>
      </c>
    </row>
    <row r="13" spans="1:10" x14ac:dyDescent="0.25">
      <c r="A13" s="3">
        <v>16925619616</v>
      </c>
      <c r="B13" s="3" t="s">
        <v>25</v>
      </c>
      <c r="C13" s="3" t="s">
        <v>12</v>
      </c>
      <c r="D13" s="3" t="s">
        <v>16</v>
      </c>
      <c r="E13" s="3">
        <v>9</v>
      </c>
      <c r="F13" s="3" t="s">
        <v>17</v>
      </c>
      <c r="G13" s="4" t="str">
        <f t="shared" si="0"/>
        <v>19616</v>
      </c>
      <c r="H13" t="str">
        <f t="shared" si="1"/>
        <v>Selman Musab YEŞİL</v>
      </c>
      <c r="I13" t="str">
        <f t="shared" si="2"/>
        <v>9G1 Aşçılık</v>
      </c>
      <c r="J13" t="str">
        <f t="shared" si="3"/>
        <v>9G1</v>
      </c>
    </row>
    <row r="14" spans="1:10" x14ac:dyDescent="0.25">
      <c r="A14" s="3">
        <v>34022049600</v>
      </c>
      <c r="B14" s="3" t="s">
        <v>26</v>
      </c>
      <c r="C14" s="3" t="s">
        <v>12</v>
      </c>
      <c r="D14" s="3" t="s">
        <v>27</v>
      </c>
      <c r="E14" s="3">
        <v>9</v>
      </c>
      <c r="F14" s="3" t="s">
        <v>28</v>
      </c>
      <c r="G14" s="4" t="str">
        <f t="shared" si="0"/>
        <v>49600</v>
      </c>
      <c r="H14" t="str">
        <f t="shared" si="1"/>
        <v>Enes BİLİBEY</v>
      </c>
      <c r="I14" t="str">
        <f t="shared" si="2"/>
        <v>9A2 Bilgisayar Teknik Servisi</v>
      </c>
      <c r="J14" t="str">
        <f t="shared" si="3"/>
        <v>9A2</v>
      </c>
    </row>
    <row r="15" spans="1:10" x14ac:dyDescent="0.25">
      <c r="A15" s="3">
        <v>54121379552</v>
      </c>
      <c r="B15" s="3" t="s">
        <v>29</v>
      </c>
      <c r="C15" s="3" t="s">
        <v>12</v>
      </c>
      <c r="D15" s="3" t="s">
        <v>27</v>
      </c>
      <c r="E15" s="3">
        <v>9</v>
      </c>
      <c r="F15" s="3" t="s">
        <v>28</v>
      </c>
      <c r="G15" s="4" t="str">
        <f t="shared" si="0"/>
        <v>79552</v>
      </c>
      <c r="H15" t="str">
        <f t="shared" si="1"/>
        <v>Yiğit Efe SEVİM</v>
      </c>
      <c r="I15" t="str">
        <f t="shared" si="2"/>
        <v>9A2 Bilgisayar Teknik Servisi</v>
      </c>
      <c r="J15" t="str">
        <f t="shared" si="3"/>
        <v>9A2</v>
      </c>
    </row>
    <row r="16" spans="1:10" x14ac:dyDescent="0.25">
      <c r="A16" s="3">
        <v>47755591520</v>
      </c>
      <c r="B16" s="3" t="s">
        <v>30</v>
      </c>
      <c r="C16" s="3" t="s">
        <v>12</v>
      </c>
      <c r="D16" s="3" t="s">
        <v>31</v>
      </c>
      <c r="E16" s="3">
        <v>9</v>
      </c>
      <c r="F16" s="3" t="s">
        <v>32</v>
      </c>
      <c r="G16" s="4" t="str">
        <f t="shared" si="0"/>
        <v>91520</v>
      </c>
      <c r="H16" t="str">
        <f t="shared" si="1"/>
        <v>Arda ÇAYLI</v>
      </c>
      <c r="I16" t="str">
        <f t="shared" si="2"/>
        <v>9E1 Bilgisayarlı Makine İmalatı</v>
      </c>
      <c r="J16" t="str">
        <f t="shared" si="3"/>
        <v>9E1</v>
      </c>
    </row>
    <row r="17" spans="1:10" x14ac:dyDescent="0.25">
      <c r="A17" s="3">
        <v>16605000468</v>
      </c>
      <c r="B17" s="3" t="s">
        <v>33</v>
      </c>
      <c r="C17" s="3" t="s">
        <v>12</v>
      </c>
      <c r="D17" s="3" t="s">
        <v>31</v>
      </c>
      <c r="E17" s="3">
        <v>9</v>
      </c>
      <c r="F17" s="3" t="s">
        <v>32</v>
      </c>
      <c r="G17" s="4" t="str">
        <f t="shared" si="0"/>
        <v>00468</v>
      </c>
      <c r="H17" t="str">
        <f t="shared" si="1"/>
        <v>Arda TUNÇEL</v>
      </c>
      <c r="I17" t="str">
        <f t="shared" si="2"/>
        <v>9E1 Bilgisayarlı Makine İmalatı</v>
      </c>
      <c r="J17" t="str">
        <f t="shared" si="3"/>
        <v>9E1</v>
      </c>
    </row>
    <row r="18" spans="1:10" x14ac:dyDescent="0.25">
      <c r="A18" s="3">
        <v>59680469300</v>
      </c>
      <c r="B18" s="3" t="s">
        <v>34</v>
      </c>
      <c r="C18" s="3" t="s">
        <v>12</v>
      </c>
      <c r="D18" s="3" t="s">
        <v>31</v>
      </c>
      <c r="E18" s="3">
        <v>9</v>
      </c>
      <c r="F18" s="3" t="s">
        <v>32</v>
      </c>
      <c r="G18" s="4" t="str">
        <f t="shared" si="0"/>
        <v>69300</v>
      </c>
      <c r="H18" t="str">
        <f t="shared" si="1"/>
        <v>Berkant Can AKÇAY</v>
      </c>
      <c r="I18" t="str">
        <f t="shared" si="2"/>
        <v>9E1 Bilgisayarlı Makine İmalatı</v>
      </c>
      <c r="J18" t="str">
        <f t="shared" si="3"/>
        <v>9E1</v>
      </c>
    </row>
    <row r="19" spans="1:10" x14ac:dyDescent="0.25">
      <c r="A19" s="3">
        <v>26726547896</v>
      </c>
      <c r="B19" s="3" t="s">
        <v>35</v>
      </c>
      <c r="C19" s="3" t="s">
        <v>12</v>
      </c>
      <c r="D19" s="3" t="s">
        <v>31</v>
      </c>
      <c r="E19" s="3">
        <v>9</v>
      </c>
      <c r="F19" s="3" t="s">
        <v>32</v>
      </c>
      <c r="G19" s="4" t="str">
        <f t="shared" si="0"/>
        <v>47896</v>
      </c>
      <c r="H19" t="str">
        <f t="shared" si="1"/>
        <v>Bilal ERBULUN</v>
      </c>
      <c r="I19" t="str">
        <f t="shared" si="2"/>
        <v>9E1 Bilgisayarlı Makine İmalatı</v>
      </c>
      <c r="J19" t="str">
        <f t="shared" si="3"/>
        <v>9E1</v>
      </c>
    </row>
    <row r="20" spans="1:10" x14ac:dyDescent="0.25">
      <c r="A20" s="3">
        <v>30590163748</v>
      </c>
      <c r="B20" s="3" t="s">
        <v>36</v>
      </c>
      <c r="C20" s="3" t="s">
        <v>12</v>
      </c>
      <c r="D20" s="3" t="s">
        <v>31</v>
      </c>
      <c r="E20" s="3">
        <v>9</v>
      </c>
      <c r="F20" s="3" t="s">
        <v>32</v>
      </c>
      <c r="G20" s="4" t="str">
        <f t="shared" si="0"/>
        <v>63748</v>
      </c>
      <c r="H20" t="str">
        <f t="shared" si="1"/>
        <v>Eyüp YÜMÜN</v>
      </c>
      <c r="I20" t="str">
        <f t="shared" si="2"/>
        <v>9E1 Bilgisayarlı Makine İmalatı</v>
      </c>
      <c r="J20" t="str">
        <f t="shared" si="3"/>
        <v>9E1</v>
      </c>
    </row>
    <row r="21" spans="1:10" x14ac:dyDescent="0.25">
      <c r="A21" s="3">
        <v>37012949768</v>
      </c>
      <c r="B21" s="3" t="s">
        <v>37</v>
      </c>
      <c r="C21" s="3" t="s">
        <v>12</v>
      </c>
      <c r="D21" s="3" t="s">
        <v>31</v>
      </c>
      <c r="E21" s="3">
        <v>9</v>
      </c>
      <c r="F21" s="3" t="s">
        <v>32</v>
      </c>
      <c r="G21" s="4" t="str">
        <f t="shared" si="0"/>
        <v>49768</v>
      </c>
      <c r="H21" t="str">
        <f t="shared" si="1"/>
        <v>Furkan SEÇKİN</v>
      </c>
      <c r="I21" t="str">
        <f t="shared" si="2"/>
        <v>9E1 Bilgisayarlı Makine İmalatı</v>
      </c>
      <c r="J21" t="str">
        <f t="shared" si="3"/>
        <v>9E1</v>
      </c>
    </row>
    <row r="22" spans="1:10" x14ac:dyDescent="0.25">
      <c r="A22" s="3">
        <v>25205343240</v>
      </c>
      <c r="B22" s="3" t="s">
        <v>38</v>
      </c>
      <c r="C22" s="3" t="s">
        <v>12</v>
      </c>
      <c r="D22" s="3" t="s">
        <v>31</v>
      </c>
      <c r="E22" s="3">
        <v>9</v>
      </c>
      <c r="F22" s="3" t="s">
        <v>32</v>
      </c>
      <c r="G22" s="4" t="str">
        <f t="shared" si="0"/>
        <v>43240</v>
      </c>
      <c r="H22" t="str">
        <f t="shared" si="1"/>
        <v>Kubilay ÖZDİNÇ</v>
      </c>
      <c r="I22" t="str">
        <f t="shared" si="2"/>
        <v>9E1 Bilgisayarlı Makine İmalatı</v>
      </c>
      <c r="J22" t="str">
        <f t="shared" si="3"/>
        <v>9E1</v>
      </c>
    </row>
    <row r="23" spans="1:10" x14ac:dyDescent="0.25">
      <c r="A23" s="3">
        <v>49654896652</v>
      </c>
      <c r="B23" s="3" t="s">
        <v>39</v>
      </c>
      <c r="C23" s="3" t="s">
        <v>12</v>
      </c>
      <c r="D23" s="3" t="s">
        <v>31</v>
      </c>
      <c r="E23" s="3">
        <v>9</v>
      </c>
      <c r="F23" s="3" t="s">
        <v>32</v>
      </c>
      <c r="G23" s="4" t="str">
        <f t="shared" si="0"/>
        <v>96652</v>
      </c>
      <c r="H23" t="str">
        <f t="shared" si="1"/>
        <v>Mehmet ESEN</v>
      </c>
      <c r="I23" t="str">
        <f t="shared" si="2"/>
        <v>9E1 Bilgisayarlı Makine İmalatı</v>
      </c>
      <c r="J23" t="str">
        <f t="shared" si="3"/>
        <v>9E1</v>
      </c>
    </row>
    <row r="24" spans="1:10" x14ac:dyDescent="0.25">
      <c r="A24" s="3">
        <v>26306676602</v>
      </c>
      <c r="B24" s="3" t="s">
        <v>40</v>
      </c>
      <c r="C24" s="3" t="s">
        <v>12</v>
      </c>
      <c r="D24" s="3" t="s">
        <v>31</v>
      </c>
      <c r="E24" s="3">
        <v>9</v>
      </c>
      <c r="F24" s="3" t="s">
        <v>32</v>
      </c>
      <c r="G24" s="4" t="str">
        <f t="shared" si="0"/>
        <v>76602</v>
      </c>
      <c r="H24" t="str">
        <f t="shared" si="1"/>
        <v>Muhammed Yakup BARAN</v>
      </c>
      <c r="I24" t="str">
        <f t="shared" si="2"/>
        <v>9E1 Bilgisayarlı Makine İmalatı</v>
      </c>
      <c r="J24" t="str">
        <f t="shared" si="3"/>
        <v>9E1</v>
      </c>
    </row>
    <row r="25" spans="1:10" x14ac:dyDescent="0.25">
      <c r="A25" s="3">
        <v>17114613026</v>
      </c>
      <c r="B25" s="3" t="s">
        <v>41</v>
      </c>
      <c r="C25" s="3" t="s">
        <v>12</v>
      </c>
      <c r="D25" s="3" t="s">
        <v>31</v>
      </c>
      <c r="E25" s="3">
        <v>9</v>
      </c>
      <c r="F25" s="3" t="s">
        <v>32</v>
      </c>
      <c r="G25" s="4" t="str">
        <f t="shared" si="0"/>
        <v>13026</v>
      </c>
      <c r="H25" t="str">
        <f t="shared" si="1"/>
        <v>Muhammet ÇALKAN</v>
      </c>
      <c r="I25" t="str">
        <f t="shared" si="2"/>
        <v>9E1 Bilgisayarlı Makine İmalatı</v>
      </c>
      <c r="J25" t="str">
        <f t="shared" si="3"/>
        <v>9E1</v>
      </c>
    </row>
    <row r="26" spans="1:10" x14ac:dyDescent="0.25">
      <c r="A26" s="3">
        <v>68632264276</v>
      </c>
      <c r="B26" s="3" t="s">
        <v>42</v>
      </c>
      <c r="C26" s="3" t="s">
        <v>12</v>
      </c>
      <c r="D26" s="3" t="s">
        <v>31</v>
      </c>
      <c r="E26" s="3">
        <v>9</v>
      </c>
      <c r="F26" s="3" t="s">
        <v>32</v>
      </c>
      <c r="G26" s="4" t="str">
        <f t="shared" si="0"/>
        <v>64276</v>
      </c>
      <c r="H26" t="str">
        <f t="shared" si="1"/>
        <v>Muhammet Umut ERİK</v>
      </c>
      <c r="I26" t="str">
        <f t="shared" si="2"/>
        <v>9E1 Bilgisayarlı Makine İmalatı</v>
      </c>
      <c r="J26" t="str">
        <f t="shared" si="3"/>
        <v>9E1</v>
      </c>
    </row>
    <row r="27" spans="1:10" x14ac:dyDescent="0.25">
      <c r="A27" s="3">
        <v>52267455994</v>
      </c>
      <c r="B27" s="3" t="s">
        <v>43</v>
      </c>
      <c r="C27" s="3" t="s">
        <v>12</v>
      </c>
      <c r="D27" s="3" t="s">
        <v>31</v>
      </c>
      <c r="E27" s="3">
        <v>9</v>
      </c>
      <c r="F27" s="3" t="s">
        <v>32</v>
      </c>
      <c r="G27" s="4" t="str">
        <f t="shared" si="0"/>
        <v>55994</v>
      </c>
      <c r="H27" t="str">
        <f t="shared" si="1"/>
        <v>Musap ARSLAN</v>
      </c>
      <c r="I27" t="str">
        <f t="shared" si="2"/>
        <v>9E1 Bilgisayarlı Makine İmalatı</v>
      </c>
      <c r="J27" t="str">
        <f t="shared" si="3"/>
        <v>9E1</v>
      </c>
    </row>
    <row r="28" spans="1:10" x14ac:dyDescent="0.25">
      <c r="A28" s="3">
        <v>18134578906</v>
      </c>
      <c r="B28" s="3" t="s">
        <v>44</v>
      </c>
      <c r="C28" s="3" t="s">
        <v>12</v>
      </c>
      <c r="D28" s="3" t="s">
        <v>31</v>
      </c>
      <c r="E28" s="3">
        <v>9</v>
      </c>
      <c r="F28" s="3" t="s">
        <v>32</v>
      </c>
      <c r="G28" s="4" t="str">
        <f t="shared" si="0"/>
        <v>78906</v>
      </c>
      <c r="H28" t="str">
        <f t="shared" si="1"/>
        <v>Mustafa ÖNCEL</v>
      </c>
      <c r="I28" t="str">
        <f t="shared" si="2"/>
        <v>9E1 Bilgisayarlı Makine İmalatı</v>
      </c>
      <c r="J28" t="str">
        <f t="shared" si="3"/>
        <v>9E1</v>
      </c>
    </row>
    <row r="29" spans="1:10" x14ac:dyDescent="0.25">
      <c r="A29" s="3">
        <v>65068265648</v>
      </c>
      <c r="B29" s="3" t="s">
        <v>45</v>
      </c>
      <c r="C29" s="3" t="s">
        <v>12</v>
      </c>
      <c r="D29" s="3" t="s">
        <v>31</v>
      </c>
      <c r="E29" s="3">
        <v>9</v>
      </c>
      <c r="F29" s="3" t="s">
        <v>32</v>
      </c>
      <c r="G29" s="4" t="str">
        <f t="shared" si="0"/>
        <v>65648</v>
      </c>
      <c r="H29" t="str">
        <f t="shared" si="1"/>
        <v>Nurullah KAYA</v>
      </c>
      <c r="I29" t="str">
        <f t="shared" si="2"/>
        <v>9E1 Bilgisayarlı Makine İmalatı</v>
      </c>
      <c r="J29" t="str">
        <f t="shared" si="3"/>
        <v>9E1</v>
      </c>
    </row>
    <row r="30" spans="1:10" x14ac:dyDescent="0.25">
      <c r="A30" s="3">
        <v>47251975404</v>
      </c>
      <c r="B30" s="3" t="s">
        <v>46</v>
      </c>
      <c r="C30" s="3" t="s">
        <v>12</v>
      </c>
      <c r="D30" s="3" t="s">
        <v>31</v>
      </c>
      <c r="E30" s="3">
        <v>9</v>
      </c>
      <c r="F30" s="3" t="s">
        <v>32</v>
      </c>
      <c r="G30" s="4" t="str">
        <f t="shared" si="0"/>
        <v>75404</v>
      </c>
      <c r="H30" t="str">
        <f t="shared" si="1"/>
        <v>Ramazan ÜLEZ</v>
      </c>
      <c r="I30" t="str">
        <f t="shared" si="2"/>
        <v>9E1 Bilgisayarlı Makine İmalatı</v>
      </c>
      <c r="J30" t="str">
        <f t="shared" si="3"/>
        <v>9E1</v>
      </c>
    </row>
    <row r="31" spans="1:10" x14ac:dyDescent="0.25">
      <c r="A31" s="3">
        <v>35830989072</v>
      </c>
      <c r="B31" s="3" t="s">
        <v>47</v>
      </c>
      <c r="C31" s="3" t="s">
        <v>12</v>
      </c>
      <c r="D31" s="3" t="s">
        <v>31</v>
      </c>
      <c r="E31" s="3">
        <v>9</v>
      </c>
      <c r="F31" s="3" t="s">
        <v>32</v>
      </c>
      <c r="G31" s="4" t="str">
        <f t="shared" si="0"/>
        <v>89072</v>
      </c>
      <c r="H31" t="str">
        <f t="shared" si="1"/>
        <v>Serkan MEŞE</v>
      </c>
      <c r="I31" t="str">
        <f t="shared" si="2"/>
        <v>9E1 Bilgisayarlı Makine İmalatı</v>
      </c>
      <c r="J31" t="str">
        <f t="shared" si="3"/>
        <v>9E1</v>
      </c>
    </row>
    <row r="32" spans="1:10" x14ac:dyDescent="0.25">
      <c r="A32" s="3">
        <v>57163278098</v>
      </c>
      <c r="B32" s="3" t="s">
        <v>48</v>
      </c>
      <c r="C32" s="3" t="s">
        <v>12</v>
      </c>
      <c r="D32" s="3" t="s">
        <v>31</v>
      </c>
      <c r="E32" s="3">
        <v>9</v>
      </c>
      <c r="F32" s="3" t="s">
        <v>32</v>
      </c>
      <c r="G32" s="4" t="str">
        <f t="shared" si="0"/>
        <v>78098</v>
      </c>
      <c r="H32" t="str">
        <f t="shared" si="1"/>
        <v>Yusuf Ayaz ÇETİNKAYA</v>
      </c>
      <c r="I32" t="str">
        <f t="shared" si="2"/>
        <v>9E1 Bilgisayarlı Makine İmalatı</v>
      </c>
      <c r="J32" t="str">
        <f t="shared" si="3"/>
        <v>9E1</v>
      </c>
    </row>
    <row r="33" spans="1:10" x14ac:dyDescent="0.25">
      <c r="A33" s="3">
        <v>54841355522</v>
      </c>
      <c r="B33" s="3" t="s">
        <v>49</v>
      </c>
      <c r="C33" s="3" t="s">
        <v>12</v>
      </c>
      <c r="D33" s="3" t="s">
        <v>50</v>
      </c>
      <c r="E33" s="3">
        <v>9</v>
      </c>
      <c r="F33" s="3" t="s">
        <v>14</v>
      </c>
      <c r="G33" s="4" t="str">
        <f t="shared" si="0"/>
        <v>55522</v>
      </c>
      <c r="H33" t="str">
        <f t="shared" si="1"/>
        <v>Berk OK</v>
      </c>
      <c r="I33" t="str">
        <f t="shared" si="2"/>
        <v>9D Bobinaj</v>
      </c>
      <c r="J33" t="str">
        <f t="shared" si="3"/>
        <v xml:space="preserve">9D </v>
      </c>
    </row>
    <row r="34" spans="1:10" x14ac:dyDescent="0.25">
      <c r="A34" s="3">
        <v>12203095394</v>
      </c>
      <c r="B34" s="3" t="s">
        <v>51</v>
      </c>
      <c r="C34" s="3" t="s">
        <v>12</v>
      </c>
      <c r="D34" s="3" t="s">
        <v>50</v>
      </c>
      <c r="E34" s="3">
        <v>9</v>
      </c>
      <c r="F34" s="3" t="s">
        <v>14</v>
      </c>
      <c r="G34" s="4" t="str">
        <f t="shared" si="0"/>
        <v>95394</v>
      </c>
      <c r="H34" t="str">
        <f t="shared" si="1"/>
        <v>Erdem DEMİRBÜKEN</v>
      </c>
      <c r="I34" t="str">
        <f t="shared" si="2"/>
        <v>9D Bobinaj</v>
      </c>
      <c r="J34" t="str">
        <f t="shared" si="3"/>
        <v xml:space="preserve">9D </v>
      </c>
    </row>
    <row r="35" spans="1:10" x14ac:dyDescent="0.25">
      <c r="A35" s="3">
        <v>40589016238</v>
      </c>
      <c r="B35" s="3" t="s">
        <v>52</v>
      </c>
      <c r="C35" s="3" t="s">
        <v>12</v>
      </c>
      <c r="D35" s="3" t="s">
        <v>53</v>
      </c>
      <c r="E35" s="3">
        <v>9</v>
      </c>
      <c r="F35" s="2"/>
      <c r="G35" s="4" t="str">
        <f t="shared" si="0"/>
        <v>16238</v>
      </c>
      <c r="H35" t="str">
        <f t="shared" si="1"/>
        <v>Aleyna TERZİ</v>
      </c>
      <c r="I35" t="str">
        <f t="shared" si="2"/>
        <v>9 Cilt Bakımı Ve Makyaj</v>
      </c>
      <c r="J35" t="str">
        <f t="shared" si="3"/>
        <v>9 C</v>
      </c>
    </row>
    <row r="36" spans="1:10" x14ac:dyDescent="0.25">
      <c r="A36" s="3">
        <v>51217625784</v>
      </c>
      <c r="B36" s="3" t="s">
        <v>54</v>
      </c>
      <c r="C36" s="3" t="s">
        <v>12</v>
      </c>
      <c r="D36" s="3" t="s">
        <v>53</v>
      </c>
      <c r="E36" s="3">
        <v>9</v>
      </c>
      <c r="F36" s="3" t="s">
        <v>55</v>
      </c>
      <c r="G36" s="4" t="str">
        <f t="shared" si="0"/>
        <v>25784</v>
      </c>
      <c r="H36" t="str">
        <f t="shared" si="1"/>
        <v>Esma DEMİR</v>
      </c>
      <c r="I36" t="str">
        <f t="shared" si="2"/>
        <v>9G Cilt Bakımı Ve Makyaj</v>
      </c>
      <c r="J36" t="str">
        <f t="shared" si="3"/>
        <v xml:space="preserve">9G </v>
      </c>
    </row>
    <row r="37" spans="1:10" x14ac:dyDescent="0.25">
      <c r="A37" s="3">
        <v>36112979828</v>
      </c>
      <c r="B37" s="3" t="s">
        <v>56</v>
      </c>
      <c r="C37" s="3" t="s">
        <v>12</v>
      </c>
      <c r="D37" s="3" t="s">
        <v>57</v>
      </c>
      <c r="E37" s="3">
        <v>9</v>
      </c>
      <c r="F37" s="3" t="s">
        <v>58</v>
      </c>
      <c r="G37" s="4" t="str">
        <f t="shared" si="0"/>
        <v>79828</v>
      </c>
      <c r="H37" t="str">
        <f t="shared" si="1"/>
        <v>Yiğithan KARAASLAN</v>
      </c>
      <c r="I37" t="str">
        <f t="shared" si="2"/>
        <v>9B Dizel Motorları Yakıt Pompası Ve Enjektör Ayarcılığı</v>
      </c>
      <c r="J37" t="str">
        <f t="shared" si="3"/>
        <v xml:space="preserve">9B </v>
      </c>
    </row>
    <row r="38" spans="1:10" x14ac:dyDescent="0.25">
      <c r="A38" s="3">
        <v>30305173642</v>
      </c>
      <c r="B38" s="3" t="s">
        <v>59</v>
      </c>
      <c r="C38" s="3" t="s">
        <v>12</v>
      </c>
      <c r="D38" s="3" t="s">
        <v>60</v>
      </c>
      <c r="E38" s="3">
        <v>9</v>
      </c>
      <c r="F38" s="3" t="s">
        <v>14</v>
      </c>
      <c r="G38" s="4" t="str">
        <f t="shared" si="0"/>
        <v>73642</v>
      </c>
      <c r="H38" t="str">
        <f t="shared" si="1"/>
        <v>Ayaz BULUT</v>
      </c>
      <c r="I38" t="str">
        <f t="shared" si="2"/>
        <v>9D Elektrik Tesisatları Ve Pano Montörlüğü</v>
      </c>
      <c r="J38" t="str">
        <f t="shared" si="3"/>
        <v xml:space="preserve">9D </v>
      </c>
    </row>
    <row r="39" spans="1:10" x14ac:dyDescent="0.25">
      <c r="A39" s="3">
        <v>60790157308</v>
      </c>
      <c r="B39" s="3" t="s">
        <v>61</v>
      </c>
      <c r="C39" s="3" t="s">
        <v>12</v>
      </c>
      <c r="D39" s="3" t="s">
        <v>60</v>
      </c>
      <c r="E39" s="3">
        <v>9</v>
      </c>
      <c r="F39" s="3" t="s">
        <v>14</v>
      </c>
      <c r="G39" s="4" t="str">
        <f t="shared" si="0"/>
        <v>57308</v>
      </c>
      <c r="H39" t="str">
        <f t="shared" si="1"/>
        <v>Bedirhan Eren BÜLBÜL</v>
      </c>
      <c r="I39" t="str">
        <f t="shared" si="2"/>
        <v>9D Elektrik Tesisatları Ve Pano Montörlüğü</v>
      </c>
      <c r="J39" t="str">
        <f t="shared" si="3"/>
        <v xml:space="preserve">9D </v>
      </c>
    </row>
    <row r="40" spans="1:10" x14ac:dyDescent="0.25">
      <c r="A40" s="3">
        <v>19442536138</v>
      </c>
      <c r="B40" s="3" t="s">
        <v>62</v>
      </c>
      <c r="C40" s="3" t="s">
        <v>12</v>
      </c>
      <c r="D40" s="3" t="s">
        <v>60</v>
      </c>
      <c r="E40" s="3">
        <v>9</v>
      </c>
      <c r="F40" s="3" t="s">
        <v>14</v>
      </c>
      <c r="G40" s="4" t="str">
        <f t="shared" si="0"/>
        <v>36138</v>
      </c>
      <c r="H40" t="str">
        <f t="shared" si="1"/>
        <v>Berat Can PEKMEZCİ</v>
      </c>
      <c r="I40" t="str">
        <f t="shared" si="2"/>
        <v>9D Elektrik Tesisatları Ve Pano Montörlüğü</v>
      </c>
      <c r="J40" t="str">
        <f t="shared" si="3"/>
        <v xml:space="preserve">9D </v>
      </c>
    </row>
    <row r="41" spans="1:10" x14ac:dyDescent="0.25">
      <c r="A41" s="3">
        <v>53365537186</v>
      </c>
      <c r="B41" s="3" t="s">
        <v>63</v>
      </c>
      <c r="C41" s="3" t="s">
        <v>12</v>
      </c>
      <c r="D41" s="3" t="s">
        <v>60</v>
      </c>
      <c r="E41" s="3">
        <v>9</v>
      </c>
      <c r="F41" s="3" t="s">
        <v>14</v>
      </c>
      <c r="G41" s="4" t="str">
        <f t="shared" si="0"/>
        <v>37186</v>
      </c>
      <c r="H41" t="str">
        <f t="shared" si="1"/>
        <v>Doğukan KEMİKSİZ</v>
      </c>
      <c r="I41" t="str">
        <f t="shared" si="2"/>
        <v>9D Elektrik Tesisatları Ve Pano Montörlüğü</v>
      </c>
      <c r="J41" t="str">
        <f t="shared" si="3"/>
        <v xml:space="preserve">9D </v>
      </c>
    </row>
    <row r="42" spans="1:10" x14ac:dyDescent="0.25">
      <c r="A42" s="3">
        <v>40657828190</v>
      </c>
      <c r="B42" s="3" t="s">
        <v>64</v>
      </c>
      <c r="C42" s="3" t="s">
        <v>12</v>
      </c>
      <c r="D42" s="3" t="s">
        <v>60</v>
      </c>
      <c r="E42" s="3">
        <v>9</v>
      </c>
      <c r="F42" s="3" t="s">
        <v>14</v>
      </c>
      <c r="G42" s="4" t="str">
        <f t="shared" si="0"/>
        <v>28190</v>
      </c>
      <c r="H42" t="str">
        <f t="shared" si="1"/>
        <v>Efe Can KAYA</v>
      </c>
      <c r="I42" t="str">
        <f t="shared" si="2"/>
        <v>9D Elektrik Tesisatları Ve Pano Montörlüğü</v>
      </c>
      <c r="J42" t="str">
        <f t="shared" si="3"/>
        <v xml:space="preserve">9D </v>
      </c>
    </row>
    <row r="43" spans="1:10" x14ac:dyDescent="0.25">
      <c r="A43" s="3">
        <v>43954719192</v>
      </c>
      <c r="B43" s="3" t="s">
        <v>65</v>
      </c>
      <c r="C43" s="3" t="s">
        <v>12</v>
      </c>
      <c r="D43" s="3" t="s">
        <v>60</v>
      </c>
      <c r="E43" s="3">
        <v>9</v>
      </c>
      <c r="F43" s="3" t="s">
        <v>14</v>
      </c>
      <c r="G43" s="4" t="str">
        <f t="shared" si="0"/>
        <v>19192</v>
      </c>
      <c r="H43" t="str">
        <f t="shared" si="1"/>
        <v>Efe ÖZDİNÇ</v>
      </c>
      <c r="I43" t="str">
        <f t="shared" si="2"/>
        <v>9D Elektrik Tesisatları Ve Pano Montörlüğü</v>
      </c>
      <c r="J43" t="str">
        <f t="shared" si="3"/>
        <v xml:space="preserve">9D </v>
      </c>
    </row>
    <row r="44" spans="1:10" x14ac:dyDescent="0.25">
      <c r="A44" s="3">
        <v>61492133706</v>
      </c>
      <c r="B44" s="3" t="s">
        <v>66</v>
      </c>
      <c r="C44" s="3" t="s">
        <v>12</v>
      </c>
      <c r="D44" s="3" t="s">
        <v>60</v>
      </c>
      <c r="E44" s="3">
        <v>9</v>
      </c>
      <c r="F44" s="3" t="s">
        <v>14</v>
      </c>
      <c r="G44" s="4" t="str">
        <f t="shared" si="0"/>
        <v>33706</v>
      </c>
      <c r="H44" t="str">
        <f t="shared" si="1"/>
        <v>Enes TEKE</v>
      </c>
      <c r="I44" t="str">
        <f t="shared" si="2"/>
        <v>9D Elektrik Tesisatları Ve Pano Montörlüğü</v>
      </c>
      <c r="J44" t="str">
        <f t="shared" si="3"/>
        <v xml:space="preserve">9D </v>
      </c>
    </row>
    <row r="45" spans="1:10" x14ac:dyDescent="0.25">
      <c r="A45" s="3">
        <v>49885521170</v>
      </c>
      <c r="B45" s="3" t="s">
        <v>67</v>
      </c>
      <c r="C45" s="3" t="s">
        <v>12</v>
      </c>
      <c r="D45" s="3" t="s">
        <v>60</v>
      </c>
      <c r="E45" s="3">
        <v>9</v>
      </c>
      <c r="F45" s="3" t="s">
        <v>14</v>
      </c>
      <c r="G45" s="4" t="str">
        <f t="shared" si="0"/>
        <v>21170</v>
      </c>
      <c r="H45" t="str">
        <f t="shared" si="1"/>
        <v>İsmail EREN</v>
      </c>
      <c r="I45" t="str">
        <f t="shared" si="2"/>
        <v>9D Elektrik Tesisatları Ve Pano Montörlüğü</v>
      </c>
      <c r="J45" t="str">
        <f t="shared" si="3"/>
        <v xml:space="preserve">9D </v>
      </c>
    </row>
    <row r="46" spans="1:10" x14ac:dyDescent="0.25">
      <c r="A46" s="3">
        <v>40990879118</v>
      </c>
      <c r="B46" s="3" t="s">
        <v>68</v>
      </c>
      <c r="C46" s="3" t="s">
        <v>12</v>
      </c>
      <c r="D46" s="3" t="s">
        <v>60</v>
      </c>
      <c r="E46" s="3">
        <v>9</v>
      </c>
      <c r="F46" s="3" t="s">
        <v>14</v>
      </c>
      <c r="G46" s="4" t="str">
        <f t="shared" si="0"/>
        <v>79118</v>
      </c>
      <c r="H46" t="str">
        <f t="shared" si="1"/>
        <v>Melik Özkan FİDAN</v>
      </c>
      <c r="I46" t="str">
        <f t="shared" si="2"/>
        <v>9D Elektrik Tesisatları Ve Pano Montörlüğü</v>
      </c>
      <c r="J46" t="str">
        <f t="shared" si="3"/>
        <v xml:space="preserve">9D </v>
      </c>
    </row>
    <row r="47" spans="1:10" x14ac:dyDescent="0.25">
      <c r="A47" s="3">
        <v>18512566778</v>
      </c>
      <c r="B47" s="3" t="s">
        <v>69</v>
      </c>
      <c r="C47" s="3" t="s">
        <v>12</v>
      </c>
      <c r="D47" s="3" t="s">
        <v>60</v>
      </c>
      <c r="E47" s="3">
        <v>9</v>
      </c>
      <c r="F47" s="3" t="s">
        <v>14</v>
      </c>
      <c r="G47" s="4" t="str">
        <f t="shared" si="0"/>
        <v>66778</v>
      </c>
      <c r="H47" t="str">
        <f t="shared" si="1"/>
        <v>Mert Doruk DEMİR</v>
      </c>
      <c r="I47" t="str">
        <f t="shared" si="2"/>
        <v>9D Elektrik Tesisatları Ve Pano Montörlüğü</v>
      </c>
      <c r="J47" t="str">
        <f t="shared" si="3"/>
        <v xml:space="preserve">9D </v>
      </c>
    </row>
    <row r="48" spans="1:10" x14ac:dyDescent="0.25">
      <c r="A48" s="3">
        <v>65143012136</v>
      </c>
      <c r="B48" s="3" t="s">
        <v>70</v>
      </c>
      <c r="C48" s="3" t="s">
        <v>12</v>
      </c>
      <c r="D48" s="3" t="s">
        <v>60</v>
      </c>
      <c r="E48" s="3">
        <v>9</v>
      </c>
      <c r="F48" s="3" t="s">
        <v>14</v>
      </c>
      <c r="G48" s="4" t="str">
        <f t="shared" si="0"/>
        <v>12136</v>
      </c>
      <c r="H48" t="str">
        <f t="shared" si="1"/>
        <v>Mete TOPRAK</v>
      </c>
      <c r="I48" t="str">
        <f t="shared" si="2"/>
        <v>9D Elektrik Tesisatları Ve Pano Montörlüğü</v>
      </c>
      <c r="J48" t="str">
        <f t="shared" si="3"/>
        <v xml:space="preserve">9D </v>
      </c>
    </row>
    <row r="49" spans="1:10" x14ac:dyDescent="0.25">
      <c r="A49" s="3">
        <v>73981089364</v>
      </c>
      <c r="B49" s="3" t="s">
        <v>71</v>
      </c>
      <c r="C49" s="3" t="s">
        <v>12</v>
      </c>
      <c r="D49" s="3" t="s">
        <v>60</v>
      </c>
      <c r="E49" s="3">
        <v>9</v>
      </c>
      <c r="F49" s="3" t="s">
        <v>14</v>
      </c>
      <c r="G49" s="4" t="str">
        <f t="shared" si="0"/>
        <v>89364</v>
      </c>
      <c r="H49" t="str">
        <f t="shared" si="1"/>
        <v>Nur Muhammed ADIYAMAN</v>
      </c>
      <c r="I49" t="str">
        <f t="shared" si="2"/>
        <v>9D Elektrik Tesisatları Ve Pano Montörlüğü</v>
      </c>
      <c r="J49" t="str">
        <f t="shared" si="3"/>
        <v xml:space="preserve">9D </v>
      </c>
    </row>
    <row r="50" spans="1:10" x14ac:dyDescent="0.25">
      <c r="A50" s="3">
        <v>36343972322</v>
      </c>
      <c r="B50" s="3" t="s">
        <v>72</v>
      </c>
      <c r="C50" s="3" t="s">
        <v>12</v>
      </c>
      <c r="D50" s="3" t="s">
        <v>60</v>
      </c>
      <c r="E50" s="3">
        <v>9</v>
      </c>
      <c r="F50" s="3" t="s">
        <v>14</v>
      </c>
      <c r="G50" s="4" t="str">
        <f t="shared" si="0"/>
        <v>72322</v>
      </c>
      <c r="H50" t="str">
        <f t="shared" si="1"/>
        <v>Ömer Faruk ALABAŞ</v>
      </c>
      <c r="I50" t="str">
        <f t="shared" si="2"/>
        <v>9D Elektrik Tesisatları Ve Pano Montörlüğü</v>
      </c>
      <c r="J50" t="str">
        <f t="shared" si="3"/>
        <v xml:space="preserve">9D </v>
      </c>
    </row>
    <row r="51" spans="1:10" x14ac:dyDescent="0.25">
      <c r="A51" s="3">
        <v>20740146318</v>
      </c>
      <c r="B51" s="3" t="s">
        <v>73</v>
      </c>
      <c r="C51" s="3" t="s">
        <v>12</v>
      </c>
      <c r="D51" s="3" t="s">
        <v>60</v>
      </c>
      <c r="E51" s="3">
        <v>9</v>
      </c>
      <c r="F51" s="3" t="s">
        <v>14</v>
      </c>
      <c r="G51" s="4" t="str">
        <f t="shared" si="0"/>
        <v>46318</v>
      </c>
      <c r="H51" t="str">
        <f t="shared" si="1"/>
        <v>Ömer Faruk KAYİ</v>
      </c>
      <c r="I51" t="str">
        <f t="shared" si="2"/>
        <v>9D Elektrik Tesisatları Ve Pano Montörlüğü</v>
      </c>
      <c r="J51" t="str">
        <f t="shared" si="3"/>
        <v xml:space="preserve">9D </v>
      </c>
    </row>
    <row r="52" spans="1:10" x14ac:dyDescent="0.25">
      <c r="A52" s="3">
        <v>51616463024</v>
      </c>
      <c r="B52" s="3" t="s">
        <v>74</v>
      </c>
      <c r="C52" s="3" t="s">
        <v>12</v>
      </c>
      <c r="D52" s="3" t="s">
        <v>60</v>
      </c>
      <c r="E52" s="3">
        <v>9</v>
      </c>
      <c r="F52" s="3" t="s">
        <v>14</v>
      </c>
      <c r="G52" s="4" t="str">
        <f t="shared" si="0"/>
        <v>63024</v>
      </c>
      <c r="H52" t="str">
        <f t="shared" si="1"/>
        <v>Poyraz TEZCAN</v>
      </c>
      <c r="I52" t="str">
        <f t="shared" si="2"/>
        <v>9D Elektrik Tesisatları Ve Pano Montörlüğü</v>
      </c>
      <c r="J52" t="str">
        <f t="shared" si="3"/>
        <v xml:space="preserve">9D </v>
      </c>
    </row>
    <row r="53" spans="1:10" x14ac:dyDescent="0.25">
      <c r="A53" s="3">
        <v>28778224886</v>
      </c>
      <c r="B53" s="3" t="s">
        <v>75</v>
      </c>
      <c r="C53" s="3" t="s">
        <v>12</v>
      </c>
      <c r="D53" s="3" t="s">
        <v>60</v>
      </c>
      <c r="E53" s="3">
        <v>9</v>
      </c>
      <c r="F53" s="3" t="s">
        <v>14</v>
      </c>
      <c r="G53" s="4" t="str">
        <f t="shared" si="0"/>
        <v>24886</v>
      </c>
      <c r="H53" t="str">
        <f t="shared" si="1"/>
        <v>Tutku YILMAZLAR</v>
      </c>
      <c r="I53" t="str">
        <f t="shared" si="2"/>
        <v>9D Elektrik Tesisatları Ve Pano Montörlüğü</v>
      </c>
      <c r="J53" t="str">
        <f t="shared" si="3"/>
        <v xml:space="preserve">9D </v>
      </c>
    </row>
    <row r="54" spans="1:10" x14ac:dyDescent="0.25">
      <c r="A54" s="3">
        <v>60247175282</v>
      </c>
      <c r="B54" s="3" t="s">
        <v>76</v>
      </c>
      <c r="C54" s="3" t="s">
        <v>12</v>
      </c>
      <c r="D54" s="3" t="s">
        <v>60</v>
      </c>
      <c r="E54" s="3">
        <v>9</v>
      </c>
      <c r="F54" s="2"/>
      <c r="G54" s="4" t="str">
        <f t="shared" si="0"/>
        <v>75282</v>
      </c>
      <c r="H54" t="str">
        <f t="shared" si="1"/>
        <v>Yiğit Efe DİNLER</v>
      </c>
      <c r="I54" t="str">
        <f t="shared" si="2"/>
        <v>9 Elektrik Tesisatları Ve Pano Montörlüğü</v>
      </c>
      <c r="J54" t="str">
        <f t="shared" si="3"/>
        <v>9 E</v>
      </c>
    </row>
    <row r="55" spans="1:10" x14ac:dyDescent="0.25">
      <c r="A55" s="3">
        <v>36664961944</v>
      </c>
      <c r="B55" s="3" t="s">
        <v>77</v>
      </c>
      <c r="C55" s="3" t="s">
        <v>12</v>
      </c>
      <c r="D55" s="3" t="s">
        <v>60</v>
      </c>
      <c r="E55" s="3">
        <v>9</v>
      </c>
      <c r="F55" s="3" t="s">
        <v>14</v>
      </c>
      <c r="G55" s="4" t="str">
        <f t="shared" si="0"/>
        <v>61944</v>
      </c>
      <c r="H55" t="str">
        <f t="shared" si="1"/>
        <v>Yusuf Eren GÜRCÜ</v>
      </c>
      <c r="I55" t="str">
        <f t="shared" si="2"/>
        <v>9D Elektrik Tesisatları Ve Pano Montörlüğü</v>
      </c>
      <c r="J55" t="str">
        <f t="shared" si="3"/>
        <v xml:space="preserve">9D </v>
      </c>
    </row>
    <row r="56" spans="1:10" x14ac:dyDescent="0.25">
      <c r="A56" s="3">
        <v>15158678742</v>
      </c>
      <c r="B56" s="3" t="s">
        <v>78</v>
      </c>
      <c r="C56" s="3" t="s">
        <v>12</v>
      </c>
      <c r="D56" s="3" t="s">
        <v>79</v>
      </c>
      <c r="E56" s="3">
        <v>9</v>
      </c>
      <c r="F56" s="3" t="s">
        <v>14</v>
      </c>
      <c r="G56" s="4" t="str">
        <f t="shared" si="0"/>
        <v>78742</v>
      </c>
      <c r="H56" t="str">
        <f t="shared" si="1"/>
        <v>Arda UZUN</v>
      </c>
      <c r="I56" t="str">
        <f t="shared" si="2"/>
        <v>9D Elektrikli Ev Aletleri Teknik Servisi</v>
      </c>
      <c r="J56" t="str">
        <f t="shared" si="3"/>
        <v xml:space="preserve">9D </v>
      </c>
    </row>
    <row r="57" spans="1:10" x14ac:dyDescent="0.25">
      <c r="A57" s="3">
        <v>37609655584</v>
      </c>
      <c r="B57" s="3" t="s">
        <v>80</v>
      </c>
      <c r="C57" s="3" t="s">
        <v>12</v>
      </c>
      <c r="D57" s="3" t="s">
        <v>79</v>
      </c>
      <c r="E57" s="3">
        <v>9</v>
      </c>
      <c r="F57" s="3" t="s">
        <v>14</v>
      </c>
      <c r="G57" s="4" t="str">
        <f t="shared" si="0"/>
        <v>55584</v>
      </c>
      <c r="H57" t="str">
        <f t="shared" si="1"/>
        <v>Hasan Erdoğan DEMİR</v>
      </c>
      <c r="I57" t="str">
        <f t="shared" si="2"/>
        <v>9D Elektrikli Ev Aletleri Teknik Servisi</v>
      </c>
      <c r="J57" t="str">
        <f t="shared" si="3"/>
        <v xml:space="preserve">9D </v>
      </c>
    </row>
    <row r="58" spans="1:10" x14ac:dyDescent="0.25">
      <c r="A58" s="3">
        <v>37487304130</v>
      </c>
      <c r="B58" s="3" t="s">
        <v>81</v>
      </c>
      <c r="C58" s="3" t="s">
        <v>12</v>
      </c>
      <c r="D58" s="3" t="s">
        <v>79</v>
      </c>
      <c r="E58" s="3">
        <v>9</v>
      </c>
      <c r="F58" s="3" t="s">
        <v>14</v>
      </c>
      <c r="G58" s="4" t="str">
        <f t="shared" si="0"/>
        <v>04130</v>
      </c>
      <c r="H58" t="str">
        <f t="shared" si="1"/>
        <v>Recep Emin GÜNEY</v>
      </c>
      <c r="I58" t="str">
        <f t="shared" si="2"/>
        <v>9D Elektrikli Ev Aletleri Teknik Servisi</v>
      </c>
      <c r="J58" t="str">
        <f t="shared" si="3"/>
        <v xml:space="preserve">9D </v>
      </c>
    </row>
    <row r="59" spans="1:10" x14ac:dyDescent="0.25">
      <c r="A59" s="3">
        <v>49957518008</v>
      </c>
      <c r="B59" s="3" t="s">
        <v>82</v>
      </c>
      <c r="C59" s="3" t="s">
        <v>12</v>
      </c>
      <c r="D59" s="3" t="s">
        <v>83</v>
      </c>
      <c r="E59" s="3">
        <v>9</v>
      </c>
      <c r="F59" s="3" t="s">
        <v>14</v>
      </c>
      <c r="G59" s="4" t="str">
        <f t="shared" si="0"/>
        <v>18008</v>
      </c>
      <c r="H59" t="str">
        <f t="shared" si="1"/>
        <v>Berat Muhammet ÖZCİRİT</v>
      </c>
      <c r="I59" t="str">
        <f t="shared" si="2"/>
        <v>9D Endüstriyel Bakım Onarım</v>
      </c>
      <c r="J59" t="str">
        <f t="shared" si="3"/>
        <v xml:space="preserve">9D </v>
      </c>
    </row>
    <row r="60" spans="1:10" x14ac:dyDescent="0.25">
      <c r="A60" s="3">
        <v>39139879188</v>
      </c>
      <c r="B60" s="3" t="s">
        <v>84</v>
      </c>
      <c r="C60" s="3" t="s">
        <v>12</v>
      </c>
      <c r="D60" s="3" t="s">
        <v>83</v>
      </c>
      <c r="E60" s="3">
        <v>9</v>
      </c>
      <c r="F60" s="3" t="s">
        <v>14</v>
      </c>
      <c r="G60" s="4" t="str">
        <f t="shared" si="0"/>
        <v>79188</v>
      </c>
      <c r="H60" t="str">
        <f t="shared" si="1"/>
        <v>Kayra Ege ÇOBANOĞLU</v>
      </c>
      <c r="I60" t="str">
        <f t="shared" si="2"/>
        <v>9D Endüstriyel Bakım Onarım</v>
      </c>
      <c r="J60" t="str">
        <f t="shared" si="3"/>
        <v xml:space="preserve">9D </v>
      </c>
    </row>
    <row r="61" spans="1:10" x14ac:dyDescent="0.25">
      <c r="A61" s="3">
        <v>36431339372</v>
      </c>
      <c r="B61" s="3" t="s">
        <v>85</v>
      </c>
      <c r="C61" s="3" t="s">
        <v>12</v>
      </c>
      <c r="D61" s="3" t="s">
        <v>86</v>
      </c>
      <c r="E61" s="3">
        <v>9</v>
      </c>
      <c r="F61" s="3" t="s">
        <v>87</v>
      </c>
      <c r="G61" s="4" t="str">
        <f t="shared" si="0"/>
        <v>39372</v>
      </c>
      <c r="H61" t="str">
        <f t="shared" si="1"/>
        <v>Emircan FIRAT</v>
      </c>
      <c r="I61" t="str">
        <f t="shared" si="2"/>
        <v>9A3(KARMA) Endüstriyel Kontrol</v>
      </c>
      <c r="J61" t="str">
        <f t="shared" si="3"/>
        <v>9A3</v>
      </c>
    </row>
    <row r="62" spans="1:10" x14ac:dyDescent="0.25">
      <c r="A62" s="3">
        <v>48043582510</v>
      </c>
      <c r="B62" s="3" t="s">
        <v>88</v>
      </c>
      <c r="C62" s="3" t="s">
        <v>12</v>
      </c>
      <c r="D62" s="3" t="s">
        <v>86</v>
      </c>
      <c r="E62" s="3">
        <v>9</v>
      </c>
      <c r="F62" s="3" t="s">
        <v>87</v>
      </c>
      <c r="G62" s="4" t="str">
        <f t="shared" si="0"/>
        <v>82510</v>
      </c>
      <c r="H62" t="str">
        <f t="shared" si="1"/>
        <v>Ömer KARATEPE</v>
      </c>
      <c r="I62" t="str">
        <f t="shared" si="2"/>
        <v>9A3(KARMA) Endüstriyel Kontrol</v>
      </c>
      <c r="J62" t="str">
        <f t="shared" si="3"/>
        <v>9A3</v>
      </c>
    </row>
    <row r="63" spans="1:10" x14ac:dyDescent="0.25">
      <c r="A63" s="3">
        <v>52051449178</v>
      </c>
      <c r="B63" s="3" t="s">
        <v>89</v>
      </c>
      <c r="C63" s="3" t="s">
        <v>12</v>
      </c>
      <c r="D63" s="3" t="s">
        <v>86</v>
      </c>
      <c r="E63" s="3">
        <v>9</v>
      </c>
      <c r="F63" s="3" t="s">
        <v>87</v>
      </c>
      <c r="G63" s="4" t="str">
        <f t="shared" si="0"/>
        <v>49178</v>
      </c>
      <c r="H63" t="str">
        <f t="shared" si="1"/>
        <v>Yunus Emre BETİ</v>
      </c>
      <c r="I63" t="str">
        <f t="shared" si="2"/>
        <v>9A3(KARMA) Endüstriyel Kontrol</v>
      </c>
      <c r="J63" t="str">
        <f t="shared" si="3"/>
        <v>9A3</v>
      </c>
    </row>
    <row r="64" spans="1:10" x14ac:dyDescent="0.25">
      <c r="A64" s="3">
        <v>46909620680</v>
      </c>
      <c r="B64" s="3" t="s">
        <v>90</v>
      </c>
      <c r="C64" s="3" t="s">
        <v>12</v>
      </c>
      <c r="D64" s="3" t="s">
        <v>91</v>
      </c>
      <c r="E64" s="3">
        <v>9</v>
      </c>
      <c r="F64" s="3" t="s">
        <v>92</v>
      </c>
      <c r="G64" s="4" t="str">
        <f t="shared" si="0"/>
        <v>20680</v>
      </c>
      <c r="H64" t="str">
        <f t="shared" si="1"/>
        <v>Abdulkadir ELİK</v>
      </c>
      <c r="I64" t="str">
        <f t="shared" si="2"/>
        <v>9E Erkek Kuaförlüğü</v>
      </c>
      <c r="J64" t="str">
        <f t="shared" si="3"/>
        <v xml:space="preserve">9E </v>
      </c>
    </row>
    <row r="65" spans="1:10" x14ac:dyDescent="0.25">
      <c r="A65" s="3">
        <v>44143712444</v>
      </c>
      <c r="B65" s="3" t="s">
        <v>93</v>
      </c>
      <c r="C65" s="3" t="s">
        <v>12</v>
      </c>
      <c r="D65" s="3" t="s">
        <v>91</v>
      </c>
      <c r="E65" s="3">
        <v>9</v>
      </c>
      <c r="F65" s="3" t="s">
        <v>94</v>
      </c>
      <c r="G65" s="4" t="str">
        <f t="shared" si="0"/>
        <v>12444</v>
      </c>
      <c r="H65" t="str">
        <f t="shared" si="1"/>
        <v>Ahmet Hakan DUMAN</v>
      </c>
      <c r="I65" t="str">
        <f t="shared" si="2"/>
        <v>9A Erkek Kuaförlüğü</v>
      </c>
      <c r="J65" t="str">
        <f t="shared" si="3"/>
        <v xml:space="preserve">9A </v>
      </c>
    </row>
    <row r="66" spans="1:10" x14ac:dyDescent="0.25">
      <c r="A66" s="3">
        <v>26977809828</v>
      </c>
      <c r="B66" s="3" t="s">
        <v>95</v>
      </c>
      <c r="C66" s="3" t="s">
        <v>12</v>
      </c>
      <c r="D66" s="3" t="s">
        <v>91</v>
      </c>
      <c r="E66" s="3">
        <v>9</v>
      </c>
      <c r="F66" s="3" t="s">
        <v>55</v>
      </c>
      <c r="G66" s="4" t="str">
        <f t="shared" si="0"/>
        <v>09828</v>
      </c>
      <c r="H66" t="str">
        <f t="shared" si="1"/>
        <v>Ali YARAR</v>
      </c>
      <c r="I66" t="str">
        <f t="shared" si="2"/>
        <v>9G Erkek Kuaförlüğü</v>
      </c>
      <c r="J66" t="str">
        <f t="shared" si="3"/>
        <v xml:space="preserve">9G </v>
      </c>
    </row>
    <row r="67" spans="1:10" x14ac:dyDescent="0.25">
      <c r="A67" s="3">
        <v>59527259330</v>
      </c>
      <c r="B67" s="3" t="s">
        <v>96</v>
      </c>
      <c r="C67" s="3" t="s">
        <v>12</v>
      </c>
      <c r="D67" s="3" t="s">
        <v>91</v>
      </c>
      <c r="E67" s="3">
        <v>9</v>
      </c>
      <c r="F67" s="3" t="s">
        <v>94</v>
      </c>
      <c r="G67" s="4" t="str">
        <f t="shared" si="0"/>
        <v>59330</v>
      </c>
      <c r="H67" t="str">
        <f t="shared" si="1"/>
        <v>Alper ÇELİK</v>
      </c>
      <c r="I67" t="str">
        <f t="shared" si="2"/>
        <v>9A Erkek Kuaförlüğü</v>
      </c>
      <c r="J67" t="str">
        <f t="shared" si="3"/>
        <v xml:space="preserve">9A </v>
      </c>
    </row>
    <row r="68" spans="1:10" x14ac:dyDescent="0.25">
      <c r="A68" s="3">
        <v>56761439764</v>
      </c>
      <c r="B68" s="3" t="s">
        <v>97</v>
      </c>
      <c r="C68" s="3" t="s">
        <v>12</v>
      </c>
      <c r="D68" s="3" t="s">
        <v>91</v>
      </c>
      <c r="E68" s="3">
        <v>9</v>
      </c>
      <c r="F68" s="3" t="s">
        <v>92</v>
      </c>
      <c r="G68" s="4" t="str">
        <f t="shared" si="0"/>
        <v>39764</v>
      </c>
      <c r="H68" t="str">
        <f t="shared" si="1"/>
        <v>Arda ALTUN</v>
      </c>
      <c r="I68" t="str">
        <f t="shared" si="2"/>
        <v>9E Erkek Kuaförlüğü</v>
      </c>
      <c r="J68" t="str">
        <f t="shared" si="3"/>
        <v xml:space="preserve">9E </v>
      </c>
    </row>
    <row r="69" spans="1:10" x14ac:dyDescent="0.25">
      <c r="A69" s="3">
        <v>13793723926</v>
      </c>
      <c r="B69" s="3" t="s">
        <v>98</v>
      </c>
      <c r="C69" s="3" t="s">
        <v>12</v>
      </c>
      <c r="D69" s="3" t="s">
        <v>91</v>
      </c>
      <c r="E69" s="3">
        <v>9</v>
      </c>
      <c r="F69" s="3" t="s">
        <v>92</v>
      </c>
      <c r="G69" s="4" t="str">
        <f t="shared" ref="G69:G132" si="4">RIGHT(A69,5)</f>
        <v>23926</v>
      </c>
      <c r="H69" t="str">
        <f t="shared" ref="H69:H132" si="5">B69</f>
        <v>Arda ÇAKIRKAYA</v>
      </c>
      <c r="I69" t="str">
        <f t="shared" ref="I69:I132" si="6">CONCATENATE(E69,F69," ",D69)</f>
        <v>9E Erkek Kuaförlüğü</v>
      </c>
      <c r="J69" t="str">
        <f t="shared" ref="J69:J132" si="7">LEFT(I69,3)</f>
        <v xml:space="preserve">9E </v>
      </c>
    </row>
    <row r="70" spans="1:10" x14ac:dyDescent="0.25">
      <c r="A70" s="3">
        <v>11921843942</v>
      </c>
      <c r="B70" s="3" t="s">
        <v>99</v>
      </c>
      <c r="C70" s="3" t="s">
        <v>12</v>
      </c>
      <c r="D70" s="3" t="s">
        <v>91</v>
      </c>
      <c r="E70" s="3">
        <v>9</v>
      </c>
      <c r="F70" s="3" t="s">
        <v>92</v>
      </c>
      <c r="G70" s="4" t="str">
        <f t="shared" si="4"/>
        <v>43942</v>
      </c>
      <c r="H70" t="str">
        <f t="shared" si="5"/>
        <v>Barış KÖMÜR</v>
      </c>
      <c r="I70" t="str">
        <f t="shared" si="6"/>
        <v>9E Erkek Kuaförlüğü</v>
      </c>
      <c r="J70" t="str">
        <f t="shared" si="7"/>
        <v xml:space="preserve">9E </v>
      </c>
    </row>
    <row r="71" spans="1:10" x14ac:dyDescent="0.25">
      <c r="A71" s="3">
        <v>24653617262</v>
      </c>
      <c r="B71" s="3" t="s">
        <v>100</v>
      </c>
      <c r="C71" s="3" t="s">
        <v>12</v>
      </c>
      <c r="D71" s="3" t="s">
        <v>91</v>
      </c>
      <c r="E71" s="3">
        <v>9</v>
      </c>
      <c r="F71" s="3" t="s">
        <v>92</v>
      </c>
      <c r="G71" s="4" t="str">
        <f t="shared" si="4"/>
        <v>17262</v>
      </c>
      <c r="H71" t="str">
        <f t="shared" si="5"/>
        <v>Baver Aran ŞAHİN</v>
      </c>
      <c r="I71" t="str">
        <f t="shared" si="6"/>
        <v>9E Erkek Kuaförlüğü</v>
      </c>
      <c r="J71" t="str">
        <f t="shared" si="7"/>
        <v xml:space="preserve">9E </v>
      </c>
    </row>
    <row r="72" spans="1:10" x14ac:dyDescent="0.25">
      <c r="A72" s="3">
        <v>44257708074</v>
      </c>
      <c r="B72" s="3" t="s">
        <v>101</v>
      </c>
      <c r="C72" s="3" t="s">
        <v>12</v>
      </c>
      <c r="D72" s="3" t="s">
        <v>91</v>
      </c>
      <c r="E72" s="3">
        <v>9</v>
      </c>
      <c r="F72" s="3" t="s">
        <v>94</v>
      </c>
      <c r="G72" s="4" t="str">
        <f t="shared" si="4"/>
        <v>08074</v>
      </c>
      <c r="H72" t="str">
        <f t="shared" si="5"/>
        <v>Berat KAYA</v>
      </c>
      <c r="I72" t="str">
        <f t="shared" si="6"/>
        <v>9A Erkek Kuaförlüğü</v>
      </c>
      <c r="J72" t="str">
        <f t="shared" si="7"/>
        <v xml:space="preserve">9A </v>
      </c>
    </row>
    <row r="73" spans="1:10" x14ac:dyDescent="0.25">
      <c r="A73" s="3">
        <v>21776244092</v>
      </c>
      <c r="B73" s="3" t="s">
        <v>102</v>
      </c>
      <c r="C73" s="3" t="s">
        <v>12</v>
      </c>
      <c r="D73" s="3" t="s">
        <v>91</v>
      </c>
      <c r="E73" s="3">
        <v>9</v>
      </c>
      <c r="F73" s="3" t="s">
        <v>94</v>
      </c>
      <c r="G73" s="4" t="str">
        <f t="shared" si="4"/>
        <v>44092</v>
      </c>
      <c r="H73" t="str">
        <f t="shared" si="5"/>
        <v>Berat Osman YÜKSEKDAĞ</v>
      </c>
      <c r="I73" t="str">
        <f t="shared" si="6"/>
        <v>9A Erkek Kuaförlüğü</v>
      </c>
      <c r="J73" t="str">
        <f t="shared" si="7"/>
        <v xml:space="preserve">9A </v>
      </c>
    </row>
    <row r="74" spans="1:10" x14ac:dyDescent="0.25">
      <c r="A74" s="3">
        <v>63874054838</v>
      </c>
      <c r="B74" s="3" t="s">
        <v>103</v>
      </c>
      <c r="C74" s="3" t="s">
        <v>12</v>
      </c>
      <c r="D74" s="3" t="s">
        <v>91</v>
      </c>
      <c r="E74" s="3">
        <v>9</v>
      </c>
      <c r="F74" s="3" t="s">
        <v>92</v>
      </c>
      <c r="G74" s="4" t="str">
        <f t="shared" si="4"/>
        <v>54838</v>
      </c>
      <c r="H74" t="str">
        <f t="shared" si="5"/>
        <v>Berkay KAHRAMAN</v>
      </c>
      <c r="I74" t="str">
        <f t="shared" si="6"/>
        <v>9E Erkek Kuaförlüğü</v>
      </c>
      <c r="J74" t="str">
        <f t="shared" si="7"/>
        <v xml:space="preserve">9E </v>
      </c>
    </row>
    <row r="75" spans="1:10" x14ac:dyDescent="0.25">
      <c r="A75" s="3">
        <v>64135045862</v>
      </c>
      <c r="B75" s="3" t="s">
        <v>104</v>
      </c>
      <c r="C75" s="3" t="s">
        <v>12</v>
      </c>
      <c r="D75" s="3" t="s">
        <v>91</v>
      </c>
      <c r="E75" s="3">
        <v>9</v>
      </c>
      <c r="F75" s="3" t="s">
        <v>55</v>
      </c>
      <c r="G75" s="4" t="str">
        <f t="shared" si="4"/>
        <v>45862</v>
      </c>
      <c r="H75" t="str">
        <f t="shared" si="5"/>
        <v>Bilal AVCI</v>
      </c>
      <c r="I75" t="str">
        <f t="shared" si="6"/>
        <v>9G Erkek Kuaförlüğü</v>
      </c>
      <c r="J75" t="str">
        <f t="shared" si="7"/>
        <v xml:space="preserve">9G </v>
      </c>
    </row>
    <row r="76" spans="1:10" x14ac:dyDescent="0.25">
      <c r="A76" s="3">
        <v>26758550918</v>
      </c>
      <c r="B76" s="3" t="s">
        <v>105</v>
      </c>
      <c r="C76" s="3" t="s">
        <v>12</v>
      </c>
      <c r="D76" s="3" t="s">
        <v>91</v>
      </c>
      <c r="E76" s="3">
        <v>9</v>
      </c>
      <c r="F76" s="3" t="s">
        <v>55</v>
      </c>
      <c r="G76" s="4" t="str">
        <f t="shared" si="4"/>
        <v>50918</v>
      </c>
      <c r="H76" t="str">
        <f t="shared" si="5"/>
        <v>Bilal KAÇAN</v>
      </c>
      <c r="I76" t="str">
        <f t="shared" si="6"/>
        <v>9G Erkek Kuaförlüğü</v>
      </c>
      <c r="J76" t="str">
        <f t="shared" si="7"/>
        <v xml:space="preserve">9G </v>
      </c>
    </row>
    <row r="77" spans="1:10" x14ac:dyDescent="0.25">
      <c r="A77" s="3">
        <v>34855366134</v>
      </c>
      <c r="B77" s="3" t="s">
        <v>106</v>
      </c>
      <c r="C77" s="3" t="s">
        <v>12</v>
      </c>
      <c r="D77" s="3" t="s">
        <v>91</v>
      </c>
      <c r="E77" s="3">
        <v>9</v>
      </c>
      <c r="F77" s="3" t="s">
        <v>92</v>
      </c>
      <c r="G77" s="4" t="str">
        <f t="shared" si="4"/>
        <v>66134</v>
      </c>
      <c r="H77" t="str">
        <f t="shared" si="5"/>
        <v>Doğukan Burak ALPAY</v>
      </c>
      <c r="I77" t="str">
        <f t="shared" si="6"/>
        <v>9E Erkek Kuaförlüğü</v>
      </c>
      <c r="J77" t="str">
        <f t="shared" si="7"/>
        <v xml:space="preserve">9E </v>
      </c>
    </row>
    <row r="78" spans="1:10" x14ac:dyDescent="0.25">
      <c r="A78" s="3">
        <v>48598288776</v>
      </c>
      <c r="B78" s="3" t="s">
        <v>107</v>
      </c>
      <c r="C78" s="3" t="s">
        <v>12</v>
      </c>
      <c r="D78" s="3" t="s">
        <v>91</v>
      </c>
      <c r="E78" s="3">
        <v>9</v>
      </c>
      <c r="F78" s="3" t="s">
        <v>55</v>
      </c>
      <c r="G78" s="4" t="str">
        <f t="shared" si="4"/>
        <v>88776</v>
      </c>
      <c r="H78" t="str">
        <f t="shared" si="5"/>
        <v>Efe Can ŞENEL</v>
      </c>
      <c r="I78" t="str">
        <f t="shared" si="6"/>
        <v>9G Erkek Kuaförlüğü</v>
      </c>
      <c r="J78" t="str">
        <f t="shared" si="7"/>
        <v xml:space="preserve">9G </v>
      </c>
    </row>
    <row r="79" spans="1:10" x14ac:dyDescent="0.25">
      <c r="A79" s="3">
        <v>31715126792</v>
      </c>
      <c r="B79" s="3" t="s">
        <v>108</v>
      </c>
      <c r="C79" s="3" t="s">
        <v>12</v>
      </c>
      <c r="D79" s="3" t="s">
        <v>91</v>
      </c>
      <c r="E79" s="3">
        <v>9</v>
      </c>
      <c r="F79" s="3" t="s">
        <v>55</v>
      </c>
      <c r="G79" s="4" t="str">
        <f t="shared" si="4"/>
        <v>26792</v>
      </c>
      <c r="H79" t="str">
        <f t="shared" si="5"/>
        <v>Efe KUŞLU</v>
      </c>
      <c r="I79" t="str">
        <f t="shared" si="6"/>
        <v>9G Erkek Kuaförlüğü</v>
      </c>
      <c r="J79" t="str">
        <f t="shared" si="7"/>
        <v xml:space="preserve">9G </v>
      </c>
    </row>
    <row r="80" spans="1:10" x14ac:dyDescent="0.25">
      <c r="A80" s="3">
        <v>38335906568</v>
      </c>
      <c r="B80" s="3" t="s">
        <v>109</v>
      </c>
      <c r="C80" s="3" t="s">
        <v>12</v>
      </c>
      <c r="D80" s="3" t="s">
        <v>91</v>
      </c>
      <c r="E80" s="3">
        <v>9</v>
      </c>
      <c r="F80" s="3" t="s">
        <v>55</v>
      </c>
      <c r="G80" s="4" t="str">
        <f t="shared" si="4"/>
        <v>06568</v>
      </c>
      <c r="H80" t="str">
        <f t="shared" si="5"/>
        <v>Efe TOPRAK</v>
      </c>
      <c r="I80" t="str">
        <f t="shared" si="6"/>
        <v>9G Erkek Kuaförlüğü</v>
      </c>
      <c r="J80" t="str">
        <f t="shared" si="7"/>
        <v xml:space="preserve">9G </v>
      </c>
    </row>
    <row r="81" spans="1:10" x14ac:dyDescent="0.25">
      <c r="A81" s="3">
        <v>21653462212</v>
      </c>
      <c r="B81" s="3" t="s">
        <v>110</v>
      </c>
      <c r="C81" s="3" t="s">
        <v>12</v>
      </c>
      <c r="D81" s="3" t="s">
        <v>91</v>
      </c>
      <c r="E81" s="3">
        <v>9</v>
      </c>
      <c r="F81" s="3" t="s">
        <v>92</v>
      </c>
      <c r="G81" s="4" t="str">
        <f t="shared" si="4"/>
        <v>62212</v>
      </c>
      <c r="H81" t="str">
        <f t="shared" si="5"/>
        <v>Enes KURT</v>
      </c>
      <c r="I81" t="str">
        <f t="shared" si="6"/>
        <v>9E Erkek Kuaförlüğü</v>
      </c>
      <c r="J81" t="str">
        <f t="shared" si="7"/>
        <v xml:space="preserve">9E </v>
      </c>
    </row>
    <row r="82" spans="1:10" x14ac:dyDescent="0.25">
      <c r="A82" s="3">
        <v>63940112264</v>
      </c>
      <c r="B82" s="3" t="s">
        <v>111</v>
      </c>
      <c r="C82" s="3" t="s">
        <v>12</v>
      </c>
      <c r="D82" s="3" t="s">
        <v>91</v>
      </c>
      <c r="E82" s="3">
        <v>9</v>
      </c>
      <c r="F82" s="3" t="s">
        <v>92</v>
      </c>
      <c r="G82" s="4" t="str">
        <f t="shared" si="4"/>
        <v>12264</v>
      </c>
      <c r="H82" t="str">
        <f t="shared" si="5"/>
        <v>Eren ÖZER</v>
      </c>
      <c r="I82" t="str">
        <f t="shared" si="6"/>
        <v>9E Erkek Kuaförlüğü</v>
      </c>
      <c r="J82" t="str">
        <f t="shared" si="7"/>
        <v xml:space="preserve">9E </v>
      </c>
    </row>
    <row r="83" spans="1:10" x14ac:dyDescent="0.25">
      <c r="A83" s="3">
        <v>59764192216</v>
      </c>
      <c r="B83" s="3" t="s">
        <v>112</v>
      </c>
      <c r="C83" s="3" t="s">
        <v>12</v>
      </c>
      <c r="D83" s="3" t="s">
        <v>91</v>
      </c>
      <c r="E83" s="3">
        <v>9</v>
      </c>
      <c r="F83" s="3" t="s">
        <v>92</v>
      </c>
      <c r="G83" s="4" t="str">
        <f t="shared" si="4"/>
        <v>92216</v>
      </c>
      <c r="H83" t="str">
        <f t="shared" si="5"/>
        <v>Eyüp Taha ÖZLÜ</v>
      </c>
      <c r="I83" t="str">
        <f t="shared" si="6"/>
        <v>9E Erkek Kuaförlüğü</v>
      </c>
      <c r="J83" t="str">
        <f t="shared" si="7"/>
        <v xml:space="preserve">9E </v>
      </c>
    </row>
    <row r="84" spans="1:10" x14ac:dyDescent="0.25">
      <c r="A84" s="3">
        <v>52252442220</v>
      </c>
      <c r="B84" s="3" t="s">
        <v>113</v>
      </c>
      <c r="C84" s="3" t="s">
        <v>12</v>
      </c>
      <c r="D84" s="3" t="s">
        <v>91</v>
      </c>
      <c r="E84" s="3">
        <v>9</v>
      </c>
      <c r="F84" s="3" t="s">
        <v>55</v>
      </c>
      <c r="G84" s="4" t="str">
        <f t="shared" si="4"/>
        <v>42220</v>
      </c>
      <c r="H84" t="str">
        <f t="shared" si="5"/>
        <v>Faruk TOSUN</v>
      </c>
      <c r="I84" t="str">
        <f t="shared" si="6"/>
        <v>9G Erkek Kuaförlüğü</v>
      </c>
      <c r="J84" t="str">
        <f t="shared" si="7"/>
        <v xml:space="preserve">9G </v>
      </c>
    </row>
    <row r="85" spans="1:10" x14ac:dyDescent="0.25">
      <c r="A85" s="3">
        <v>11199179750</v>
      </c>
      <c r="B85" s="3" t="s">
        <v>114</v>
      </c>
      <c r="C85" s="3" t="s">
        <v>12</v>
      </c>
      <c r="D85" s="3" t="s">
        <v>91</v>
      </c>
      <c r="E85" s="3">
        <v>9</v>
      </c>
      <c r="F85" s="3" t="s">
        <v>92</v>
      </c>
      <c r="G85" s="4" t="str">
        <f t="shared" si="4"/>
        <v>79750</v>
      </c>
      <c r="H85" t="str">
        <f t="shared" si="5"/>
        <v>Fatih Kerem FERHAT</v>
      </c>
      <c r="I85" t="str">
        <f t="shared" si="6"/>
        <v>9E Erkek Kuaförlüğü</v>
      </c>
      <c r="J85" t="str">
        <f t="shared" si="7"/>
        <v xml:space="preserve">9E </v>
      </c>
    </row>
    <row r="86" spans="1:10" x14ac:dyDescent="0.25">
      <c r="A86" s="3">
        <v>55567489874</v>
      </c>
      <c r="B86" s="3" t="s">
        <v>115</v>
      </c>
      <c r="C86" s="3" t="s">
        <v>12</v>
      </c>
      <c r="D86" s="3" t="s">
        <v>91</v>
      </c>
      <c r="E86" s="3">
        <v>9</v>
      </c>
      <c r="F86" s="3" t="s">
        <v>55</v>
      </c>
      <c r="G86" s="4" t="str">
        <f t="shared" si="4"/>
        <v>89874</v>
      </c>
      <c r="H86" t="str">
        <f t="shared" si="5"/>
        <v>Hasan ÇÜRÜK</v>
      </c>
      <c r="I86" t="str">
        <f t="shared" si="6"/>
        <v>9G Erkek Kuaförlüğü</v>
      </c>
      <c r="J86" t="str">
        <f t="shared" si="7"/>
        <v xml:space="preserve">9G </v>
      </c>
    </row>
    <row r="87" spans="1:10" x14ac:dyDescent="0.25">
      <c r="A87" s="3">
        <v>59548569180</v>
      </c>
      <c r="B87" s="3" t="s">
        <v>116</v>
      </c>
      <c r="C87" s="3" t="s">
        <v>12</v>
      </c>
      <c r="D87" s="3" t="s">
        <v>91</v>
      </c>
      <c r="E87" s="3">
        <v>9</v>
      </c>
      <c r="F87" s="3" t="s">
        <v>94</v>
      </c>
      <c r="G87" s="4" t="str">
        <f t="shared" si="4"/>
        <v>69180</v>
      </c>
      <c r="H87" t="str">
        <f t="shared" si="5"/>
        <v>Kayra ŞEKER</v>
      </c>
      <c r="I87" t="str">
        <f t="shared" si="6"/>
        <v>9A Erkek Kuaförlüğü</v>
      </c>
      <c r="J87" t="str">
        <f t="shared" si="7"/>
        <v xml:space="preserve">9A </v>
      </c>
    </row>
    <row r="88" spans="1:10" x14ac:dyDescent="0.25">
      <c r="A88" s="3">
        <v>29897187618</v>
      </c>
      <c r="B88" s="3" t="s">
        <v>117</v>
      </c>
      <c r="C88" s="3" t="s">
        <v>12</v>
      </c>
      <c r="D88" s="3" t="s">
        <v>91</v>
      </c>
      <c r="E88" s="3">
        <v>9</v>
      </c>
      <c r="F88" s="3" t="s">
        <v>92</v>
      </c>
      <c r="G88" s="4" t="str">
        <f t="shared" si="4"/>
        <v>87618</v>
      </c>
      <c r="H88" t="str">
        <f t="shared" si="5"/>
        <v>Kerem DEMİROĞLU</v>
      </c>
      <c r="I88" t="str">
        <f t="shared" si="6"/>
        <v>9E Erkek Kuaförlüğü</v>
      </c>
      <c r="J88" t="str">
        <f t="shared" si="7"/>
        <v xml:space="preserve">9E </v>
      </c>
    </row>
    <row r="89" spans="1:10" x14ac:dyDescent="0.25">
      <c r="A89" s="3">
        <v>49942519058</v>
      </c>
      <c r="B89" s="3" t="s">
        <v>118</v>
      </c>
      <c r="C89" s="3" t="s">
        <v>12</v>
      </c>
      <c r="D89" s="3" t="s">
        <v>91</v>
      </c>
      <c r="E89" s="3">
        <v>9</v>
      </c>
      <c r="F89" s="3" t="s">
        <v>94</v>
      </c>
      <c r="G89" s="4" t="str">
        <f t="shared" si="4"/>
        <v>19058</v>
      </c>
      <c r="H89" t="str">
        <f t="shared" si="5"/>
        <v>Kuzey KAYLI</v>
      </c>
      <c r="I89" t="str">
        <f t="shared" si="6"/>
        <v>9A Erkek Kuaförlüğü</v>
      </c>
      <c r="J89" t="str">
        <f t="shared" si="7"/>
        <v xml:space="preserve">9A </v>
      </c>
    </row>
    <row r="90" spans="1:10" x14ac:dyDescent="0.25">
      <c r="A90" s="3">
        <v>30761158146</v>
      </c>
      <c r="B90" s="3" t="s">
        <v>119</v>
      </c>
      <c r="C90" s="3" t="s">
        <v>12</v>
      </c>
      <c r="D90" s="3" t="s">
        <v>91</v>
      </c>
      <c r="E90" s="3">
        <v>9</v>
      </c>
      <c r="F90" s="3" t="s">
        <v>94</v>
      </c>
      <c r="G90" s="4" t="str">
        <f t="shared" si="4"/>
        <v>58146</v>
      </c>
      <c r="H90" t="str">
        <f t="shared" si="5"/>
        <v>Kuzey SORBİL</v>
      </c>
      <c r="I90" t="str">
        <f t="shared" si="6"/>
        <v>9A Erkek Kuaförlüğü</v>
      </c>
      <c r="J90" t="str">
        <f t="shared" si="7"/>
        <v xml:space="preserve">9A </v>
      </c>
    </row>
    <row r="91" spans="1:10" x14ac:dyDescent="0.25">
      <c r="A91" s="3">
        <v>46873620860</v>
      </c>
      <c r="B91" s="3" t="s">
        <v>120</v>
      </c>
      <c r="C91" s="3" t="s">
        <v>12</v>
      </c>
      <c r="D91" s="3" t="s">
        <v>91</v>
      </c>
      <c r="E91" s="3">
        <v>9</v>
      </c>
      <c r="F91" s="3" t="s">
        <v>94</v>
      </c>
      <c r="G91" s="4" t="str">
        <f t="shared" si="4"/>
        <v>20860</v>
      </c>
      <c r="H91" t="str">
        <f t="shared" si="5"/>
        <v>Mehmet Can ÖZDEMİR</v>
      </c>
      <c r="I91" t="str">
        <f t="shared" si="6"/>
        <v>9A Erkek Kuaförlüğü</v>
      </c>
      <c r="J91" t="str">
        <f t="shared" si="7"/>
        <v xml:space="preserve">9A </v>
      </c>
    </row>
    <row r="92" spans="1:10" x14ac:dyDescent="0.25">
      <c r="A92" s="3">
        <v>50728492670</v>
      </c>
      <c r="B92" s="3" t="s">
        <v>121</v>
      </c>
      <c r="C92" s="3" t="s">
        <v>12</v>
      </c>
      <c r="D92" s="3" t="s">
        <v>91</v>
      </c>
      <c r="E92" s="3">
        <v>9</v>
      </c>
      <c r="F92" s="3" t="s">
        <v>55</v>
      </c>
      <c r="G92" s="4" t="str">
        <f t="shared" si="4"/>
        <v>92670</v>
      </c>
      <c r="H92" t="str">
        <f t="shared" si="5"/>
        <v>Mehmet ÇINAR</v>
      </c>
      <c r="I92" t="str">
        <f t="shared" si="6"/>
        <v>9G Erkek Kuaförlüğü</v>
      </c>
      <c r="J92" t="str">
        <f t="shared" si="7"/>
        <v xml:space="preserve">9G </v>
      </c>
    </row>
    <row r="93" spans="1:10" x14ac:dyDescent="0.25">
      <c r="A93" s="3">
        <v>37510875972</v>
      </c>
      <c r="B93" s="3" t="s">
        <v>122</v>
      </c>
      <c r="C93" s="3" t="s">
        <v>12</v>
      </c>
      <c r="D93" s="3" t="s">
        <v>91</v>
      </c>
      <c r="E93" s="3">
        <v>9</v>
      </c>
      <c r="F93" s="3" t="s">
        <v>92</v>
      </c>
      <c r="G93" s="4" t="str">
        <f t="shared" si="4"/>
        <v>75972</v>
      </c>
      <c r="H93" t="str">
        <f t="shared" si="5"/>
        <v>Mekin ALTAY</v>
      </c>
      <c r="I93" t="str">
        <f t="shared" si="6"/>
        <v>9E Erkek Kuaförlüğü</v>
      </c>
      <c r="J93" t="str">
        <f t="shared" si="7"/>
        <v xml:space="preserve">9E </v>
      </c>
    </row>
    <row r="94" spans="1:10" x14ac:dyDescent="0.25">
      <c r="A94" s="3">
        <v>33982322822</v>
      </c>
      <c r="B94" s="3" t="s">
        <v>123</v>
      </c>
      <c r="C94" s="3" t="s">
        <v>12</v>
      </c>
      <c r="D94" s="3" t="s">
        <v>91</v>
      </c>
      <c r="E94" s="3">
        <v>9</v>
      </c>
      <c r="F94" s="3" t="s">
        <v>92</v>
      </c>
      <c r="G94" s="4" t="str">
        <f t="shared" si="4"/>
        <v>22822</v>
      </c>
      <c r="H94" t="str">
        <f t="shared" si="5"/>
        <v>Muhammed Baver EKİN</v>
      </c>
      <c r="I94" t="str">
        <f t="shared" si="6"/>
        <v>9E Erkek Kuaförlüğü</v>
      </c>
      <c r="J94" t="str">
        <f t="shared" si="7"/>
        <v xml:space="preserve">9E </v>
      </c>
    </row>
    <row r="95" spans="1:10" x14ac:dyDescent="0.25">
      <c r="A95" s="3">
        <v>72169148312</v>
      </c>
      <c r="B95" s="3" t="s">
        <v>124</v>
      </c>
      <c r="C95" s="3" t="s">
        <v>12</v>
      </c>
      <c r="D95" s="3" t="s">
        <v>91</v>
      </c>
      <c r="E95" s="3">
        <v>9</v>
      </c>
      <c r="F95" s="3" t="s">
        <v>92</v>
      </c>
      <c r="G95" s="4" t="str">
        <f t="shared" si="4"/>
        <v>48312</v>
      </c>
      <c r="H95" t="str">
        <f t="shared" si="5"/>
        <v>Muhammet Eren DEMİREL</v>
      </c>
      <c r="I95" t="str">
        <f t="shared" si="6"/>
        <v>9E Erkek Kuaförlüğü</v>
      </c>
      <c r="J95" t="str">
        <f t="shared" si="7"/>
        <v xml:space="preserve">9E </v>
      </c>
    </row>
    <row r="96" spans="1:10" x14ac:dyDescent="0.25">
      <c r="A96" s="3">
        <v>19538532860</v>
      </c>
      <c r="B96" s="3" t="s">
        <v>125</v>
      </c>
      <c r="C96" s="3" t="s">
        <v>12</v>
      </c>
      <c r="D96" s="3" t="s">
        <v>91</v>
      </c>
      <c r="E96" s="3">
        <v>9</v>
      </c>
      <c r="F96" s="3" t="s">
        <v>92</v>
      </c>
      <c r="G96" s="4" t="str">
        <f t="shared" si="4"/>
        <v>32860</v>
      </c>
      <c r="H96" t="str">
        <f t="shared" si="5"/>
        <v>Okay ÖNER</v>
      </c>
      <c r="I96" t="str">
        <f t="shared" si="6"/>
        <v>9E Erkek Kuaförlüğü</v>
      </c>
      <c r="J96" t="str">
        <f t="shared" si="7"/>
        <v xml:space="preserve">9E </v>
      </c>
    </row>
    <row r="97" spans="1:10" x14ac:dyDescent="0.25">
      <c r="A97" s="3">
        <v>22910056106</v>
      </c>
      <c r="B97" s="3" t="s">
        <v>126</v>
      </c>
      <c r="C97" s="3" t="s">
        <v>12</v>
      </c>
      <c r="D97" s="3" t="s">
        <v>91</v>
      </c>
      <c r="E97" s="3">
        <v>9</v>
      </c>
      <c r="F97" s="3" t="s">
        <v>92</v>
      </c>
      <c r="G97" s="4" t="str">
        <f t="shared" si="4"/>
        <v>56106</v>
      </c>
      <c r="H97" t="str">
        <f t="shared" si="5"/>
        <v>Rüstem Efe GÜLAL</v>
      </c>
      <c r="I97" t="str">
        <f t="shared" si="6"/>
        <v>9E Erkek Kuaförlüğü</v>
      </c>
      <c r="J97" t="str">
        <f t="shared" si="7"/>
        <v xml:space="preserve">9E </v>
      </c>
    </row>
    <row r="98" spans="1:10" x14ac:dyDescent="0.25">
      <c r="A98" s="3">
        <v>30968335210</v>
      </c>
      <c r="B98" s="3" t="s">
        <v>127</v>
      </c>
      <c r="C98" s="3" t="s">
        <v>12</v>
      </c>
      <c r="D98" s="3" t="s">
        <v>91</v>
      </c>
      <c r="E98" s="3">
        <v>9</v>
      </c>
      <c r="F98" s="3" t="s">
        <v>55</v>
      </c>
      <c r="G98" s="4" t="str">
        <f t="shared" si="4"/>
        <v>35210</v>
      </c>
      <c r="H98" t="str">
        <f t="shared" si="5"/>
        <v>Serkan GÜNÜLDES</v>
      </c>
      <c r="I98" t="str">
        <f t="shared" si="6"/>
        <v>9G Erkek Kuaförlüğü</v>
      </c>
      <c r="J98" t="str">
        <f t="shared" si="7"/>
        <v xml:space="preserve">9G </v>
      </c>
    </row>
    <row r="99" spans="1:10" x14ac:dyDescent="0.25">
      <c r="A99" s="3">
        <v>57676444812</v>
      </c>
      <c r="B99" s="3" t="s">
        <v>128</v>
      </c>
      <c r="C99" s="3" t="s">
        <v>12</v>
      </c>
      <c r="D99" s="3" t="s">
        <v>91</v>
      </c>
      <c r="E99" s="3">
        <v>9</v>
      </c>
      <c r="F99" s="3" t="s">
        <v>55</v>
      </c>
      <c r="G99" s="4" t="str">
        <f t="shared" si="4"/>
        <v>44812</v>
      </c>
      <c r="H99" t="str">
        <f t="shared" si="5"/>
        <v>Şafak Ege TÜZÜN</v>
      </c>
      <c r="I99" t="str">
        <f t="shared" si="6"/>
        <v>9G Erkek Kuaförlüğü</v>
      </c>
      <c r="J99" t="str">
        <f t="shared" si="7"/>
        <v xml:space="preserve">9G </v>
      </c>
    </row>
    <row r="100" spans="1:10" x14ac:dyDescent="0.25">
      <c r="A100" s="3">
        <v>13913262120</v>
      </c>
      <c r="B100" s="3" t="s">
        <v>129</v>
      </c>
      <c r="C100" s="3" t="s">
        <v>12</v>
      </c>
      <c r="D100" s="3" t="s">
        <v>91</v>
      </c>
      <c r="E100" s="3">
        <v>9</v>
      </c>
      <c r="F100" s="3" t="s">
        <v>92</v>
      </c>
      <c r="G100" s="4" t="str">
        <f t="shared" si="4"/>
        <v>62120</v>
      </c>
      <c r="H100" t="str">
        <f t="shared" si="5"/>
        <v>Umut Can ŞENGÜL</v>
      </c>
      <c r="I100" t="str">
        <f t="shared" si="6"/>
        <v>9E Erkek Kuaförlüğü</v>
      </c>
      <c r="J100" t="str">
        <f t="shared" si="7"/>
        <v xml:space="preserve">9E </v>
      </c>
    </row>
    <row r="101" spans="1:10" x14ac:dyDescent="0.25">
      <c r="A101" s="3">
        <v>61510133404</v>
      </c>
      <c r="B101" s="3" t="s">
        <v>130</v>
      </c>
      <c r="C101" s="3" t="s">
        <v>12</v>
      </c>
      <c r="D101" s="3" t="s">
        <v>91</v>
      </c>
      <c r="E101" s="3">
        <v>9</v>
      </c>
      <c r="F101" s="3" t="s">
        <v>55</v>
      </c>
      <c r="G101" s="4" t="str">
        <f t="shared" si="4"/>
        <v>33404</v>
      </c>
      <c r="H101" t="str">
        <f t="shared" si="5"/>
        <v>Yağız CİVAN</v>
      </c>
      <c r="I101" t="str">
        <f t="shared" si="6"/>
        <v>9G Erkek Kuaförlüğü</v>
      </c>
      <c r="J101" t="str">
        <f t="shared" si="7"/>
        <v xml:space="preserve">9G </v>
      </c>
    </row>
    <row r="102" spans="1:10" x14ac:dyDescent="0.25">
      <c r="A102" s="3">
        <v>19856522390</v>
      </c>
      <c r="B102" s="3" t="s">
        <v>131</v>
      </c>
      <c r="C102" s="3" t="s">
        <v>12</v>
      </c>
      <c r="D102" s="3" t="s">
        <v>91</v>
      </c>
      <c r="E102" s="3">
        <v>9</v>
      </c>
      <c r="F102" s="3" t="s">
        <v>92</v>
      </c>
      <c r="G102" s="4" t="str">
        <f t="shared" si="4"/>
        <v>22390</v>
      </c>
      <c r="H102" t="str">
        <f t="shared" si="5"/>
        <v>Yiğit ÜNAL</v>
      </c>
      <c r="I102" t="str">
        <f t="shared" si="6"/>
        <v>9E Erkek Kuaförlüğü</v>
      </c>
      <c r="J102" t="str">
        <f t="shared" si="7"/>
        <v xml:space="preserve">9E </v>
      </c>
    </row>
    <row r="103" spans="1:10" x14ac:dyDescent="0.25">
      <c r="A103" s="3">
        <v>24767358518</v>
      </c>
      <c r="B103" s="3" t="s">
        <v>132</v>
      </c>
      <c r="C103" s="3" t="s">
        <v>12</v>
      </c>
      <c r="D103" s="3" t="s">
        <v>91</v>
      </c>
      <c r="E103" s="3">
        <v>9</v>
      </c>
      <c r="F103" s="3" t="s">
        <v>92</v>
      </c>
      <c r="G103" s="4" t="str">
        <f t="shared" si="4"/>
        <v>58518</v>
      </c>
      <c r="H103" t="str">
        <f t="shared" si="5"/>
        <v>Yunus EREN</v>
      </c>
      <c r="I103" t="str">
        <f t="shared" si="6"/>
        <v>9E Erkek Kuaförlüğü</v>
      </c>
      <c r="J103" t="str">
        <f t="shared" si="7"/>
        <v xml:space="preserve">9E </v>
      </c>
    </row>
    <row r="104" spans="1:10" x14ac:dyDescent="0.25">
      <c r="A104" s="3">
        <v>62305477802</v>
      </c>
      <c r="B104" s="3" t="s">
        <v>133</v>
      </c>
      <c r="C104" s="3" t="s">
        <v>12</v>
      </c>
      <c r="D104" s="3" t="s">
        <v>91</v>
      </c>
      <c r="E104" s="3">
        <v>9</v>
      </c>
      <c r="F104" s="3" t="s">
        <v>94</v>
      </c>
      <c r="G104" s="4" t="str">
        <f t="shared" si="4"/>
        <v>77802</v>
      </c>
      <c r="H104" t="str">
        <f t="shared" si="5"/>
        <v>Yusuf Efe KARACA</v>
      </c>
      <c r="I104" t="str">
        <f t="shared" si="6"/>
        <v>9A Erkek Kuaförlüğü</v>
      </c>
      <c r="J104" t="str">
        <f t="shared" si="7"/>
        <v xml:space="preserve">9A </v>
      </c>
    </row>
    <row r="105" spans="1:10" x14ac:dyDescent="0.25">
      <c r="A105" s="3">
        <v>36538965498</v>
      </c>
      <c r="B105" s="3" t="s">
        <v>134</v>
      </c>
      <c r="C105" s="3" t="s">
        <v>12</v>
      </c>
      <c r="D105" s="3" t="s">
        <v>91</v>
      </c>
      <c r="E105" s="3">
        <v>9</v>
      </c>
      <c r="F105" s="3" t="s">
        <v>92</v>
      </c>
      <c r="G105" s="4" t="str">
        <f t="shared" si="4"/>
        <v>65498</v>
      </c>
      <c r="H105" t="str">
        <f t="shared" si="5"/>
        <v>Yusuf GÖKÇELİ</v>
      </c>
      <c r="I105" t="str">
        <f t="shared" si="6"/>
        <v>9E Erkek Kuaförlüğü</v>
      </c>
      <c r="J105" t="str">
        <f t="shared" si="7"/>
        <v xml:space="preserve">9E </v>
      </c>
    </row>
    <row r="106" spans="1:10" x14ac:dyDescent="0.25">
      <c r="A106" s="3">
        <v>28738904988</v>
      </c>
      <c r="B106" s="3" t="s">
        <v>135</v>
      </c>
      <c r="C106" s="3" t="s">
        <v>12</v>
      </c>
      <c r="D106" s="3" t="s">
        <v>91</v>
      </c>
      <c r="E106" s="3">
        <v>9</v>
      </c>
      <c r="F106" s="3" t="s">
        <v>92</v>
      </c>
      <c r="G106" s="4" t="str">
        <f t="shared" si="4"/>
        <v>04988</v>
      </c>
      <c r="H106" t="str">
        <f t="shared" si="5"/>
        <v>Yusuf İslam SARI</v>
      </c>
      <c r="I106" t="str">
        <f t="shared" si="6"/>
        <v>9E Erkek Kuaförlüğü</v>
      </c>
      <c r="J106" t="str">
        <f t="shared" si="7"/>
        <v xml:space="preserve">9E </v>
      </c>
    </row>
    <row r="107" spans="1:10" x14ac:dyDescent="0.25">
      <c r="A107" s="3">
        <v>41882137644</v>
      </c>
      <c r="B107" s="3" t="s">
        <v>136</v>
      </c>
      <c r="C107" s="3" t="s">
        <v>12</v>
      </c>
      <c r="D107" s="3" t="s">
        <v>91</v>
      </c>
      <c r="E107" s="3">
        <v>9</v>
      </c>
      <c r="F107" s="3" t="s">
        <v>92</v>
      </c>
      <c r="G107" s="4" t="str">
        <f t="shared" si="4"/>
        <v>37644</v>
      </c>
      <c r="H107" t="str">
        <f t="shared" si="5"/>
        <v>Yusuf Reşit ÇAKAR</v>
      </c>
      <c r="I107" t="str">
        <f t="shared" si="6"/>
        <v>9E Erkek Kuaförlüğü</v>
      </c>
      <c r="J107" t="str">
        <f t="shared" si="7"/>
        <v xml:space="preserve">9E </v>
      </c>
    </row>
    <row r="108" spans="1:10" x14ac:dyDescent="0.25">
      <c r="A108" s="3">
        <v>60115363308</v>
      </c>
      <c r="B108" s="3" t="s">
        <v>137</v>
      </c>
      <c r="C108" s="3" t="s">
        <v>12</v>
      </c>
      <c r="D108" s="3" t="s">
        <v>138</v>
      </c>
      <c r="E108" s="3">
        <v>9</v>
      </c>
      <c r="F108" s="3" t="s">
        <v>87</v>
      </c>
      <c r="G108" s="4" t="str">
        <f t="shared" si="4"/>
        <v>63308</v>
      </c>
      <c r="H108" t="str">
        <f t="shared" si="5"/>
        <v>Aybüke BAKİ</v>
      </c>
      <c r="I108" t="str">
        <f t="shared" si="6"/>
        <v>9A3(KARMA) Fotoğraf</v>
      </c>
      <c r="J108" t="str">
        <f t="shared" si="7"/>
        <v>9A3</v>
      </c>
    </row>
    <row r="109" spans="1:10" x14ac:dyDescent="0.25">
      <c r="A109" s="3">
        <v>36043707156</v>
      </c>
      <c r="B109" s="3" t="s">
        <v>139</v>
      </c>
      <c r="C109" s="3" t="s">
        <v>12</v>
      </c>
      <c r="D109" s="3" t="s">
        <v>138</v>
      </c>
      <c r="E109" s="3">
        <v>9</v>
      </c>
      <c r="F109" s="3" t="s">
        <v>87</v>
      </c>
      <c r="G109" s="4" t="str">
        <f t="shared" si="4"/>
        <v>07156</v>
      </c>
      <c r="H109" t="str">
        <f t="shared" si="5"/>
        <v>Pınar ÖZER</v>
      </c>
      <c r="I109" t="str">
        <f t="shared" si="6"/>
        <v>9A3(KARMA) Fotoğraf</v>
      </c>
      <c r="J109" t="str">
        <f t="shared" si="7"/>
        <v>9A3</v>
      </c>
    </row>
    <row r="110" spans="1:10" x14ac:dyDescent="0.25">
      <c r="A110" s="3">
        <v>30059181726</v>
      </c>
      <c r="B110" s="3" t="s">
        <v>140</v>
      </c>
      <c r="C110" s="3" t="s">
        <v>12</v>
      </c>
      <c r="D110" s="3" t="s">
        <v>141</v>
      </c>
      <c r="E110" s="3">
        <v>9</v>
      </c>
      <c r="F110" s="3" t="s">
        <v>142</v>
      </c>
      <c r="G110" s="4" t="str">
        <f t="shared" si="4"/>
        <v>81726</v>
      </c>
      <c r="H110" t="str">
        <f t="shared" si="5"/>
        <v>İshak İsmail ÖZLÜ</v>
      </c>
      <c r="I110" t="str">
        <f t="shared" si="6"/>
        <v>9D2 Gaz Tesisat Sistemleri</v>
      </c>
      <c r="J110" t="str">
        <f t="shared" si="7"/>
        <v>9D2</v>
      </c>
    </row>
    <row r="111" spans="1:10" x14ac:dyDescent="0.25">
      <c r="A111" s="3">
        <v>47518971484</v>
      </c>
      <c r="B111" s="3" t="s">
        <v>143</v>
      </c>
      <c r="C111" s="3" t="s">
        <v>12</v>
      </c>
      <c r="D111" s="3" t="s">
        <v>144</v>
      </c>
      <c r="E111" s="3">
        <v>9</v>
      </c>
      <c r="F111" s="3" t="s">
        <v>14</v>
      </c>
      <c r="G111" s="4" t="str">
        <f t="shared" si="4"/>
        <v>71484</v>
      </c>
      <c r="H111" t="str">
        <f t="shared" si="5"/>
        <v>İbrahim KAÇAR</v>
      </c>
      <c r="I111" t="str">
        <f t="shared" si="6"/>
        <v>9D Güvenlik Sistemleri</v>
      </c>
      <c r="J111" t="str">
        <f t="shared" si="7"/>
        <v xml:space="preserve">9D </v>
      </c>
    </row>
    <row r="112" spans="1:10" x14ac:dyDescent="0.25">
      <c r="A112" s="3">
        <v>40402837132</v>
      </c>
      <c r="B112" s="3" t="s">
        <v>145</v>
      </c>
      <c r="C112" s="3" t="s">
        <v>12</v>
      </c>
      <c r="D112" s="3" t="s">
        <v>144</v>
      </c>
      <c r="E112" s="3">
        <v>9</v>
      </c>
      <c r="F112" s="3" t="s">
        <v>14</v>
      </c>
      <c r="G112" s="4" t="str">
        <f t="shared" si="4"/>
        <v>37132</v>
      </c>
      <c r="H112" t="str">
        <f t="shared" si="5"/>
        <v>Muhammed Ferzende ÖZTÜRK</v>
      </c>
      <c r="I112" t="str">
        <f t="shared" si="6"/>
        <v>9D Güvenlik Sistemleri</v>
      </c>
      <c r="J112" t="str">
        <f t="shared" si="7"/>
        <v xml:space="preserve">9D </v>
      </c>
    </row>
    <row r="113" spans="1:10" x14ac:dyDescent="0.25">
      <c r="A113" s="3">
        <v>63208076642</v>
      </c>
      <c r="B113" s="3" t="s">
        <v>146</v>
      </c>
      <c r="C113" s="3" t="s">
        <v>12</v>
      </c>
      <c r="D113" s="3" t="s">
        <v>147</v>
      </c>
      <c r="E113" s="3">
        <v>9</v>
      </c>
      <c r="F113" s="3" t="s">
        <v>87</v>
      </c>
      <c r="G113" s="4" t="str">
        <f t="shared" si="4"/>
        <v>76642</v>
      </c>
      <c r="H113" t="str">
        <f t="shared" si="5"/>
        <v>Elif Beren SEKENDİZ</v>
      </c>
      <c r="I113" t="str">
        <f t="shared" si="6"/>
        <v>9A3(KARMA) Hazır Giyim Model Makineciliği</v>
      </c>
      <c r="J113" t="str">
        <f t="shared" si="7"/>
        <v>9A3</v>
      </c>
    </row>
    <row r="114" spans="1:10" x14ac:dyDescent="0.25">
      <c r="A114" s="3">
        <v>56935285722</v>
      </c>
      <c r="B114" s="3" t="s">
        <v>148</v>
      </c>
      <c r="C114" s="3" t="s">
        <v>12</v>
      </c>
      <c r="D114" s="3" t="s">
        <v>147</v>
      </c>
      <c r="E114" s="3">
        <v>9</v>
      </c>
      <c r="F114" s="3" t="s">
        <v>87</v>
      </c>
      <c r="G114" s="4" t="str">
        <f t="shared" si="4"/>
        <v>85722</v>
      </c>
      <c r="H114" t="str">
        <f t="shared" si="5"/>
        <v>Şevval NALCI</v>
      </c>
      <c r="I114" t="str">
        <f t="shared" si="6"/>
        <v>9A3(KARMA) Hazır Giyim Model Makineciliği</v>
      </c>
      <c r="J114" t="str">
        <f t="shared" si="7"/>
        <v>9A3</v>
      </c>
    </row>
    <row r="115" spans="1:10" x14ac:dyDescent="0.25">
      <c r="A115" s="3">
        <v>48892554690</v>
      </c>
      <c r="B115" s="3" t="s">
        <v>149</v>
      </c>
      <c r="C115" s="3" t="s">
        <v>12</v>
      </c>
      <c r="D115" s="3" t="s">
        <v>147</v>
      </c>
      <c r="E115" s="3">
        <v>9</v>
      </c>
      <c r="F115" s="3" t="s">
        <v>87</v>
      </c>
      <c r="G115" s="4" t="str">
        <f t="shared" si="4"/>
        <v>54690</v>
      </c>
      <c r="H115" t="str">
        <f t="shared" si="5"/>
        <v>Zülal AKYÜZ</v>
      </c>
      <c r="I115" t="str">
        <f t="shared" si="6"/>
        <v>9A3(KARMA) Hazır Giyim Model Makineciliği</v>
      </c>
      <c r="J115" t="str">
        <f t="shared" si="7"/>
        <v>9A3</v>
      </c>
    </row>
    <row r="116" spans="1:10" x14ac:dyDescent="0.25">
      <c r="A116" s="3">
        <v>57010284074</v>
      </c>
      <c r="B116" s="3" t="s">
        <v>150</v>
      </c>
      <c r="C116" s="3" t="s">
        <v>12</v>
      </c>
      <c r="D116" s="3" t="s">
        <v>151</v>
      </c>
      <c r="E116" s="3">
        <v>9</v>
      </c>
      <c r="F116" s="3" t="s">
        <v>142</v>
      </c>
      <c r="G116" s="4" t="str">
        <f t="shared" si="4"/>
        <v>84074</v>
      </c>
      <c r="H116" t="str">
        <f t="shared" si="5"/>
        <v>Ali Berkay BAYDAR</v>
      </c>
      <c r="I116" t="str">
        <f t="shared" si="6"/>
        <v>9D2 Isıtma Ve Sıhhi Tesisat Sistemleri</v>
      </c>
      <c r="J116" t="str">
        <f t="shared" si="7"/>
        <v>9D2</v>
      </c>
    </row>
    <row r="117" spans="1:10" x14ac:dyDescent="0.25">
      <c r="A117" s="3">
        <v>31496501054</v>
      </c>
      <c r="B117" s="3" t="s">
        <v>152</v>
      </c>
      <c r="C117" s="3" t="s">
        <v>12</v>
      </c>
      <c r="D117" s="3" t="s">
        <v>151</v>
      </c>
      <c r="E117" s="3">
        <v>9</v>
      </c>
      <c r="F117" s="3" t="s">
        <v>142</v>
      </c>
      <c r="G117" s="4" t="str">
        <f t="shared" si="4"/>
        <v>01054</v>
      </c>
      <c r="H117" t="str">
        <f t="shared" si="5"/>
        <v>Beytülşefa DENİZ</v>
      </c>
      <c r="I117" t="str">
        <f t="shared" si="6"/>
        <v>9D2 Isıtma Ve Sıhhi Tesisat Sistemleri</v>
      </c>
      <c r="J117" t="str">
        <f t="shared" si="7"/>
        <v>9D2</v>
      </c>
    </row>
    <row r="118" spans="1:10" x14ac:dyDescent="0.25">
      <c r="A118" s="3">
        <v>16535633002</v>
      </c>
      <c r="B118" s="3" t="s">
        <v>153</v>
      </c>
      <c r="C118" s="3" t="s">
        <v>12</v>
      </c>
      <c r="D118" s="3" t="s">
        <v>151</v>
      </c>
      <c r="E118" s="3">
        <v>9</v>
      </c>
      <c r="F118" s="3" t="s">
        <v>142</v>
      </c>
      <c r="G118" s="4" t="str">
        <f t="shared" si="4"/>
        <v>33002</v>
      </c>
      <c r="H118" t="str">
        <f t="shared" si="5"/>
        <v>Muhammed Emin MANDACI</v>
      </c>
      <c r="I118" t="str">
        <f t="shared" si="6"/>
        <v>9D2 Isıtma Ve Sıhhi Tesisat Sistemleri</v>
      </c>
      <c r="J118" t="str">
        <f t="shared" si="7"/>
        <v>9D2</v>
      </c>
    </row>
    <row r="119" spans="1:10" x14ac:dyDescent="0.25">
      <c r="A119" s="3">
        <v>45118680362</v>
      </c>
      <c r="B119" s="3" t="s">
        <v>154</v>
      </c>
      <c r="C119" s="3" t="s">
        <v>12</v>
      </c>
      <c r="D119" s="3" t="s">
        <v>151</v>
      </c>
      <c r="E119" s="3">
        <v>9</v>
      </c>
      <c r="F119" s="3" t="s">
        <v>142</v>
      </c>
      <c r="G119" s="4" t="str">
        <f t="shared" si="4"/>
        <v>80362</v>
      </c>
      <c r="H119" t="str">
        <f t="shared" si="5"/>
        <v>Samet DENİZ</v>
      </c>
      <c r="I119" t="str">
        <f t="shared" si="6"/>
        <v>9D2 Isıtma Ve Sıhhi Tesisat Sistemleri</v>
      </c>
      <c r="J119" t="str">
        <f t="shared" si="7"/>
        <v>9D2</v>
      </c>
    </row>
    <row r="120" spans="1:10" x14ac:dyDescent="0.25">
      <c r="A120" s="3">
        <v>54562365602</v>
      </c>
      <c r="B120" s="3" t="s">
        <v>155</v>
      </c>
      <c r="C120" s="3" t="s">
        <v>12</v>
      </c>
      <c r="D120" s="3" t="s">
        <v>156</v>
      </c>
      <c r="E120" s="3">
        <v>9</v>
      </c>
      <c r="F120" s="3" t="s">
        <v>157</v>
      </c>
      <c r="G120" s="4" t="str">
        <f t="shared" si="4"/>
        <v>65602</v>
      </c>
      <c r="H120" t="str">
        <f t="shared" si="5"/>
        <v>Hasan Hüseyin YÜKSEL</v>
      </c>
      <c r="I120" t="str">
        <f t="shared" si="6"/>
        <v>9D4 İç Mekân Ve Mobilya Teknolojisi</v>
      </c>
      <c r="J120" t="str">
        <f t="shared" si="7"/>
        <v>9D4</v>
      </c>
    </row>
    <row r="121" spans="1:10" x14ac:dyDescent="0.25">
      <c r="A121" s="3">
        <v>43954902310</v>
      </c>
      <c r="B121" s="3" t="s">
        <v>158</v>
      </c>
      <c r="C121" s="3" t="s">
        <v>12</v>
      </c>
      <c r="D121" s="3" t="s">
        <v>159</v>
      </c>
      <c r="E121" s="3">
        <v>9</v>
      </c>
      <c r="F121" s="3" t="s">
        <v>142</v>
      </c>
      <c r="G121" s="4" t="str">
        <f t="shared" si="4"/>
        <v>02310</v>
      </c>
      <c r="H121" t="str">
        <f t="shared" si="5"/>
        <v>Ahmet Taha YILDIZ</v>
      </c>
      <c r="I121" t="str">
        <f t="shared" si="6"/>
        <v>9D2 İklimlendirme Sistemleri</v>
      </c>
      <c r="J121" t="str">
        <f t="shared" si="7"/>
        <v>9D2</v>
      </c>
    </row>
    <row r="122" spans="1:10" x14ac:dyDescent="0.25">
      <c r="A122" s="3">
        <v>27670968768</v>
      </c>
      <c r="B122" s="3" t="s">
        <v>160</v>
      </c>
      <c r="C122" s="3" t="s">
        <v>12</v>
      </c>
      <c r="D122" s="3" t="s">
        <v>159</v>
      </c>
      <c r="E122" s="3">
        <v>9</v>
      </c>
      <c r="F122" s="3" t="s">
        <v>142</v>
      </c>
      <c r="G122" s="4" t="str">
        <f t="shared" si="4"/>
        <v>68768</v>
      </c>
      <c r="H122" t="str">
        <f t="shared" si="5"/>
        <v>Mustafa Mete AKYILDIZ</v>
      </c>
      <c r="I122" t="str">
        <f t="shared" si="6"/>
        <v>9D2 İklimlendirme Sistemleri</v>
      </c>
      <c r="J122" t="str">
        <f t="shared" si="7"/>
        <v>9D2</v>
      </c>
    </row>
    <row r="123" spans="1:10" x14ac:dyDescent="0.25">
      <c r="A123" s="3">
        <v>24962721902</v>
      </c>
      <c r="B123" s="3" t="s">
        <v>161</v>
      </c>
      <c r="C123" s="3" t="s">
        <v>12</v>
      </c>
      <c r="D123" s="3" t="s">
        <v>162</v>
      </c>
      <c r="E123" s="3">
        <v>9</v>
      </c>
      <c r="F123" s="3" t="s">
        <v>58</v>
      </c>
      <c r="G123" s="4" t="str">
        <f t="shared" si="4"/>
        <v>21902</v>
      </c>
      <c r="H123" t="str">
        <f t="shared" si="5"/>
        <v>Hamza TEKÇE</v>
      </c>
      <c r="I123" t="str">
        <f t="shared" si="6"/>
        <v>9B İş Makineleri</v>
      </c>
      <c r="J123" t="str">
        <f t="shared" si="7"/>
        <v xml:space="preserve">9B </v>
      </c>
    </row>
    <row r="124" spans="1:10" x14ac:dyDescent="0.25">
      <c r="A124" s="3">
        <v>15194946638</v>
      </c>
      <c r="B124" s="3" t="s">
        <v>163</v>
      </c>
      <c r="C124" s="3" t="s">
        <v>12</v>
      </c>
      <c r="D124" s="3" t="s">
        <v>162</v>
      </c>
      <c r="E124" s="3">
        <v>9</v>
      </c>
      <c r="F124" s="3" t="s">
        <v>164</v>
      </c>
      <c r="G124" s="4" t="str">
        <f t="shared" si="4"/>
        <v>46638</v>
      </c>
      <c r="H124" t="str">
        <f t="shared" si="5"/>
        <v>Muhammed Furkan KARADAĞ</v>
      </c>
      <c r="I124" t="str">
        <f t="shared" si="6"/>
        <v>9C İş Makineleri</v>
      </c>
      <c r="J124" t="str">
        <f t="shared" si="7"/>
        <v xml:space="preserve">9C </v>
      </c>
    </row>
    <row r="125" spans="1:10" x14ac:dyDescent="0.25">
      <c r="A125" s="3">
        <v>18686830224</v>
      </c>
      <c r="B125" s="3" t="s">
        <v>165</v>
      </c>
      <c r="C125" s="3" t="s">
        <v>12</v>
      </c>
      <c r="D125" s="3" t="s">
        <v>162</v>
      </c>
      <c r="E125" s="3">
        <v>9</v>
      </c>
      <c r="F125" s="3" t="s">
        <v>166</v>
      </c>
      <c r="G125" s="4" t="str">
        <f t="shared" si="4"/>
        <v>30224</v>
      </c>
      <c r="H125" t="str">
        <f t="shared" si="5"/>
        <v>Mustafa Efe KARADEMİR</v>
      </c>
      <c r="I125" t="str">
        <f t="shared" si="6"/>
        <v>9F İş Makineleri</v>
      </c>
      <c r="J125" t="str">
        <f t="shared" si="7"/>
        <v xml:space="preserve">9F </v>
      </c>
    </row>
    <row r="126" spans="1:10" x14ac:dyDescent="0.25">
      <c r="A126" s="3">
        <v>39217876924</v>
      </c>
      <c r="B126" s="3" t="s">
        <v>167</v>
      </c>
      <c r="C126" s="3" t="s">
        <v>12</v>
      </c>
      <c r="D126" s="3" t="s">
        <v>168</v>
      </c>
      <c r="E126" s="3">
        <v>9</v>
      </c>
      <c r="F126" s="3" t="s">
        <v>94</v>
      </c>
      <c r="G126" s="4" t="str">
        <f t="shared" si="4"/>
        <v>76924</v>
      </c>
      <c r="H126" t="str">
        <f t="shared" si="5"/>
        <v>Ahmet Tuğra SEYHAN</v>
      </c>
      <c r="I126" t="str">
        <f t="shared" si="6"/>
        <v>9A Kadın Kuaförlüğü</v>
      </c>
      <c r="J126" t="str">
        <f t="shared" si="7"/>
        <v xml:space="preserve">9A </v>
      </c>
    </row>
    <row r="127" spans="1:10" x14ac:dyDescent="0.25">
      <c r="A127" s="3">
        <v>42829756676</v>
      </c>
      <c r="B127" s="3" t="s">
        <v>169</v>
      </c>
      <c r="C127" s="3" t="s">
        <v>12</v>
      </c>
      <c r="D127" s="3" t="s">
        <v>168</v>
      </c>
      <c r="E127" s="3">
        <v>9</v>
      </c>
      <c r="F127" s="3" t="s">
        <v>94</v>
      </c>
      <c r="G127" s="4" t="str">
        <f t="shared" si="4"/>
        <v>56676</v>
      </c>
      <c r="H127" t="str">
        <f t="shared" si="5"/>
        <v>Asel Bermal YILDIZ</v>
      </c>
      <c r="I127" t="str">
        <f t="shared" si="6"/>
        <v>9A Kadın Kuaförlüğü</v>
      </c>
      <c r="J127" t="str">
        <f t="shared" si="7"/>
        <v xml:space="preserve">9A </v>
      </c>
    </row>
    <row r="128" spans="1:10" x14ac:dyDescent="0.25">
      <c r="A128" s="3">
        <v>37816923896</v>
      </c>
      <c r="B128" s="3" t="s">
        <v>170</v>
      </c>
      <c r="C128" s="3" t="s">
        <v>12</v>
      </c>
      <c r="D128" s="3" t="s">
        <v>168</v>
      </c>
      <c r="E128" s="3">
        <v>9</v>
      </c>
      <c r="F128" s="3" t="s">
        <v>55</v>
      </c>
      <c r="G128" s="4" t="str">
        <f t="shared" si="4"/>
        <v>23896</v>
      </c>
      <c r="H128" t="str">
        <f t="shared" si="5"/>
        <v>Aysu GÜNDÜZ</v>
      </c>
      <c r="I128" t="str">
        <f t="shared" si="6"/>
        <v>9G Kadın Kuaförlüğü</v>
      </c>
      <c r="J128" t="str">
        <f t="shared" si="7"/>
        <v xml:space="preserve">9G </v>
      </c>
    </row>
    <row r="129" spans="1:10" x14ac:dyDescent="0.25">
      <c r="A129" s="3">
        <v>75742029770</v>
      </c>
      <c r="B129" s="3" t="s">
        <v>171</v>
      </c>
      <c r="C129" s="3" t="s">
        <v>12</v>
      </c>
      <c r="D129" s="3" t="s">
        <v>168</v>
      </c>
      <c r="E129" s="3">
        <v>9</v>
      </c>
      <c r="F129" s="3" t="s">
        <v>94</v>
      </c>
      <c r="G129" s="4" t="str">
        <f t="shared" si="4"/>
        <v>29770</v>
      </c>
      <c r="H129" t="str">
        <f t="shared" si="5"/>
        <v>Azra ERKAN</v>
      </c>
      <c r="I129" t="str">
        <f t="shared" si="6"/>
        <v>9A Kadın Kuaförlüğü</v>
      </c>
      <c r="J129" t="str">
        <f t="shared" si="7"/>
        <v xml:space="preserve">9A </v>
      </c>
    </row>
    <row r="130" spans="1:10" x14ac:dyDescent="0.25">
      <c r="A130" s="3">
        <v>48880554800</v>
      </c>
      <c r="B130" s="3" t="s">
        <v>172</v>
      </c>
      <c r="C130" s="3" t="s">
        <v>12</v>
      </c>
      <c r="D130" s="3" t="s">
        <v>168</v>
      </c>
      <c r="E130" s="3">
        <v>9</v>
      </c>
      <c r="F130" s="3" t="s">
        <v>94</v>
      </c>
      <c r="G130" s="4" t="str">
        <f t="shared" si="4"/>
        <v>54800</v>
      </c>
      <c r="H130" t="str">
        <f t="shared" si="5"/>
        <v>Beren HEKİMOĞULLARI</v>
      </c>
      <c r="I130" t="str">
        <f t="shared" si="6"/>
        <v>9A Kadın Kuaförlüğü</v>
      </c>
      <c r="J130" t="str">
        <f t="shared" si="7"/>
        <v xml:space="preserve">9A </v>
      </c>
    </row>
    <row r="131" spans="1:10" x14ac:dyDescent="0.25">
      <c r="A131" s="3">
        <v>21964255688</v>
      </c>
      <c r="B131" s="3" t="s">
        <v>173</v>
      </c>
      <c r="C131" s="3" t="s">
        <v>12</v>
      </c>
      <c r="D131" s="3" t="s">
        <v>168</v>
      </c>
      <c r="E131" s="3">
        <v>9</v>
      </c>
      <c r="F131" s="3" t="s">
        <v>94</v>
      </c>
      <c r="G131" s="4" t="str">
        <f t="shared" si="4"/>
        <v>55688</v>
      </c>
      <c r="H131" t="str">
        <f t="shared" si="5"/>
        <v>Berinnaz ONUK</v>
      </c>
      <c r="I131" t="str">
        <f t="shared" si="6"/>
        <v>9A Kadın Kuaförlüğü</v>
      </c>
      <c r="J131" t="str">
        <f t="shared" si="7"/>
        <v xml:space="preserve">9A </v>
      </c>
    </row>
    <row r="132" spans="1:10" x14ac:dyDescent="0.25">
      <c r="A132" s="3">
        <v>44485701496</v>
      </c>
      <c r="B132" s="3" t="s">
        <v>174</v>
      </c>
      <c r="C132" s="3" t="s">
        <v>12</v>
      </c>
      <c r="D132" s="3" t="s">
        <v>168</v>
      </c>
      <c r="E132" s="3">
        <v>9</v>
      </c>
      <c r="F132" s="3" t="s">
        <v>94</v>
      </c>
      <c r="G132" s="4" t="str">
        <f t="shared" si="4"/>
        <v>01496</v>
      </c>
      <c r="H132" t="str">
        <f t="shared" si="5"/>
        <v>Berra Sude ÜLKER</v>
      </c>
      <c r="I132" t="str">
        <f t="shared" si="6"/>
        <v>9A Kadın Kuaförlüğü</v>
      </c>
      <c r="J132" t="str">
        <f t="shared" si="7"/>
        <v xml:space="preserve">9A </v>
      </c>
    </row>
    <row r="133" spans="1:10" x14ac:dyDescent="0.25">
      <c r="A133" s="3">
        <v>31786432846</v>
      </c>
      <c r="B133" s="3" t="s">
        <v>175</v>
      </c>
      <c r="C133" s="3" t="s">
        <v>12</v>
      </c>
      <c r="D133" s="3" t="s">
        <v>168</v>
      </c>
      <c r="E133" s="3">
        <v>9</v>
      </c>
      <c r="F133" s="3" t="s">
        <v>55</v>
      </c>
      <c r="G133" s="4" t="str">
        <f t="shared" ref="G133:G196" si="8">RIGHT(A133,5)</f>
        <v>32846</v>
      </c>
      <c r="H133" t="str">
        <f t="shared" ref="H133:H196" si="9">B133</f>
        <v>Buğlem ÇAKMAK</v>
      </c>
      <c r="I133" t="str">
        <f t="shared" ref="I133:I196" si="10">CONCATENATE(E133,F133," ",D133)</f>
        <v>9G Kadın Kuaförlüğü</v>
      </c>
      <c r="J133" t="str">
        <f t="shared" ref="J133:J196" si="11">LEFT(I133,3)</f>
        <v xml:space="preserve">9G </v>
      </c>
    </row>
    <row r="134" spans="1:10" x14ac:dyDescent="0.25">
      <c r="A134" s="3">
        <v>42254180916</v>
      </c>
      <c r="B134" s="3" t="s">
        <v>176</v>
      </c>
      <c r="C134" s="3" t="s">
        <v>12</v>
      </c>
      <c r="D134" s="3" t="s">
        <v>168</v>
      </c>
      <c r="E134" s="3">
        <v>9</v>
      </c>
      <c r="F134" s="3" t="s">
        <v>55</v>
      </c>
      <c r="G134" s="4" t="str">
        <f t="shared" si="8"/>
        <v>80916</v>
      </c>
      <c r="H134" t="str">
        <f t="shared" si="9"/>
        <v>Duygu KARAKAŞ</v>
      </c>
      <c r="I134" t="str">
        <f t="shared" si="10"/>
        <v>9G Kadın Kuaförlüğü</v>
      </c>
      <c r="J134" t="str">
        <f t="shared" si="11"/>
        <v xml:space="preserve">9G </v>
      </c>
    </row>
    <row r="135" spans="1:10" x14ac:dyDescent="0.25">
      <c r="A135" s="3">
        <v>34076048406</v>
      </c>
      <c r="B135" s="3" t="s">
        <v>177</v>
      </c>
      <c r="C135" s="3" t="s">
        <v>12</v>
      </c>
      <c r="D135" s="3" t="s">
        <v>168</v>
      </c>
      <c r="E135" s="3">
        <v>9</v>
      </c>
      <c r="F135" s="3" t="s">
        <v>94</v>
      </c>
      <c r="G135" s="4" t="str">
        <f t="shared" si="8"/>
        <v>48406</v>
      </c>
      <c r="H135" t="str">
        <f t="shared" si="9"/>
        <v>Ecrin Naz KARABULUT</v>
      </c>
      <c r="I135" t="str">
        <f t="shared" si="10"/>
        <v>9A Kadın Kuaförlüğü</v>
      </c>
      <c r="J135" t="str">
        <f t="shared" si="11"/>
        <v xml:space="preserve">9A </v>
      </c>
    </row>
    <row r="136" spans="1:10" x14ac:dyDescent="0.25">
      <c r="A136" s="3">
        <v>23165411610</v>
      </c>
      <c r="B136" s="3" t="s">
        <v>178</v>
      </c>
      <c r="C136" s="3" t="s">
        <v>12</v>
      </c>
      <c r="D136" s="3" t="s">
        <v>168</v>
      </c>
      <c r="E136" s="3">
        <v>9</v>
      </c>
      <c r="F136" s="3" t="s">
        <v>55</v>
      </c>
      <c r="G136" s="4" t="str">
        <f t="shared" si="8"/>
        <v>11610</v>
      </c>
      <c r="H136" t="str">
        <f t="shared" si="9"/>
        <v>Ela Gül ALTAN</v>
      </c>
      <c r="I136" t="str">
        <f t="shared" si="10"/>
        <v>9G Kadın Kuaförlüğü</v>
      </c>
      <c r="J136" t="str">
        <f t="shared" si="11"/>
        <v xml:space="preserve">9G </v>
      </c>
    </row>
    <row r="137" spans="1:10" x14ac:dyDescent="0.25">
      <c r="A137" s="3">
        <v>15101680440</v>
      </c>
      <c r="B137" s="3" t="s">
        <v>179</v>
      </c>
      <c r="C137" s="3" t="s">
        <v>12</v>
      </c>
      <c r="D137" s="3" t="s">
        <v>168</v>
      </c>
      <c r="E137" s="3">
        <v>9</v>
      </c>
      <c r="F137" s="3" t="s">
        <v>94</v>
      </c>
      <c r="G137" s="4" t="str">
        <f t="shared" si="8"/>
        <v>80440</v>
      </c>
      <c r="H137" t="str">
        <f t="shared" si="9"/>
        <v>Elif GEZER</v>
      </c>
      <c r="I137" t="str">
        <f t="shared" si="10"/>
        <v>9A Kadın Kuaförlüğü</v>
      </c>
      <c r="J137" t="str">
        <f t="shared" si="11"/>
        <v xml:space="preserve">9A </v>
      </c>
    </row>
    <row r="138" spans="1:10" x14ac:dyDescent="0.25">
      <c r="A138" s="3">
        <v>61213143922</v>
      </c>
      <c r="B138" s="3" t="s">
        <v>180</v>
      </c>
      <c r="C138" s="3" t="s">
        <v>12</v>
      </c>
      <c r="D138" s="3" t="s">
        <v>168</v>
      </c>
      <c r="E138" s="3">
        <v>9</v>
      </c>
      <c r="F138" s="3" t="s">
        <v>94</v>
      </c>
      <c r="G138" s="4" t="str">
        <f t="shared" si="8"/>
        <v>43922</v>
      </c>
      <c r="H138" t="str">
        <f t="shared" si="9"/>
        <v>Elif Naz AYYILDIZ</v>
      </c>
      <c r="I138" t="str">
        <f t="shared" si="10"/>
        <v>9A Kadın Kuaförlüğü</v>
      </c>
      <c r="J138" t="str">
        <f t="shared" si="11"/>
        <v xml:space="preserve">9A </v>
      </c>
    </row>
    <row r="139" spans="1:10" x14ac:dyDescent="0.25">
      <c r="A139" s="3">
        <v>35099014348</v>
      </c>
      <c r="B139" s="3" t="s">
        <v>181</v>
      </c>
      <c r="C139" s="3" t="s">
        <v>12</v>
      </c>
      <c r="D139" s="3" t="s">
        <v>168</v>
      </c>
      <c r="E139" s="3">
        <v>9</v>
      </c>
      <c r="F139" s="3" t="s">
        <v>94</v>
      </c>
      <c r="G139" s="4" t="str">
        <f t="shared" si="8"/>
        <v>14348</v>
      </c>
      <c r="H139" t="str">
        <f t="shared" si="9"/>
        <v>Elvan SAMAR</v>
      </c>
      <c r="I139" t="str">
        <f t="shared" si="10"/>
        <v>9A Kadın Kuaförlüğü</v>
      </c>
      <c r="J139" t="str">
        <f t="shared" si="11"/>
        <v xml:space="preserve">9A </v>
      </c>
    </row>
    <row r="140" spans="1:10" x14ac:dyDescent="0.25">
      <c r="A140" s="3">
        <v>44095714138</v>
      </c>
      <c r="B140" s="3" t="s">
        <v>182</v>
      </c>
      <c r="C140" s="3" t="s">
        <v>12</v>
      </c>
      <c r="D140" s="3" t="s">
        <v>168</v>
      </c>
      <c r="E140" s="3">
        <v>9</v>
      </c>
      <c r="F140" s="3" t="s">
        <v>55</v>
      </c>
      <c r="G140" s="4" t="str">
        <f t="shared" si="8"/>
        <v>14138</v>
      </c>
      <c r="H140" t="str">
        <f t="shared" si="9"/>
        <v>Esmanur SARSILMAZ</v>
      </c>
      <c r="I140" t="str">
        <f t="shared" si="10"/>
        <v>9G Kadın Kuaförlüğü</v>
      </c>
      <c r="J140" t="str">
        <f t="shared" si="11"/>
        <v xml:space="preserve">9G </v>
      </c>
    </row>
    <row r="141" spans="1:10" x14ac:dyDescent="0.25">
      <c r="A141" s="3">
        <v>54259537022</v>
      </c>
      <c r="B141" s="3" t="s">
        <v>183</v>
      </c>
      <c r="C141" s="3" t="s">
        <v>12</v>
      </c>
      <c r="D141" s="3" t="s">
        <v>168</v>
      </c>
      <c r="E141" s="3">
        <v>9</v>
      </c>
      <c r="F141" s="3" t="s">
        <v>94</v>
      </c>
      <c r="G141" s="4" t="str">
        <f t="shared" si="8"/>
        <v>37022</v>
      </c>
      <c r="H141" t="str">
        <f t="shared" si="9"/>
        <v>Ezel Su SÖYLEMEZ</v>
      </c>
      <c r="I141" t="str">
        <f t="shared" si="10"/>
        <v>9A Kadın Kuaförlüğü</v>
      </c>
      <c r="J141" t="str">
        <f t="shared" si="11"/>
        <v xml:space="preserve">9A </v>
      </c>
    </row>
    <row r="142" spans="1:10" x14ac:dyDescent="0.25">
      <c r="A142" s="3">
        <v>41056815774</v>
      </c>
      <c r="B142" s="3" t="s">
        <v>184</v>
      </c>
      <c r="C142" s="3" t="s">
        <v>12</v>
      </c>
      <c r="D142" s="3" t="s">
        <v>168</v>
      </c>
      <c r="E142" s="3">
        <v>9</v>
      </c>
      <c r="F142" s="3" t="s">
        <v>94</v>
      </c>
      <c r="G142" s="4" t="str">
        <f t="shared" si="8"/>
        <v>15774</v>
      </c>
      <c r="H142" t="str">
        <f t="shared" si="9"/>
        <v>Gülsüm DAĞIDIR</v>
      </c>
      <c r="I142" t="str">
        <f t="shared" si="10"/>
        <v>9A Kadın Kuaförlüğü</v>
      </c>
      <c r="J142" t="str">
        <f t="shared" si="11"/>
        <v xml:space="preserve">9A </v>
      </c>
    </row>
    <row r="143" spans="1:10" x14ac:dyDescent="0.25">
      <c r="A143" s="3">
        <v>19316539456</v>
      </c>
      <c r="B143" s="3" t="s">
        <v>185</v>
      </c>
      <c r="C143" s="3" t="s">
        <v>12</v>
      </c>
      <c r="D143" s="3" t="s">
        <v>168</v>
      </c>
      <c r="E143" s="3">
        <v>9</v>
      </c>
      <c r="F143" s="3" t="s">
        <v>94</v>
      </c>
      <c r="G143" s="4" t="str">
        <f t="shared" si="8"/>
        <v>39456</v>
      </c>
      <c r="H143" t="str">
        <f t="shared" si="9"/>
        <v>Hakkı Soner TOPUZ</v>
      </c>
      <c r="I143" t="str">
        <f t="shared" si="10"/>
        <v>9A Kadın Kuaförlüğü</v>
      </c>
      <c r="J143" t="str">
        <f t="shared" si="11"/>
        <v xml:space="preserve">9A </v>
      </c>
    </row>
    <row r="144" spans="1:10" x14ac:dyDescent="0.25">
      <c r="A144" s="3">
        <v>56083314718</v>
      </c>
      <c r="B144" s="3" t="s">
        <v>186</v>
      </c>
      <c r="C144" s="3" t="s">
        <v>12</v>
      </c>
      <c r="D144" s="3" t="s">
        <v>168</v>
      </c>
      <c r="E144" s="3">
        <v>9</v>
      </c>
      <c r="F144" s="3" t="s">
        <v>55</v>
      </c>
      <c r="G144" s="4" t="str">
        <f t="shared" si="8"/>
        <v>14718</v>
      </c>
      <c r="H144" t="str">
        <f t="shared" si="9"/>
        <v>Hira BEBE</v>
      </c>
      <c r="I144" t="str">
        <f t="shared" si="10"/>
        <v>9G Kadın Kuaförlüğü</v>
      </c>
      <c r="J144" t="str">
        <f t="shared" si="11"/>
        <v xml:space="preserve">9G </v>
      </c>
    </row>
    <row r="145" spans="1:10" x14ac:dyDescent="0.25">
      <c r="A145" s="3">
        <v>37456935372</v>
      </c>
      <c r="B145" s="3" t="s">
        <v>187</v>
      </c>
      <c r="C145" s="3" t="s">
        <v>12</v>
      </c>
      <c r="D145" s="3" t="s">
        <v>168</v>
      </c>
      <c r="E145" s="3">
        <v>9</v>
      </c>
      <c r="F145" s="3" t="s">
        <v>94</v>
      </c>
      <c r="G145" s="4" t="str">
        <f t="shared" si="8"/>
        <v>35372</v>
      </c>
      <c r="H145" t="str">
        <f t="shared" si="9"/>
        <v>İlayda TARDU</v>
      </c>
      <c r="I145" t="str">
        <f t="shared" si="10"/>
        <v>9A Kadın Kuaförlüğü</v>
      </c>
      <c r="J145" t="str">
        <f t="shared" si="11"/>
        <v xml:space="preserve">9A </v>
      </c>
    </row>
    <row r="146" spans="1:10" x14ac:dyDescent="0.25">
      <c r="A146" s="3">
        <v>57151279366</v>
      </c>
      <c r="B146" s="3" t="s">
        <v>188</v>
      </c>
      <c r="C146" s="3" t="s">
        <v>12</v>
      </c>
      <c r="D146" s="3" t="s">
        <v>168</v>
      </c>
      <c r="E146" s="3">
        <v>9</v>
      </c>
      <c r="F146" s="3" t="s">
        <v>55</v>
      </c>
      <c r="G146" s="4" t="str">
        <f t="shared" si="8"/>
        <v>79366</v>
      </c>
      <c r="H146" t="str">
        <f t="shared" si="9"/>
        <v>Medine TANÇ</v>
      </c>
      <c r="I146" t="str">
        <f t="shared" si="10"/>
        <v>9G Kadın Kuaförlüğü</v>
      </c>
      <c r="J146" t="str">
        <f t="shared" si="11"/>
        <v xml:space="preserve">9G </v>
      </c>
    </row>
    <row r="147" spans="1:10" x14ac:dyDescent="0.25">
      <c r="A147" s="3">
        <v>37130005964</v>
      </c>
      <c r="B147" s="3" t="s">
        <v>189</v>
      </c>
      <c r="C147" s="3" t="s">
        <v>12</v>
      </c>
      <c r="D147" s="3" t="s">
        <v>168</v>
      </c>
      <c r="E147" s="3">
        <v>9</v>
      </c>
      <c r="F147" s="2"/>
      <c r="G147" s="4" t="str">
        <f t="shared" si="8"/>
        <v>05964</v>
      </c>
      <c r="H147" t="str">
        <f t="shared" si="9"/>
        <v>Medine YILDIRIM</v>
      </c>
      <c r="I147" t="str">
        <f t="shared" si="10"/>
        <v>9 Kadın Kuaförlüğü</v>
      </c>
      <c r="J147" t="str">
        <f t="shared" si="11"/>
        <v>9 K</v>
      </c>
    </row>
    <row r="148" spans="1:10" x14ac:dyDescent="0.25">
      <c r="A148" s="3">
        <v>14237709766</v>
      </c>
      <c r="B148" s="3" t="s">
        <v>190</v>
      </c>
      <c r="C148" s="3" t="s">
        <v>12</v>
      </c>
      <c r="D148" s="3" t="s">
        <v>168</v>
      </c>
      <c r="E148" s="3">
        <v>9</v>
      </c>
      <c r="F148" s="3" t="s">
        <v>94</v>
      </c>
      <c r="G148" s="4" t="str">
        <f t="shared" si="8"/>
        <v>09766</v>
      </c>
      <c r="H148" t="str">
        <f t="shared" si="9"/>
        <v>Miray KAHRAMAN</v>
      </c>
      <c r="I148" t="str">
        <f t="shared" si="10"/>
        <v>9A Kadın Kuaförlüğü</v>
      </c>
      <c r="J148" t="str">
        <f t="shared" si="11"/>
        <v xml:space="preserve">9A </v>
      </c>
    </row>
    <row r="149" spans="1:10" x14ac:dyDescent="0.25">
      <c r="A149" s="3">
        <v>15560665194</v>
      </c>
      <c r="B149" s="3" t="s">
        <v>191</v>
      </c>
      <c r="C149" s="3" t="s">
        <v>12</v>
      </c>
      <c r="D149" s="3" t="s">
        <v>168</v>
      </c>
      <c r="E149" s="3">
        <v>9</v>
      </c>
      <c r="F149" s="3" t="s">
        <v>55</v>
      </c>
      <c r="G149" s="4" t="str">
        <f t="shared" si="8"/>
        <v>65194</v>
      </c>
      <c r="H149" t="str">
        <f t="shared" si="9"/>
        <v>Muhammed Kerim YAMAN</v>
      </c>
      <c r="I149" t="str">
        <f t="shared" si="10"/>
        <v>9G Kadın Kuaförlüğü</v>
      </c>
      <c r="J149" t="str">
        <f t="shared" si="11"/>
        <v xml:space="preserve">9G </v>
      </c>
    </row>
    <row r="150" spans="1:10" x14ac:dyDescent="0.25">
      <c r="A150" s="3">
        <v>39265875566</v>
      </c>
      <c r="B150" s="3" t="s">
        <v>192</v>
      </c>
      <c r="C150" s="3" t="s">
        <v>12</v>
      </c>
      <c r="D150" s="3" t="s">
        <v>168</v>
      </c>
      <c r="E150" s="3">
        <v>9</v>
      </c>
      <c r="F150" s="3" t="s">
        <v>94</v>
      </c>
      <c r="G150" s="4" t="str">
        <f t="shared" si="8"/>
        <v>75566</v>
      </c>
      <c r="H150" t="str">
        <f t="shared" si="9"/>
        <v>Nisa Nur BAYRAKTAR</v>
      </c>
      <c r="I150" t="str">
        <f t="shared" si="10"/>
        <v>9A Kadın Kuaförlüğü</v>
      </c>
      <c r="J150" t="str">
        <f t="shared" si="11"/>
        <v xml:space="preserve">9A </v>
      </c>
    </row>
    <row r="151" spans="1:10" x14ac:dyDescent="0.25">
      <c r="A151" s="3">
        <v>25754695968</v>
      </c>
      <c r="B151" s="3" t="s">
        <v>193</v>
      </c>
      <c r="C151" s="3" t="s">
        <v>12</v>
      </c>
      <c r="D151" s="3" t="s">
        <v>168</v>
      </c>
      <c r="E151" s="3">
        <v>9</v>
      </c>
      <c r="F151" s="3" t="s">
        <v>94</v>
      </c>
      <c r="G151" s="4" t="str">
        <f t="shared" si="8"/>
        <v>95968</v>
      </c>
      <c r="H151" t="str">
        <f t="shared" si="9"/>
        <v>Nisa Nur GÖKKAYA</v>
      </c>
      <c r="I151" t="str">
        <f t="shared" si="10"/>
        <v>9A Kadın Kuaförlüğü</v>
      </c>
      <c r="J151" t="str">
        <f t="shared" si="11"/>
        <v xml:space="preserve">9A </v>
      </c>
    </row>
    <row r="152" spans="1:10" x14ac:dyDescent="0.25">
      <c r="A152" s="3">
        <v>35923986162</v>
      </c>
      <c r="B152" s="3" t="s">
        <v>194</v>
      </c>
      <c r="C152" s="3" t="s">
        <v>12</v>
      </c>
      <c r="D152" s="3" t="s">
        <v>168</v>
      </c>
      <c r="E152" s="3">
        <v>9</v>
      </c>
      <c r="F152" s="3" t="s">
        <v>55</v>
      </c>
      <c r="G152" s="4" t="str">
        <f t="shared" si="8"/>
        <v>86162</v>
      </c>
      <c r="H152" t="str">
        <f t="shared" si="9"/>
        <v>Nisa TAŞTEKİN</v>
      </c>
      <c r="I152" t="str">
        <f t="shared" si="10"/>
        <v>9G Kadın Kuaförlüğü</v>
      </c>
      <c r="J152" t="str">
        <f t="shared" si="11"/>
        <v xml:space="preserve">9G </v>
      </c>
    </row>
    <row r="153" spans="1:10" x14ac:dyDescent="0.25">
      <c r="A153" s="3">
        <v>51109480514</v>
      </c>
      <c r="B153" s="3" t="s">
        <v>195</v>
      </c>
      <c r="C153" s="3" t="s">
        <v>12</v>
      </c>
      <c r="D153" s="3" t="s">
        <v>168</v>
      </c>
      <c r="E153" s="3">
        <v>9</v>
      </c>
      <c r="F153" s="3" t="s">
        <v>55</v>
      </c>
      <c r="G153" s="4" t="str">
        <f t="shared" si="8"/>
        <v>80514</v>
      </c>
      <c r="H153" t="str">
        <f t="shared" si="9"/>
        <v>Serap ÖZ</v>
      </c>
      <c r="I153" t="str">
        <f t="shared" si="10"/>
        <v>9G Kadın Kuaförlüğü</v>
      </c>
      <c r="J153" t="str">
        <f t="shared" si="11"/>
        <v xml:space="preserve">9G </v>
      </c>
    </row>
    <row r="154" spans="1:10" x14ac:dyDescent="0.25">
      <c r="A154" s="3">
        <v>50533870618</v>
      </c>
      <c r="B154" s="3" t="s">
        <v>196</v>
      </c>
      <c r="C154" s="3" t="s">
        <v>12</v>
      </c>
      <c r="D154" s="3" t="s">
        <v>168</v>
      </c>
      <c r="E154" s="3">
        <v>9</v>
      </c>
      <c r="F154" s="3" t="s">
        <v>55</v>
      </c>
      <c r="G154" s="4" t="str">
        <f t="shared" si="8"/>
        <v>70618</v>
      </c>
      <c r="H154" t="str">
        <f t="shared" si="9"/>
        <v>Sıla Naz AKYİĞİT</v>
      </c>
      <c r="I154" t="str">
        <f t="shared" si="10"/>
        <v>9G Kadın Kuaförlüğü</v>
      </c>
      <c r="J154" t="str">
        <f t="shared" si="11"/>
        <v xml:space="preserve">9G </v>
      </c>
    </row>
    <row r="155" spans="1:10" x14ac:dyDescent="0.25">
      <c r="A155" s="3">
        <v>35626719234</v>
      </c>
      <c r="B155" s="3" t="s">
        <v>197</v>
      </c>
      <c r="C155" s="3" t="s">
        <v>12</v>
      </c>
      <c r="D155" s="3" t="s">
        <v>168</v>
      </c>
      <c r="E155" s="3">
        <v>9</v>
      </c>
      <c r="F155" s="3" t="s">
        <v>94</v>
      </c>
      <c r="G155" s="4" t="str">
        <f t="shared" si="8"/>
        <v>19234</v>
      </c>
      <c r="H155" t="str">
        <f t="shared" si="9"/>
        <v>Tuana ARAT</v>
      </c>
      <c r="I155" t="str">
        <f t="shared" si="10"/>
        <v>9A Kadın Kuaförlüğü</v>
      </c>
      <c r="J155" t="str">
        <f t="shared" si="11"/>
        <v xml:space="preserve">9A </v>
      </c>
    </row>
    <row r="156" spans="1:10" x14ac:dyDescent="0.25">
      <c r="A156" s="3">
        <v>25826323102</v>
      </c>
      <c r="B156" s="3" t="s">
        <v>198</v>
      </c>
      <c r="C156" s="3" t="s">
        <v>12</v>
      </c>
      <c r="D156" s="3" t="s">
        <v>168</v>
      </c>
      <c r="E156" s="3">
        <v>9</v>
      </c>
      <c r="F156" s="3" t="s">
        <v>94</v>
      </c>
      <c r="G156" s="4" t="str">
        <f t="shared" si="8"/>
        <v>23102</v>
      </c>
      <c r="H156" t="str">
        <f t="shared" si="9"/>
        <v>Utku ESEN</v>
      </c>
      <c r="I156" t="str">
        <f t="shared" si="10"/>
        <v>9A Kadın Kuaförlüğü</v>
      </c>
      <c r="J156" t="str">
        <f t="shared" si="11"/>
        <v xml:space="preserve">9A </v>
      </c>
    </row>
    <row r="157" spans="1:10" x14ac:dyDescent="0.25">
      <c r="A157" s="3">
        <v>63547223912</v>
      </c>
      <c r="B157" s="3" t="s">
        <v>199</v>
      </c>
      <c r="C157" s="3" t="s">
        <v>12</v>
      </c>
      <c r="D157" s="3" t="s">
        <v>168</v>
      </c>
      <c r="E157" s="3">
        <v>9</v>
      </c>
      <c r="F157" s="3" t="s">
        <v>55</v>
      </c>
      <c r="G157" s="4" t="str">
        <f t="shared" si="8"/>
        <v>23912</v>
      </c>
      <c r="H157" t="str">
        <f t="shared" si="9"/>
        <v>Ümran KARTAL</v>
      </c>
      <c r="I157" t="str">
        <f t="shared" si="10"/>
        <v>9G Kadın Kuaförlüğü</v>
      </c>
      <c r="J157" t="str">
        <f t="shared" si="11"/>
        <v xml:space="preserve">9G </v>
      </c>
    </row>
    <row r="158" spans="1:10" x14ac:dyDescent="0.25">
      <c r="A158" s="3">
        <v>58186614290</v>
      </c>
      <c r="B158" s="3" t="s">
        <v>200</v>
      </c>
      <c r="C158" s="3" t="s">
        <v>12</v>
      </c>
      <c r="D158" s="3" t="s">
        <v>168</v>
      </c>
      <c r="E158" s="3">
        <v>9</v>
      </c>
      <c r="F158" s="3" t="s">
        <v>55</v>
      </c>
      <c r="G158" s="4" t="str">
        <f t="shared" si="8"/>
        <v>14290</v>
      </c>
      <c r="H158" t="str">
        <f t="shared" si="9"/>
        <v>Zeynep DEMİR</v>
      </c>
      <c r="I158" t="str">
        <f t="shared" si="10"/>
        <v>9G Kadın Kuaförlüğü</v>
      </c>
      <c r="J158" t="str">
        <f t="shared" si="11"/>
        <v xml:space="preserve">9G </v>
      </c>
    </row>
    <row r="159" spans="1:10" x14ac:dyDescent="0.25">
      <c r="A159" s="3">
        <v>57286274618</v>
      </c>
      <c r="B159" s="3" t="s">
        <v>201</v>
      </c>
      <c r="C159" s="3" t="s">
        <v>12</v>
      </c>
      <c r="D159" s="3" t="s">
        <v>168</v>
      </c>
      <c r="E159" s="3">
        <v>9</v>
      </c>
      <c r="F159" s="3" t="s">
        <v>94</v>
      </c>
      <c r="G159" s="4" t="str">
        <f t="shared" si="8"/>
        <v>74618</v>
      </c>
      <c r="H159" t="str">
        <f t="shared" si="9"/>
        <v>Zeynep DÜLGAR</v>
      </c>
      <c r="I159" t="str">
        <f t="shared" si="10"/>
        <v>9A Kadın Kuaförlüğü</v>
      </c>
      <c r="J159" t="str">
        <f t="shared" si="11"/>
        <v xml:space="preserve">9A </v>
      </c>
    </row>
    <row r="160" spans="1:10" x14ac:dyDescent="0.25">
      <c r="A160" s="3">
        <v>50005517508</v>
      </c>
      <c r="B160" s="3" t="s">
        <v>202</v>
      </c>
      <c r="C160" s="3" t="s">
        <v>12</v>
      </c>
      <c r="D160" s="3" t="s">
        <v>168</v>
      </c>
      <c r="E160" s="3">
        <v>9</v>
      </c>
      <c r="F160" s="3" t="s">
        <v>55</v>
      </c>
      <c r="G160" s="4" t="str">
        <f t="shared" si="8"/>
        <v>17508</v>
      </c>
      <c r="H160" t="str">
        <f t="shared" si="9"/>
        <v>Zeynep KOÇ</v>
      </c>
      <c r="I160" t="str">
        <f t="shared" si="10"/>
        <v>9G Kadın Kuaförlüğü</v>
      </c>
      <c r="J160" t="str">
        <f t="shared" si="11"/>
        <v xml:space="preserve">9G </v>
      </c>
    </row>
    <row r="161" spans="1:10" x14ac:dyDescent="0.25">
      <c r="A161" s="3">
        <v>48910808064</v>
      </c>
      <c r="B161" s="3" t="s">
        <v>203</v>
      </c>
      <c r="C161" s="3" t="s">
        <v>12</v>
      </c>
      <c r="D161" s="3" t="s">
        <v>204</v>
      </c>
      <c r="E161" s="3">
        <v>9</v>
      </c>
      <c r="F161" s="3" t="s">
        <v>87</v>
      </c>
      <c r="G161" s="4" t="str">
        <f t="shared" si="8"/>
        <v>08064</v>
      </c>
      <c r="H161" t="str">
        <f t="shared" si="9"/>
        <v>Beyzanur ERGÜN</v>
      </c>
      <c r="I161" t="str">
        <f t="shared" si="10"/>
        <v>9A3(KARMA) Kadın Terziliği</v>
      </c>
      <c r="J161" t="str">
        <f t="shared" si="11"/>
        <v>9A3</v>
      </c>
    </row>
    <row r="162" spans="1:10" x14ac:dyDescent="0.25">
      <c r="A162" s="3">
        <v>15791657708</v>
      </c>
      <c r="B162" s="3" t="s">
        <v>205</v>
      </c>
      <c r="C162" s="3" t="s">
        <v>12</v>
      </c>
      <c r="D162" s="3" t="s">
        <v>206</v>
      </c>
      <c r="E162" s="3">
        <v>9</v>
      </c>
      <c r="F162" s="3" t="s">
        <v>17</v>
      </c>
      <c r="G162" s="4" t="str">
        <f t="shared" si="8"/>
        <v>57708</v>
      </c>
      <c r="H162" t="str">
        <f t="shared" si="9"/>
        <v>Mehmet KURT</v>
      </c>
      <c r="I162" t="str">
        <f t="shared" si="10"/>
        <v>9G1 Kasaplık</v>
      </c>
      <c r="J162" t="str">
        <f t="shared" si="11"/>
        <v>9G1</v>
      </c>
    </row>
    <row r="163" spans="1:10" x14ac:dyDescent="0.25">
      <c r="A163" s="3">
        <v>15518488448</v>
      </c>
      <c r="B163" s="3" t="s">
        <v>207</v>
      </c>
      <c r="C163" s="3" t="s">
        <v>12</v>
      </c>
      <c r="D163" s="3" t="s">
        <v>208</v>
      </c>
      <c r="E163" s="3">
        <v>9</v>
      </c>
      <c r="F163" s="3" t="s">
        <v>209</v>
      </c>
      <c r="G163" s="4" t="str">
        <f t="shared" si="8"/>
        <v>88448</v>
      </c>
      <c r="H163" t="str">
        <f t="shared" si="9"/>
        <v>Muhammet Kadir PÜSKÜLLÜ</v>
      </c>
      <c r="I163" t="str">
        <f t="shared" si="10"/>
        <v>9D3 Kaynakçılık</v>
      </c>
      <c r="J163" t="str">
        <f t="shared" si="11"/>
        <v>9D3</v>
      </c>
    </row>
    <row r="164" spans="1:10" x14ac:dyDescent="0.25">
      <c r="A164" s="3">
        <v>43123657966</v>
      </c>
      <c r="B164" s="3" t="s">
        <v>210</v>
      </c>
      <c r="C164" s="3" t="s">
        <v>12</v>
      </c>
      <c r="D164" s="3" t="s">
        <v>208</v>
      </c>
      <c r="E164" s="3">
        <v>9</v>
      </c>
      <c r="F164" s="3" t="s">
        <v>209</v>
      </c>
      <c r="G164" s="4" t="str">
        <f t="shared" si="8"/>
        <v>57966</v>
      </c>
      <c r="H164" t="str">
        <f t="shared" si="9"/>
        <v>Yusuf AVCI</v>
      </c>
      <c r="I164" t="str">
        <f t="shared" si="10"/>
        <v>9D3 Kaynakçılık</v>
      </c>
      <c r="J164" t="str">
        <f t="shared" si="11"/>
        <v>9D3</v>
      </c>
    </row>
    <row r="165" spans="1:10" x14ac:dyDescent="0.25">
      <c r="A165" s="3">
        <v>25493333978</v>
      </c>
      <c r="B165" s="3" t="s">
        <v>211</v>
      </c>
      <c r="C165" s="3" t="s">
        <v>12</v>
      </c>
      <c r="D165" s="3" t="s">
        <v>212</v>
      </c>
      <c r="E165" s="3">
        <v>9</v>
      </c>
      <c r="F165" s="3" t="s">
        <v>32</v>
      </c>
      <c r="G165" s="4" t="str">
        <f t="shared" si="8"/>
        <v>33978</v>
      </c>
      <c r="H165" t="str">
        <f t="shared" si="9"/>
        <v>Emir ÇEVİK</v>
      </c>
      <c r="I165" t="str">
        <f t="shared" si="10"/>
        <v>9E1 Makine Bakım Onarım</v>
      </c>
      <c r="J165" t="str">
        <f t="shared" si="11"/>
        <v>9E1</v>
      </c>
    </row>
    <row r="166" spans="1:10" x14ac:dyDescent="0.25">
      <c r="A166" s="3">
        <v>20009516340</v>
      </c>
      <c r="B166" s="3" t="s">
        <v>213</v>
      </c>
      <c r="C166" s="3" t="s">
        <v>12</v>
      </c>
      <c r="D166" s="3" t="s">
        <v>212</v>
      </c>
      <c r="E166" s="3">
        <v>9</v>
      </c>
      <c r="F166" s="3" t="s">
        <v>32</v>
      </c>
      <c r="G166" s="4" t="str">
        <f t="shared" si="8"/>
        <v>16340</v>
      </c>
      <c r="H166" t="str">
        <f t="shared" si="9"/>
        <v>Eren GAYRET</v>
      </c>
      <c r="I166" t="str">
        <f t="shared" si="10"/>
        <v>9E1 Makine Bakım Onarım</v>
      </c>
      <c r="J166" t="str">
        <f t="shared" si="11"/>
        <v>9E1</v>
      </c>
    </row>
    <row r="167" spans="1:10" x14ac:dyDescent="0.25">
      <c r="A167" s="3">
        <v>14596455694</v>
      </c>
      <c r="B167" s="3" t="s">
        <v>214</v>
      </c>
      <c r="C167" s="3" t="s">
        <v>12</v>
      </c>
      <c r="D167" s="3" t="s">
        <v>212</v>
      </c>
      <c r="E167" s="3">
        <v>9</v>
      </c>
      <c r="F167" s="3" t="s">
        <v>32</v>
      </c>
      <c r="G167" s="4" t="str">
        <f t="shared" si="8"/>
        <v>55694</v>
      </c>
      <c r="H167" t="str">
        <f t="shared" si="9"/>
        <v>Habib ÇOĞUN</v>
      </c>
      <c r="I167" t="str">
        <f t="shared" si="10"/>
        <v>9E1 Makine Bakım Onarım</v>
      </c>
      <c r="J167" t="str">
        <f t="shared" si="11"/>
        <v>9E1</v>
      </c>
    </row>
    <row r="168" spans="1:10" x14ac:dyDescent="0.25">
      <c r="A168" s="3">
        <v>25880321076</v>
      </c>
      <c r="B168" s="3" t="s">
        <v>215</v>
      </c>
      <c r="C168" s="3" t="s">
        <v>12</v>
      </c>
      <c r="D168" s="3" t="s">
        <v>216</v>
      </c>
      <c r="E168" s="3">
        <v>9</v>
      </c>
      <c r="F168" s="3" t="s">
        <v>209</v>
      </c>
      <c r="G168" s="4" t="str">
        <f t="shared" si="8"/>
        <v>21076</v>
      </c>
      <c r="H168" t="str">
        <f t="shared" si="9"/>
        <v>Muhammed Ensar DİŞCİ</v>
      </c>
      <c r="I168" t="str">
        <f t="shared" si="10"/>
        <v>9D3 Metal Doğrama</v>
      </c>
      <c r="J168" t="str">
        <f t="shared" si="11"/>
        <v>9D3</v>
      </c>
    </row>
    <row r="169" spans="1:10" x14ac:dyDescent="0.25">
      <c r="A169" s="3">
        <v>60433169866</v>
      </c>
      <c r="B169" s="3" t="s">
        <v>217</v>
      </c>
      <c r="C169" s="3" t="s">
        <v>12</v>
      </c>
      <c r="D169" s="3" t="s">
        <v>218</v>
      </c>
      <c r="E169" s="3">
        <v>9</v>
      </c>
      <c r="F169" s="3" t="s">
        <v>219</v>
      </c>
      <c r="G169" s="4" t="str">
        <f t="shared" si="8"/>
        <v>69866</v>
      </c>
      <c r="H169" t="str">
        <f t="shared" si="9"/>
        <v>Ahmet Eyüp YALIM</v>
      </c>
      <c r="I169" t="str">
        <f t="shared" si="10"/>
        <v>9A1 Muhasebe</v>
      </c>
      <c r="J169" t="str">
        <f t="shared" si="11"/>
        <v>9A1</v>
      </c>
    </row>
    <row r="170" spans="1:10" x14ac:dyDescent="0.25">
      <c r="A170" s="3">
        <v>11570425476</v>
      </c>
      <c r="B170" s="3" t="s">
        <v>220</v>
      </c>
      <c r="C170" s="3" t="s">
        <v>12</v>
      </c>
      <c r="D170" s="3" t="s">
        <v>218</v>
      </c>
      <c r="E170" s="3">
        <v>9</v>
      </c>
      <c r="F170" s="3" t="s">
        <v>219</v>
      </c>
      <c r="G170" s="4" t="str">
        <f t="shared" si="8"/>
        <v>25476</v>
      </c>
      <c r="H170" t="str">
        <f t="shared" si="9"/>
        <v>İlayda PALA</v>
      </c>
      <c r="I170" t="str">
        <f t="shared" si="10"/>
        <v>9A1 Muhasebe</v>
      </c>
      <c r="J170" t="str">
        <f t="shared" si="11"/>
        <v>9A1</v>
      </c>
    </row>
    <row r="171" spans="1:10" x14ac:dyDescent="0.25">
      <c r="A171" s="3">
        <v>23246409178</v>
      </c>
      <c r="B171" s="3" t="s">
        <v>221</v>
      </c>
      <c r="C171" s="3" t="s">
        <v>12</v>
      </c>
      <c r="D171" s="3" t="s">
        <v>218</v>
      </c>
      <c r="E171" s="3">
        <v>9</v>
      </c>
      <c r="F171" s="3" t="s">
        <v>219</v>
      </c>
      <c r="G171" s="4" t="str">
        <f t="shared" si="8"/>
        <v>09178</v>
      </c>
      <c r="H171" t="str">
        <f t="shared" si="9"/>
        <v>Mesut YAMAN</v>
      </c>
      <c r="I171" t="str">
        <f t="shared" si="10"/>
        <v>9A1 Muhasebe</v>
      </c>
      <c r="J171" t="str">
        <f t="shared" si="11"/>
        <v>9A1</v>
      </c>
    </row>
    <row r="172" spans="1:10" x14ac:dyDescent="0.25">
      <c r="A172" s="3">
        <v>17657595162</v>
      </c>
      <c r="B172" s="3" t="s">
        <v>222</v>
      </c>
      <c r="C172" s="3" t="s">
        <v>12</v>
      </c>
      <c r="D172" s="3" t="s">
        <v>218</v>
      </c>
      <c r="E172" s="3">
        <v>9</v>
      </c>
      <c r="F172" s="3" t="s">
        <v>219</v>
      </c>
      <c r="G172" s="4" t="str">
        <f t="shared" si="8"/>
        <v>95162</v>
      </c>
      <c r="H172" t="str">
        <f t="shared" si="9"/>
        <v>Nazlı PİYAL</v>
      </c>
      <c r="I172" t="str">
        <f t="shared" si="10"/>
        <v>9A1 Muhasebe</v>
      </c>
      <c r="J172" t="str">
        <f t="shared" si="11"/>
        <v>9A1</v>
      </c>
    </row>
    <row r="173" spans="1:10" x14ac:dyDescent="0.25">
      <c r="A173" s="3">
        <v>26090314230</v>
      </c>
      <c r="B173" s="3" t="s">
        <v>223</v>
      </c>
      <c r="C173" s="3" t="s">
        <v>12</v>
      </c>
      <c r="D173" s="3" t="s">
        <v>224</v>
      </c>
      <c r="E173" s="3">
        <v>9</v>
      </c>
      <c r="F173" s="3" t="s">
        <v>157</v>
      </c>
      <c r="G173" s="4" t="str">
        <f t="shared" si="8"/>
        <v>14230</v>
      </c>
      <c r="H173" t="str">
        <f t="shared" si="9"/>
        <v>Kuzey METE</v>
      </c>
      <c r="I173" t="str">
        <f t="shared" si="10"/>
        <v>9D4 Oto Döşemeciliği</v>
      </c>
      <c r="J173" t="str">
        <f t="shared" si="11"/>
        <v>9D4</v>
      </c>
    </row>
    <row r="174" spans="1:10" x14ac:dyDescent="0.25">
      <c r="A174" s="3">
        <v>67264307016</v>
      </c>
      <c r="B174" s="3" t="s">
        <v>225</v>
      </c>
      <c r="C174" s="3" t="s">
        <v>12</v>
      </c>
      <c r="D174" s="3" t="s">
        <v>226</v>
      </c>
      <c r="E174" s="3">
        <v>9</v>
      </c>
      <c r="F174" s="3" t="s">
        <v>164</v>
      </c>
      <c r="G174" s="4" t="str">
        <f t="shared" si="8"/>
        <v>07016</v>
      </c>
      <c r="H174" t="str">
        <f t="shared" si="9"/>
        <v>Azat ALTINDEN</v>
      </c>
      <c r="I174" t="str">
        <f t="shared" si="10"/>
        <v>9C Otomotiv Boya</v>
      </c>
      <c r="J174" t="str">
        <f t="shared" si="11"/>
        <v xml:space="preserve">9C </v>
      </c>
    </row>
    <row r="175" spans="1:10" x14ac:dyDescent="0.25">
      <c r="A175" s="3">
        <v>59674194690</v>
      </c>
      <c r="B175" s="3" t="s">
        <v>227</v>
      </c>
      <c r="C175" s="3" t="s">
        <v>12</v>
      </c>
      <c r="D175" s="3" t="s">
        <v>226</v>
      </c>
      <c r="E175" s="3">
        <v>9</v>
      </c>
      <c r="F175" s="3" t="s">
        <v>164</v>
      </c>
      <c r="G175" s="4" t="str">
        <f t="shared" si="8"/>
        <v>94690</v>
      </c>
      <c r="H175" t="str">
        <f t="shared" si="9"/>
        <v>Miraç Emre TAĞ</v>
      </c>
      <c r="I175" t="str">
        <f t="shared" si="10"/>
        <v>9C Otomotiv Boya</v>
      </c>
      <c r="J175" t="str">
        <f t="shared" si="11"/>
        <v xml:space="preserve">9C </v>
      </c>
    </row>
    <row r="176" spans="1:10" x14ac:dyDescent="0.25">
      <c r="A176" s="3">
        <v>33469685150</v>
      </c>
      <c r="B176" s="3" t="s">
        <v>228</v>
      </c>
      <c r="C176" s="3" t="s">
        <v>12</v>
      </c>
      <c r="D176" s="3" t="s">
        <v>226</v>
      </c>
      <c r="E176" s="3">
        <v>9</v>
      </c>
      <c r="F176" s="3" t="s">
        <v>166</v>
      </c>
      <c r="G176" s="4" t="str">
        <f t="shared" si="8"/>
        <v>85150</v>
      </c>
      <c r="H176" t="str">
        <f t="shared" si="9"/>
        <v>Muhammed Ali SERTBEL</v>
      </c>
      <c r="I176" t="str">
        <f t="shared" si="10"/>
        <v>9F Otomotiv Boya</v>
      </c>
      <c r="J176" t="str">
        <f t="shared" si="11"/>
        <v xml:space="preserve">9F </v>
      </c>
    </row>
    <row r="177" spans="1:10" x14ac:dyDescent="0.25">
      <c r="A177" s="3">
        <v>18413564484</v>
      </c>
      <c r="B177" s="3" t="s">
        <v>229</v>
      </c>
      <c r="C177" s="3" t="s">
        <v>12</v>
      </c>
      <c r="D177" s="3" t="s">
        <v>226</v>
      </c>
      <c r="E177" s="3">
        <v>9</v>
      </c>
      <c r="F177" s="3" t="s">
        <v>58</v>
      </c>
      <c r="G177" s="4" t="str">
        <f t="shared" si="8"/>
        <v>64484</v>
      </c>
      <c r="H177" t="str">
        <f t="shared" si="9"/>
        <v>Yusuf KOYUN</v>
      </c>
      <c r="I177" t="str">
        <f t="shared" si="10"/>
        <v>9B Otomotiv Boya</v>
      </c>
      <c r="J177" t="str">
        <f t="shared" si="11"/>
        <v xml:space="preserve">9B </v>
      </c>
    </row>
    <row r="178" spans="1:10" x14ac:dyDescent="0.25">
      <c r="A178" s="3">
        <v>29825189790</v>
      </c>
      <c r="B178" s="3" t="s">
        <v>230</v>
      </c>
      <c r="C178" s="3" t="s">
        <v>12</v>
      </c>
      <c r="D178" s="3" t="s">
        <v>231</v>
      </c>
      <c r="E178" s="3">
        <v>9</v>
      </c>
      <c r="F178" s="3" t="s">
        <v>166</v>
      </c>
      <c r="G178" s="4" t="str">
        <f t="shared" si="8"/>
        <v>89790</v>
      </c>
      <c r="H178" t="str">
        <f t="shared" si="9"/>
        <v>Berat Rüzgar KİÇÇİ</v>
      </c>
      <c r="I178" t="str">
        <f t="shared" si="10"/>
        <v>9F Otomotiv Elektrikçiliği</v>
      </c>
      <c r="J178" t="str">
        <f t="shared" si="11"/>
        <v xml:space="preserve">9F </v>
      </c>
    </row>
    <row r="179" spans="1:10" x14ac:dyDescent="0.25">
      <c r="A179" s="3">
        <v>31232142312</v>
      </c>
      <c r="B179" s="3" t="s">
        <v>232</v>
      </c>
      <c r="C179" s="3" t="s">
        <v>12</v>
      </c>
      <c r="D179" s="3" t="s">
        <v>231</v>
      </c>
      <c r="E179" s="3">
        <v>9</v>
      </c>
      <c r="F179" s="3" t="s">
        <v>164</v>
      </c>
      <c r="G179" s="4" t="str">
        <f t="shared" si="8"/>
        <v>42312</v>
      </c>
      <c r="H179" t="str">
        <f t="shared" si="9"/>
        <v>Efehan ŞAHİN</v>
      </c>
      <c r="I179" t="str">
        <f t="shared" si="10"/>
        <v>9C Otomotiv Elektrikçiliği</v>
      </c>
      <c r="J179" t="str">
        <f t="shared" si="11"/>
        <v xml:space="preserve">9C </v>
      </c>
    </row>
    <row r="180" spans="1:10" x14ac:dyDescent="0.25">
      <c r="A180" s="3">
        <v>47425232098</v>
      </c>
      <c r="B180" s="3" t="s">
        <v>233</v>
      </c>
      <c r="C180" s="3" t="s">
        <v>12</v>
      </c>
      <c r="D180" s="3" t="s">
        <v>231</v>
      </c>
      <c r="E180" s="3">
        <v>9</v>
      </c>
      <c r="F180" s="3" t="s">
        <v>164</v>
      </c>
      <c r="G180" s="4" t="str">
        <f t="shared" si="8"/>
        <v>32098</v>
      </c>
      <c r="H180" t="str">
        <f t="shared" si="9"/>
        <v>Fırat SUNAR</v>
      </c>
      <c r="I180" t="str">
        <f t="shared" si="10"/>
        <v>9C Otomotiv Elektrikçiliği</v>
      </c>
      <c r="J180" t="str">
        <f t="shared" si="11"/>
        <v xml:space="preserve">9C </v>
      </c>
    </row>
    <row r="181" spans="1:10" x14ac:dyDescent="0.25">
      <c r="A181" s="3">
        <v>43582731092</v>
      </c>
      <c r="B181" s="3" t="s">
        <v>234</v>
      </c>
      <c r="C181" s="3" t="s">
        <v>12</v>
      </c>
      <c r="D181" s="3" t="s">
        <v>231</v>
      </c>
      <c r="E181" s="3">
        <v>9</v>
      </c>
      <c r="F181" s="3" t="s">
        <v>164</v>
      </c>
      <c r="G181" s="4" t="str">
        <f t="shared" si="8"/>
        <v>31092</v>
      </c>
      <c r="H181" t="str">
        <f t="shared" si="9"/>
        <v>Furkan SERİN</v>
      </c>
      <c r="I181" t="str">
        <f t="shared" si="10"/>
        <v>9C Otomotiv Elektrikçiliği</v>
      </c>
      <c r="J181" t="str">
        <f t="shared" si="11"/>
        <v xml:space="preserve">9C </v>
      </c>
    </row>
    <row r="182" spans="1:10" x14ac:dyDescent="0.25">
      <c r="A182" s="3">
        <v>33359072046</v>
      </c>
      <c r="B182" s="3" t="s">
        <v>235</v>
      </c>
      <c r="C182" s="3" t="s">
        <v>12</v>
      </c>
      <c r="D182" s="3" t="s">
        <v>231</v>
      </c>
      <c r="E182" s="3">
        <v>9</v>
      </c>
      <c r="F182" s="3" t="s">
        <v>166</v>
      </c>
      <c r="G182" s="4" t="str">
        <f t="shared" si="8"/>
        <v>72046</v>
      </c>
      <c r="H182" t="str">
        <f t="shared" si="9"/>
        <v>Miraç TAŞKIN</v>
      </c>
      <c r="I182" t="str">
        <f t="shared" si="10"/>
        <v>9F Otomotiv Elektrikçiliği</v>
      </c>
      <c r="J182" t="str">
        <f t="shared" si="11"/>
        <v xml:space="preserve">9F </v>
      </c>
    </row>
    <row r="183" spans="1:10" x14ac:dyDescent="0.25">
      <c r="A183" s="3">
        <v>54256375108</v>
      </c>
      <c r="B183" s="3" t="s">
        <v>236</v>
      </c>
      <c r="C183" s="3" t="s">
        <v>12</v>
      </c>
      <c r="D183" s="3" t="s">
        <v>231</v>
      </c>
      <c r="E183" s="3">
        <v>9</v>
      </c>
      <c r="F183" s="3" t="s">
        <v>164</v>
      </c>
      <c r="G183" s="4" t="str">
        <f t="shared" si="8"/>
        <v>75108</v>
      </c>
      <c r="H183" t="str">
        <f t="shared" si="9"/>
        <v>Özgür YILMAZ</v>
      </c>
      <c r="I183" t="str">
        <f t="shared" si="10"/>
        <v>9C Otomotiv Elektrikçiliği</v>
      </c>
      <c r="J183" t="str">
        <f t="shared" si="11"/>
        <v xml:space="preserve">9C </v>
      </c>
    </row>
    <row r="184" spans="1:10" x14ac:dyDescent="0.25">
      <c r="A184" s="3">
        <v>49480534186</v>
      </c>
      <c r="B184" s="3" t="s">
        <v>237</v>
      </c>
      <c r="C184" s="3" t="s">
        <v>12</v>
      </c>
      <c r="D184" s="3" t="s">
        <v>231</v>
      </c>
      <c r="E184" s="3">
        <v>9</v>
      </c>
      <c r="F184" s="3" t="s">
        <v>58</v>
      </c>
      <c r="G184" s="4" t="str">
        <f t="shared" si="8"/>
        <v>34186</v>
      </c>
      <c r="H184" t="str">
        <f t="shared" si="9"/>
        <v>Selim ÇELİKER</v>
      </c>
      <c r="I184" t="str">
        <f t="shared" si="10"/>
        <v>9B Otomotiv Elektrikçiliği</v>
      </c>
      <c r="J184" t="str">
        <f t="shared" si="11"/>
        <v xml:space="preserve">9B </v>
      </c>
    </row>
    <row r="185" spans="1:10" x14ac:dyDescent="0.25">
      <c r="A185" s="3">
        <v>45652661612</v>
      </c>
      <c r="B185" s="3" t="s">
        <v>238</v>
      </c>
      <c r="C185" s="3" t="s">
        <v>12</v>
      </c>
      <c r="D185" s="3" t="s">
        <v>231</v>
      </c>
      <c r="E185" s="3">
        <v>9</v>
      </c>
      <c r="F185" s="3" t="s">
        <v>166</v>
      </c>
      <c r="G185" s="4" t="str">
        <f t="shared" si="8"/>
        <v>61612</v>
      </c>
      <c r="H185" t="str">
        <f t="shared" si="9"/>
        <v>Yunus Emre GÜRCAN</v>
      </c>
      <c r="I185" t="str">
        <f t="shared" si="10"/>
        <v>9F Otomotiv Elektrikçiliği</v>
      </c>
      <c r="J185" t="str">
        <f t="shared" si="11"/>
        <v xml:space="preserve">9F </v>
      </c>
    </row>
    <row r="186" spans="1:10" x14ac:dyDescent="0.25">
      <c r="A186" s="3">
        <v>24710613992</v>
      </c>
      <c r="B186" s="3" t="s">
        <v>239</v>
      </c>
      <c r="C186" s="3" t="s">
        <v>12</v>
      </c>
      <c r="D186" s="3" t="s">
        <v>240</v>
      </c>
      <c r="E186" s="3">
        <v>9</v>
      </c>
      <c r="F186" s="3" t="s">
        <v>164</v>
      </c>
      <c r="G186" s="4" t="str">
        <f t="shared" si="8"/>
        <v>13992</v>
      </c>
      <c r="H186" t="str">
        <f t="shared" si="9"/>
        <v>Abdulmütalip TUNCEL</v>
      </c>
      <c r="I186" t="str">
        <f t="shared" si="10"/>
        <v>9C Otomotiv Elektromekanik</v>
      </c>
      <c r="J186" t="str">
        <f t="shared" si="11"/>
        <v xml:space="preserve">9C </v>
      </c>
    </row>
    <row r="187" spans="1:10" x14ac:dyDescent="0.25">
      <c r="A187" s="3">
        <v>49972517734</v>
      </c>
      <c r="B187" s="3" t="s">
        <v>241</v>
      </c>
      <c r="C187" s="3" t="s">
        <v>12</v>
      </c>
      <c r="D187" s="3" t="s">
        <v>240</v>
      </c>
      <c r="E187" s="3">
        <v>9</v>
      </c>
      <c r="F187" s="3" t="s">
        <v>58</v>
      </c>
      <c r="G187" s="4" t="str">
        <f t="shared" si="8"/>
        <v>17734</v>
      </c>
      <c r="H187" t="str">
        <f t="shared" si="9"/>
        <v>Ahmet Faruk BAĞCIOĞLU</v>
      </c>
      <c r="I187" t="str">
        <f t="shared" si="10"/>
        <v>9B Otomotiv Elektromekanik</v>
      </c>
      <c r="J187" t="str">
        <f t="shared" si="11"/>
        <v xml:space="preserve">9B </v>
      </c>
    </row>
    <row r="188" spans="1:10" x14ac:dyDescent="0.25">
      <c r="A188" s="3">
        <v>15995651168</v>
      </c>
      <c r="B188" s="3" t="s">
        <v>242</v>
      </c>
      <c r="C188" s="3" t="s">
        <v>12</v>
      </c>
      <c r="D188" s="3" t="s">
        <v>240</v>
      </c>
      <c r="E188" s="3">
        <v>9</v>
      </c>
      <c r="F188" s="3" t="s">
        <v>166</v>
      </c>
      <c r="G188" s="4" t="str">
        <f t="shared" si="8"/>
        <v>51168</v>
      </c>
      <c r="H188" t="str">
        <f t="shared" si="9"/>
        <v>Ahmet TATAK</v>
      </c>
      <c r="I188" t="str">
        <f t="shared" si="10"/>
        <v>9F Otomotiv Elektromekanik</v>
      </c>
      <c r="J188" t="str">
        <f t="shared" si="11"/>
        <v xml:space="preserve">9F </v>
      </c>
    </row>
    <row r="189" spans="1:10" x14ac:dyDescent="0.25">
      <c r="A189" s="3">
        <v>42856476462</v>
      </c>
      <c r="B189" s="3" t="s">
        <v>243</v>
      </c>
      <c r="C189" s="3" t="s">
        <v>12</v>
      </c>
      <c r="D189" s="3" t="s">
        <v>240</v>
      </c>
      <c r="E189" s="3">
        <v>9</v>
      </c>
      <c r="F189" s="3" t="s">
        <v>58</v>
      </c>
      <c r="G189" s="4" t="str">
        <f t="shared" si="8"/>
        <v>76462</v>
      </c>
      <c r="H189" t="str">
        <f t="shared" si="9"/>
        <v>Ahmet YILMAZ</v>
      </c>
      <c r="I189" t="str">
        <f t="shared" si="10"/>
        <v>9B Otomotiv Elektromekanik</v>
      </c>
      <c r="J189" t="str">
        <f t="shared" si="11"/>
        <v xml:space="preserve">9B </v>
      </c>
    </row>
    <row r="190" spans="1:10" x14ac:dyDescent="0.25">
      <c r="A190" s="3">
        <v>98392094004</v>
      </c>
      <c r="B190" s="3" t="s">
        <v>244</v>
      </c>
      <c r="C190" s="3" t="s">
        <v>12</v>
      </c>
      <c r="D190" s="3" t="s">
        <v>240</v>
      </c>
      <c r="E190" s="3">
        <v>9</v>
      </c>
      <c r="F190" s="3" t="s">
        <v>164</v>
      </c>
      <c r="G190" s="4" t="str">
        <f t="shared" si="8"/>
        <v>94004</v>
      </c>
      <c r="H190" t="str">
        <f t="shared" si="9"/>
        <v>Arazdurdy VELIYEV</v>
      </c>
      <c r="I190" t="str">
        <f t="shared" si="10"/>
        <v>9C Otomotiv Elektromekanik</v>
      </c>
      <c r="J190" t="str">
        <f t="shared" si="11"/>
        <v xml:space="preserve">9C </v>
      </c>
    </row>
    <row r="191" spans="1:10" x14ac:dyDescent="0.25">
      <c r="A191" s="3">
        <v>29500774082</v>
      </c>
      <c r="B191" s="3" t="s">
        <v>245</v>
      </c>
      <c r="C191" s="3" t="s">
        <v>12</v>
      </c>
      <c r="D191" s="3" t="s">
        <v>240</v>
      </c>
      <c r="E191" s="3">
        <v>9</v>
      </c>
      <c r="F191" s="3" t="s">
        <v>166</v>
      </c>
      <c r="G191" s="4" t="str">
        <f t="shared" si="8"/>
        <v>74082</v>
      </c>
      <c r="H191" t="str">
        <f t="shared" si="9"/>
        <v>Arda ÖZDEMİR</v>
      </c>
      <c r="I191" t="str">
        <f t="shared" si="10"/>
        <v>9F Otomotiv Elektromekanik</v>
      </c>
      <c r="J191" t="str">
        <f t="shared" si="11"/>
        <v xml:space="preserve">9F </v>
      </c>
    </row>
    <row r="192" spans="1:10" x14ac:dyDescent="0.25">
      <c r="A192" s="3">
        <v>55081347452</v>
      </c>
      <c r="B192" s="3" t="s">
        <v>246</v>
      </c>
      <c r="C192" s="3" t="s">
        <v>12</v>
      </c>
      <c r="D192" s="3" t="s">
        <v>240</v>
      </c>
      <c r="E192" s="3">
        <v>9</v>
      </c>
      <c r="F192" s="3" t="s">
        <v>166</v>
      </c>
      <c r="G192" s="4" t="str">
        <f t="shared" si="8"/>
        <v>47452</v>
      </c>
      <c r="H192" t="str">
        <f t="shared" si="9"/>
        <v>Atlas YILMAZ</v>
      </c>
      <c r="I192" t="str">
        <f t="shared" si="10"/>
        <v>9F Otomotiv Elektromekanik</v>
      </c>
      <c r="J192" t="str">
        <f t="shared" si="11"/>
        <v xml:space="preserve">9F </v>
      </c>
    </row>
    <row r="193" spans="1:10" x14ac:dyDescent="0.25">
      <c r="A193" s="3">
        <v>49585531448</v>
      </c>
      <c r="B193" s="3" t="s">
        <v>247</v>
      </c>
      <c r="C193" s="3" t="s">
        <v>12</v>
      </c>
      <c r="D193" s="3" t="s">
        <v>240</v>
      </c>
      <c r="E193" s="3">
        <v>9</v>
      </c>
      <c r="F193" s="3" t="s">
        <v>164</v>
      </c>
      <c r="G193" s="4" t="str">
        <f t="shared" si="8"/>
        <v>31448</v>
      </c>
      <c r="H193" t="str">
        <f t="shared" si="9"/>
        <v>Batuhan YAŞA</v>
      </c>
      <c r="I193" t="str">
        <f t="shared" si="10"/>
        <v>9C Otomotiv Elektromekanik</v>
      </c>
      <c r="J193" t="str">
        <f t="shared" si="11"/>
        <v xml:space="preserve">9C </v>
      </c>
    </row>
    <row r="194" spans="1:10" x14ac:dyDescent="0.25">
      <c r="A194" s="3">
        <v>46567631042</v>
      </c>
      <c r="B194" s="3" t="s">
        <v>248</v>
      </c>
      <c r="C194" s="3" t="s">
        <v>12</v>
      </c>
      <c r="D194" s="3" t="s">
        <v>240</v>
      </c>
      <c r="E194" s="3">
        <v>9</v>
      </c>
      <c r="F194" s="3" t="s">
        <v>164</v>
      </c>
      <c r="G194" s="4" t="str">
        <f t="shared" si="8"/>
        <v>31042</v>
      </c>
      <c r="H194" t="str">
        <f t="shared" si="9"/>
        <v>Berat AYDIN</v>
      </c>
      <c r="I194" t="str">
        <f t="shared" si="10"/>
        <v>9C Otomotiv Elektromekanik</v>
      </c>
      <c r="J194" t="str">
        <f t="shared" si="11"/>
        <v xml:space="preserve">9C </v>
      </c>
    </row>
    <row r="195" spans="1:10" x14ac:dyDescent="0.25">
      <c r="A195" s="3">
        <v>43372737938</v>
      </c>
      <c r="B195" s="3" t="s">
        <v>249</v>
      </c>
      <c r="C195" s="3" t="s">
        <v>12</v>
      </c>
      <c r="D195" s="3" t="s">
        <v>240</v>
      </c>
      <c r="E195" s="3">
        <v>9</v>
      </c>
      <c r="F195" s="3" t="s">
        <v>58</v>
      </c>
      <c r="G195" s="4" t="str">
        <f t="shared" si="8"/>
        <v>37938</v>
      </c>
      <c r="H195" t="str">
        <f t="shared" si="9"/>
        <v>Berat ÇİFTÇİ</v>
      </c>
      <c r="I195" t="str">
        <f t="shared" si="10"/>
        <v>9B Otomotiv Elektromekanik</v>
      </c>
      <c r="J195" t="str">
        <f t="shared" si="11"/>
        <v xml:space="preserve">9B </v>
      </c>
    </row>
    <row r="196" spans="1:10" x14ac:dyDescent="0.25">
      <c r="A196" s="3">
        <v>48136579250</v>
      </c>
      <c r="B196" s="3" t="s">
        <v>250</v>
      </c>
      <c r="C196" s="3" t="s">
        <v>12</v>
      </c>
      <c r="D196" s="3" t="s">
        <v>240</v>
      </c>
      <c r="E196" s="3">
        <v>9</v>
      </c>
      <c r="F196" s="3" t="s">
        <v>166</v>
      </c>
      <c r="G196" s="4" t="str">
        <f t="shared" si="8"/>
        <v>79250</v>
      </c>
      <c r="H196" t="str">
        <f t="shared" si="9"/>
        <v>Berat SAMAR</v>
      </c>
      <c r="I196" t="str">
        <f t="shared" si="10"/>
        <v>9F Otomotiv Elektromekanik</v>
      </c>
      <c r="J196" t="str">
        <f t="shared" si="11"/>
        <v xml:space="preserve">9F </v>
      </c>
    </row>
    <row r="197" spans="1:10" x14ac:dyDescent="0.25">
      <c r="A197" s="3">
        <v>46027649884</v>
      </c>
      <c r="B197" s="3" t="s">
        <v>251</v>
      </c>
      <c r="C197" s="3" t="s">
        <v>12</v>
      </c>
      <c r="D197" s="3" t="s">
        <v>240</v>
      </c>
      <c r="E197" s="3">
        <v>9</v>
      </c>
      <c r="F197" s="3" t="s">
        <v>58</v>
      </c>
      <c r="G197" s="4" t="str">
        <f t="shared" ref="G197:G260" si="12">RIGHT(A197,5)</f>
        <v>49884</v>
      </c>
      <c r="H197" t="str">
        <f t="shared" ref="H197:H260" si="13">B197</f>
        <v>Berat YAŞAR</v>
      </c>
      <c r="I197" t="str">
        <f t="shared" ref="I197:I260" si="14">CONCATENATE(E197,F197," ",D197)</f>
        <v>9B Otomotiv Elektromekanik</v>
      </c>
      <c r="J197" t="str">
        <f t="shared" ref="J197:J260" si="15">LEFT(I197,3)</f>
        <v xml:space="preserve">9B </v>
      </c>
    </row>
    <row r="198" spans="1:10" x14ac:dyDescent="0.25">
      <c r="A198" s="3">
        <v>64144045402</v>
      </c>
      <c r="B198" s="3" t="s">
        <v>252</v>
      </c>
      <c r="C198" s="3" t="s">
        <v>12</v>
      </c>
      <c r="D198" s="3" t="s">
        <v>240</v>
      </c>
      <c r="E198" s="3">
        <v>9</v>
      </c>
      <c r="F198" s="3" t="s">
        <v>164</v>
      </c>
      <c r="G198" s="4" t="str">
        <f t="shared" si="12"/>
        <v>45402</v>
      </c>
      <c r="H198" t="str">
        <f t="shared" si="13"/>
        <v>Bertuğ KOCAARSLAN</v>
      </c>
      <c r="I198" t="str">
        <f t="shared" si="14"/>
        <v>9C Otomotiv Elektromekanik</v>
      </c>
      <c r="J198" t="str">
        <f t="shared" si="15"/>
        <v xml:space="preserve">9C </v>
      </c>
    </row>
    <row r="199" spans="1:10" x14ac:dyDescent="0.25">
      <c r="A199" s="3">
        <v>41684164374</v>
      </c>
      <c r="B199" s="3" t="s">
        <v>253</v>
      </c>
      <c r="C199" s="3" t="s">
        <v>12</v>
      </c>
      <c r="D199" s="3" t="s">
        <v>240</v>
      </c>
      <c r="E199" s="3">
        <v>9</v>
      </c>
      <c r="F199" s="3" t="s">
        <v>58</v>
      </c>
      <c r="G199" s="4" t="str">
        <f t="shared" si="12"/>
        <v>64374</v>
      </c>
      <c r="H199" t="str">
        <f t="shared" si="13"/>
        <v>Bilal APOHAN</v>
      </c>
      <c r="I199" t="str">
        <f t="shared" si="14"/>
        <v>9B Otomotiv Elektromekanik</v>
      </c>
      <c r="J199" t="str">
        <f t="shared" si="15"/>
        <v xml:space="preserve">9B </v>
      </c>
    </row>
    <row r="200" spans="1:10" x14ac:dyDescent="0.25">
      <c r="A200" s="3">
        <v>50887547532</v>
      </c>
      <c r="B200" s="3" t="s">
        <v>254</v>
      </c>
      <c r="C200" s="3" t="s">
        <v>12</v>
      </c>
      <c r="D200" s="3" t="s">
        <v>240</v>
      </c>
      <c r="E200" s="3">
        <v>9</v>
      </c>
      <c r="F200" s="3" t="s">
        <v>166</v>
      </c>
      <c r="G200" s="4" t="str">
        <f t="shared" si="12"/>
        <v>47532</v>
      </c>
      <c r="H200" t="str">
        <f t="shared" si="13"/>
        <v>Bünyamin ÇANKAYA</v>
      </c>
      <c r="I200" t="str">
        <f t="shared" si="14"/>
        <v>9F Otomotiv Elektromekanik</v>
      </c>
      <c r="J200" t="str">
        <f t="shared" si="15"/>
        <v xml:space="preserve">9F </v>
      </c>
    </row>
    <row r="201" spans="1:10" x14ac:dyDescent="0.25">
      <c r="A201" s="3">
        <v>16795421432</v>
      </c>
      <c r="B201" s="3" t="s">
        <v>255</v>
      </c>
      <c r="C201" s="3" t="s">
        <v>12</v>
      </c>
      <c r="D201" s="3" t="s">
        <v>240</v>
      </c>
      <c r="E201" s="3">
        <v>9</v>
      </c>
      <c r="F201" s="3" t="s">
        <v>58</v>
      </c>
      <c r="G201" s="4" t="str">
        <f t="shared" si="12"/>
        <v>21432</v>
      </c>
      <c r="H201" t="str">
        <f t="shared" si="13"/>
        <v>Can Ahmed ALİŞAN</v>
      </c>
      <c r="I201" t="str">
        <f t="shared" si="14"/>
        <v>9B Otomotiv Elektromekanik</v>
      </c>
      <c r="J201" t="str">
        <f t="shared" si="15"/>
        <v xml:space="preserve">9B </v>
      </c>
    </row>
    <row r="202" spans="1:10" x14ac:dyDescent="0.25">
      <c r="A202" s="3">
        <v>46882621254</v>
      </c>
      <c r="B202" s="3" t="s">
        <v>256</v>
      </c>
      <c r="C202" s="3" t="s">
        <v>12</v>
      </c>
      <c r="D202" s="3" t="s">
        <v>240</v>
      </c>
      <c r="E202" s="3">
        <v>9</v>
      </c>
      <c r="F202" s="3" t="s">
        <v>166</v>
      </c>
      <c r="G202" s="4" t="str">
        <f t="shared" si="12"/>
        <v>21254</v>
      </c>
      <c r="H202" t="str">
        <f t="shared" si="13"/>
        <v>Çınar Arslan TOPALOĞLU</v>
      </c>
      <c r="I202" t="str">
        <f t="shared" si="14"/>
        <v>9F Otomotiv Elektromekanik</v>
      </c>
      <c r="J202" t="str">
        <f t="shared" si="15"/>
        <v xml:space="preserve">9F </v>
      </c>
    </row>
    <row r="203" spans="1:10" x14ac:dyDescent="0.25">
      <c r="A203" s="3">
        <v>38098913988</v>
      </c>
      <c r="B203" s="3" t="s">
        <v>257</v>
      </c>
      <c r="C203" s="3" t="s">
        <v>12</v>
      </c>
      <c r="D203" s="3" t="s">
        <v>240</v>
      </c>
      <c r="E203" s="3">
        <v>9</v>
      </c>
      <c r="F203" s="3" t="s">
        <v>58</v>
      </c>
      <c r="G203" s="4" t="str">
        <f t="shared" si="12"/>
        <v>13988</v>
      </c>
      <c r="H203" t="str">
        <f t="shared" si="13"/>
        <v>Doğukan TÜRE</v>
      </c>
      <c r="I203" t="str">
        <f t="shared" si="14"/>
        <v>9B Otomotiv Elektromekanik</v>
      </c>
      <c r="J203" t="str">
        <f t="shared" si="15"/>
        <v xml:space="preserve">9B </v>
      </c>
    </row>
    <row r="204" spans="1:10" x14ac:dyDescent="0.25">
      <c r="A204" s="3">
        <v>33925977386</v>
      </c>
      <c r="B204" s="3" t="s">
        <v>258</v>
      </c>
      <c r="C204" s="3" t="s">
        <v>12</v>
      </c>
      <c r="D204" s="3" t="s">
        <v>240</v>
      </c>
      <c r="E204" s="3">
        <v>9</v>
      </c>
      <c r="F204" s="3" t="s">
        <v>164</v>
      </c>
      <c r="G204" s="4" t="str">
        <f t="shared" si="12"/>
        <v>77386</v>
      </c>
      <c r="H204" t="str">
        <f t="shared" si="13"/>
        <v>Doğuş UÇARYILMAZ</v>
      </c>
      <c r="I204" t="str">
        <f t="shared" si="14"/>
        <v>9C Otomotiv Elektromekanik</v>
      </c>
      <c r="J204" t="str">
        <f t="shared" si="15"/>
        <v xml:space="preserve">9C </v>
      </c>
    </row>
    <row r="205" spans="1:10" x14ac:dyDescent="0.25">
      <c r="A205" s="3">
        <v>18668561900</v>
      </c>
      <c r="B205" s="3" t="s">
        <v>259</v>
      </c>
      <c r="C205" s="3" t="s">
        <v>12</v>
      </c>
      <c r="D205" s="3" t="s">
        <v>240</v>
      </c>
      <c r="E205" s="3">
        <v>9</v>
      </c>
      <c r="F205" s="3" t="s">
        <v>166</v>
      </c>
      <c r="G205" s="4" t="str">
        <f t="shared" si="12"/>
        <v>61900</v>
      </c>
      <c r="H205" t="str">
        <f t="shared" si="13"/>
        <v>Emir UĞUR</v>
      </c>
      <c r="I205" t="str">
        <f t="shared" si="14"/>
        <v>9F Otomotiv Elektromekanik</v>
      </c>
      <c r="J205" t="str">
        <f t="shared" si="15"/>
        <v xml:space="preserve">9F </v>
      </c>
    </row>
    <row r="206" spans="1:10" x14ac:dyDescent="0.25">
      <c r="A206" s="3">
        <v>20132512882</v>
      </c>
      <c r="B206" s="3" t="s">
        <v>260</v>
      </c>
      <c r="C206" s="3" t="s">
        <v>12</v>
      </c>
      <c r="D206" s="3" t="s">
        <v>240</v>
      </c>
      <c r="E206" s="3">
        <v>9</v>
      </c>
      <c r="F206" s="3" t="s">
        <v>164</v>
      </c>
      <c r="G206" s="4" t="str">
        <f t="shared" si="12"/>
        <v>12882</v>
      </c>
      <c r="H206" t="str">
        <f t="shared" si="13"/>
        <v>Emirhan AKKAYA</v>
      </c>
      <c r="I206" t="str">
        <f t="shared" si="14"/>
        <v>9C Otomotiv Elektromekanik</v>
      </c>
      <c r="J206" t="str">
        <f t="shared" si="15"/>
        <v xml:space="preserve">9C </v>
      </c>
    </row>
    <row r="207" spans="1:10" x14ac:dyDescent="0.25">
      <c r="A207" s="3">
        <v>40657828336</v>
      </c>
      <c r="B207" s="3" t="s">
        <v>261</v>
      </c>
      <c r="C207" s="3" t="s">
        <v>12</v>
      </c>
      <c r="D207" s="3" t="s">
        <v>240</v>
      </c>
      <c r="E207" s="3">
        <v>9</v>
      </c>
      <c r="F207" s="3" t="s">
        <v>58</v>
      </c>
      <c r="G207" s="4" t="str">
        <f t="shared" si="12"/>
        <v>28336</v>
      </c>
      <c r="H207" t="str">
        <f t="shared" si="13"/>
        <v>Enes ÇATALKAYA</v>
      </c>
      <c r="I207" t="str">
        <f t="shared" si="14"/>
        <v>9B Otomotiv Elektromekanik</v>
      </c>
      <c r="J207" t="str">
        <f t="shared" si="15"/>
        <v xml:space="preserve">9B </v>
      </c>
    </row>
    <row r="208" spans="1:10" x14ac:dyDescent="0.25">
      <c r="A208" s="3">
        <v>38002917538</v>
      </c>
      <c r="B208" s="3" t="s">
        <v>262</v>
      </c>
      <c r="C208" s="3" t="s">
        <v>12</v>
      </c>
      <c r="D208" s="3" t="s">
        <v>240</v>
      </c>
      <c r="E208" s="3">
        <v>9</v>
      </c>
      <c r="F208" s="3" t="s">
        <v>166</v>
      </c>
      <c r="G208" s="4" t="str">
        <f t="shared" si="12"/>
        <v>17538</v>
      </c>
      <c r="H208" t="str">
        <f t="shared" si="13"/>
        <v>Enes Kaan GEDİK</v>
      </c>
      <c r="I208" t="str">
        <f t="shared" si="14"/>
        <v>9F Otomotiv Elektromekanik</v>
      </c>
      <c r="J208" t="str">
        <f t="shared" si="15"/>
        <v xml:space="preserve">9F </v>
      </c>
    </row>
    <row r="209" spans="1:10" x14ac:dyDescent="0.25">
      <c r="A209" s="3">
        <v>58600230150</v>
      </c>
      <c r="B209" s="3" t="s">
        <v>263</v>
      </c>
      <c r="C209" s="3" t="s">
        <v>12</v>
      </c>
      <c r="D209" s="3" t="s">
        <v>240</v>
      </c>
      <c r="E209" s="3">
        <v>9</v>
      </c>
      <c r="F209" s="3" t="s">
        <v>164</v>
      </c>
      <c r="G209" s="4" t="str">
        <f t="shared" si="12"/>
        <v>30150</v>
      </c>
      <c r="H209" t="str">
        <f t="shared" si="13"/>
        <v>Enis KORKUT</v>
      </c>
      <c r="I209" t="str">
        <f t="shared" si="14"/>
        <v>9C Otomotiv Elektromekanik</v>
      </c>
      <c r="J209" t="str">
        <f t="shared" si="15"/>
        <v xml:space="preserve">9C </v>
      </c>
    </row>
    <row r="210" spans="1:10" x14ac:dyDescent="0.25">
      <c r="A210" s="3">
        <v>17081614200</v>
      </c>
      <c r="B210" s="3" t="s">
        <v>264</v>
      </c>
      <c r="C210" s="3" t="s">
        <v>12</v>
      </c>
      <c r="D210" s="3" t="s">
        <v>240</v>
      </c>
      <c r="E210" s="3">
        <v>9</v>
      </c>
      <c r="F210" s="3" t="s">
        <v>58</v>
      </c>
      <c r="G210" s="4" t="str">
        <f t="shared" si="12"/>
        <v>14200</v>
      </c>
      <c r="H210" t="str">
        <f t="shared" si="13"/>
        <v>Eray GÜNERİ</v>
      </c>
      <c r="I210" t="str">
        <f t="shared" si="14"/>
        <v>9B Otomotiv Elektromekanik</v>
      </c>
      <c r="J210" t="str">
        <f t="shared" si="15"/>
        <v xml:space="preserve">9B </v>
      </c>
    </row>
    <row r="211" spans="1:10" x14ac:dyDescent="0.25">
      <c r="A211" s="3">
        <v>54340623108</v>
      </c>
      <c r="B211" s="3" t="s">
        <v>265</v>
      </c>
      <c r="C211" s="3" t="s">
        <v>12</v>
      </c>
      <c r="D211" s="3" t="s">
        <v>240</v>
      </c>
      <c r="E211" s="3">
        <v>9</v>
      </c>
      <c r="F211" s="3" t="s">
        <v>164</v>
      </c>
      <c r="G211" s="4" t="str">
        <f t="shared" si="12"/>
        <v>23108</v>
      </c>
      <c r="H211" t="str">
        <f t="shared" si="13"/>
        <v>Eyüp KAYA</v>
      </c>
      <c r="I211" t="str">
        <f t="shared" si="14"/>
        <v>9C Otomotiv Elektromekanik</v>
      </c>
      <c r="J211" t="str">
        <f t="shared" si="15"/>
        <v xml:space="preserve">9C </v>
      </c>
    </row>
    <row r="212" spans="1:10" x14ac:dyDescent="0.25">
      <c r="A212" s="3">
        <v>24437369110</v>
      </c>
      <c r="B212" s="3" t="s">
        <v>266</v>
      </c>
      <c r="C212" s="3" t="s">
        <v>12</v>
      </c>
      <c r="D212" s="3" t="s">
        <v>240</v>
      </c>
      <c r="E212" s="3">
        <v>9</v>
      </c>
      <c r="F212" s="3" t="s">
        <v>166</v>
      </c>
      <c r="G212" s="4" t="str">
        <f t="shared" si="12"/>
        <v>69110</v>
      </c>
      <c r="H212" t="str">
        <f t="shared" si="13"/>
        <v>Eyüpcan ÇİFTÇİ</v>
      </c>
      <c r="I212" t="str">
        <f t="shared" si="14"/>
        <v>9F Otomotiv Elektromekanik</v>
      </c>
      <c r="J212" t="str">
        <f t="shared" si="15"/>
        <v xml:space="preserve">9F </v>
      </c>
    </row>
    <row r="213" spans="1:10" x14ac:dyDescent="0.25">
      <c r="A213" s="3">
        <v>45304913458</v>
      </c>
      <c r="B213" s="3" t="s">
        <v>267</v>
      </c>
      <c r="C213" s="3" t="s">
        <v>12</v>
      </c>
      <c r="D213" s="3" t="s">
        <v>240</v>
      </c>
      <c r="E213" s="3">
        <v>9</v>
      </c>
      <c r="F213" s="3" t="s">
        <v>166</v>
      </c>
      <c r="G213" s="4" t="str">
        <f t="shared" si="12"/>
        <v>13458</v>
      </c>
      <c r="H213" t="str">
        <f t="shared" si="13"/>
        <v>Eyyüp ÇOBAN</v>
      </c>
      <c r="I213" t="str">
        <f t="shared" si="14"/>
        <v>9F Otomotiv Elektromekanik</v>
      </c>
      <c r="J213" t="str">
        <f t="shared" si="15"/>
        <v xml:space="preserve">9F </v>
      </c>
    </row>
    <row r="214" spans="1:10" x14ac:dyDescent="0.25">
      <c r="A214" s="3">
        <v>51988782402</v>
      </c>
      <c r="B214" s="3" t="s">
        <v>268</v>
      </c>
      <c r="C214" s="3" t="s">
        <v>12</v>
      </c>
      <c r="D214" s="3" t="s">
        <v>240</v>
      </c>
      <c r="E214" s="3">
        <v>9</v>
      </c>
      <c r="F214" s="3" t="s">
        <v>58</v>
      </c>
      <c r="G214" s="4" t="str">
        <f t="shared" si="12"/>
        <v>82402</v>
      </c>
      <c r="H214" t="str">
        <f t="shared" si="13"/>
        <v>Feim AYBAN</v>
      </c>
      <c r="I214" t="str">
        <f t="shared" si="14"/>
        <v>9B Otomotiv Elektromekanik</v>
      </c>
      <c r="J214" t="str">
        <f t="shared" si="15"/>
        <v xml:space="preserve">9B </v>
      </c>
    </row>
    <row r="215" spans="1:10" x14ac:dyDescent="0.25">
      <c r="A215" s="3">
        <v>13784753918</v>
      </c>
      <c r="B215" s="3" t="s">
        <v>269</v>
      </c>
      <c r="C215" s="3" t="s">
        <v>12</v>
      </c>
      <c r="D215" s="3" t="s">
        <v>240</v>
      </c>
      <c r="E215" s="3">
        <v>9</v>
      </c>
      <c r="F215" s="3" t="s">
        <v>58</v>
      </c>
      <c r="G215" s="4" t="str">
        <f t="shared" si="12"/>
        <v>53918</v>
      </c>
      <c r="H215" t="str">
        <f t="shared" si="13"/>
        <v>Fırat GEÇER</v>
      </c>
      <c r="I215" t="str">
        <f t="shared" si="14"/>
        <v>9B Otomotiv Elektromekanik</v>
      </c>
      <c r="J215" t="str">
        <f t="shared" si="15"/>
        <v xml:space="preserve">9B </v>
      </c>
    </row>
    <row r="216" spans="1:10" x14ac:dyDescent="0.25">
      <c r="A216" s="3">
        <v>43681727446</v>
      </c>
      <c r="B216" s="3" t="s">
        <v>270</v>
      </c>
      <c r="C216" s="3" t="s">
        <v>12</v>
      </c>
      <c r="D216" s="3" t="s">
        <v>240</v>
      </c>
      <c r="E216" s="3">
        <v>9</v>
      </c>
      <c r="F216" s="3" t="s">
        <v>166</v>
      </c>
      <c r="G216" s="4" t="str">
        <f t="shared" si="12"/>
        <v>27446</v>
      </c>
      <c r="H216" t="str">
        <f t="shared" si="13"/>
        <v>Hamza ŞENGÜL</v>
      </c>
      <c r="I216" t="str">
        <f t="shared" si="14"/>
        <v>9F Otomotiv Elektromekanik</v>
      </c>
      <c r="J216" t="str">
        <f t="shared" si="15"/>
        <v xml:space="preserve">9F </v>
      </c>
    </row>
    <row r="217" spans="1:10" x14ac:dyDescent="0.25">
      <c r="A217" s="3">
        <v>67996170926</v>
      </c>
      <c r="B217" s="3" t="s">
        <v>271</v>
      </c>
      <c r="C217" s="3" t="s">
        <v>12</v>
      </c>
      <c r="D217" s="3" t="s">
        <v>240</v>
      </c>
      <c r="E217" s="3">
        <v>9</v>
      </c>
      <c r="F217" s="3" t="s">
        <v>58</v>
      </c>
      <c r="G217" s="4" t="str">
        <f t="shared" si="12"/>
        <v>70926</v>
      </c>
      <c r="H217" t="str">
        <f t="shared" si="13"/>
        <v>Hamza TUNCEL</v>
      </c>
      <c r="I217" t="str">
        <f t="shared" si="14"/>
        <v>9B Otomotiv Elektromekanik</v>
      </c>
      <c r="J217" t="str">
        <f t="shared" si="15"/>
        <v xml:space="preserve">9B </v>
      </c>
    </row>
    <row r="218" spans="1:10" x14ac:dyDescent="0.25">
      <c r="A218" s="3">
        <v>21548425674</v>
      </c>
      <c r="B218" s="3" t="s">
        <v>272</v>
      </c>
      <c r="C218" s="3" t="s">
        <v>12</v>
      </c>
      <c r="D218" s="3" t="s">
        <v>240</v>
      </c>
      <c r="E218" s="3">
        <v>9</v>
      </c>
      <c r="F218" s="3" t="s">
        <v>166</v>
      </c>
      <c r="G218" s="4" t="str">
        <f t="shared" si="12"/>
        <v>25674</v>
      </c>
      <c r="H218" t="str">
        <f t="shared" si="13"/>
        <v>Hasan GÜNEL</v>
      </c>
      <c r="I218" t="str">
        <f t="shared" si="14"/>
        <v>9F Otomotiv Elektromekanik</v>
      </c>
      <c r="J218" t="str">
        <f t="shared" si="15"/>
        <v xml:space="preserve">9F </v>
      </c>
    </row>
    <row r="219" spans="1:10" x14ac:dyDescent="0.25">
      <c r="A219" s="3">
        <v>47665378488</v>
      </c>
      <c r="B219" s="3" t="s">
        <v>273</v>
      </c>
      <c r="C219" s="3" t="s">
        <v>12</v>
      </c>
      <c r="D219" s="3" t="s">
        <v>240</v>
      </c>
      <c r="E219" s="3">
        <v>9</v>
      </c>
      <c r="F219" s="2"/>
      <c r="G219" s="4" t="str">
        <f t="shared" si="12"/>
        <v>78488</v>
      </c>
      <c r="H219" t="str">
        <f t="shared" si="13"/>
        <v>İbrahim AKTÜRK</v>
      </c>
      <c r="I219" t="str">
        <f t="shared" si="14"/>
        <v>9 Otomotiv Elektromekanik</v>
      </c>
      <c r="J219" t="str">
        <f t="shared" si="15"/>
        <v>9 O</v>
      </c>
    </row>
    <row r="220" spans="1:10" x14ac:dyDescent="0.25">
      <c r="A220" s="3">
        <v>67846072998</v>
      </c>
      <c r="B220" s="3" t="s">
        <v>274</v>
      </c>
      <c r="C220" s="3" t="s">
        <v>12</v>
      </c>
      <c r="D220" s="3" t="s">
        <v>240</v>
      </c>
      <c r="E220" s="3">
        <v>9</v>
      </c>
      <c r="F220" s="3" t="s">
        <v>166</v>
      </c>
      <c r="G220" s="4" t="str">
        <f t="shared" si="12"/>
        <v>72998</v>
      </c>
      <c r="H220" t="str">
        <f t="shared" si="13"/>
        <v>İbrahim TÜRKDOĞAN</v>
      </c>
      <c r="I220" t="str">
        <f t="shared" si="14"/>
        <v>9F Otomotiv Elektromekanik</v>
      </c>
      <c r="J220" t="str">
        <f t="shared" si="15"/>
        <v xml:space="preserve">9F </v>
      </c>
    </row>
    <row r="221" spans="1:10" x14ac:dyDescent="0.25">
      <c r="A221" s="3">
        <v>16544632102</v>
      </c>
      <c r="B221" s="3" t="s">
        <v>275</v>
      </c>
      <c r="C221" s="3" t="s">
        <v>12</v>
      </c>
      <c r="D221" s="3" t="s">
        <v>240</v>
      </c>
      <c r="E221" s="3">
        <v>9</v>
      </c>
      <c r="F221" s="3" t="s">
        <v>164</v>
      </c>
      <c r="G221" s="4" t="str">
        <f t="shared" si="12"/>
        <v>32102</v>
      </c>
      <c r="H221" t="str">
        <f t="shared" si="13"/>
        <v>Kamil Can ŞEN</v>
      </c>
      <c r="I221" t="str">
        <f t="shared" si="14"/>
        <v>9C Otomotiv Elektromekanik</v>
      </c>
      <c r="J221" t="str">
        <f t="shared" si="15"/>
        <v xml:space="preserve">9C </v>
      </c>
    </row>
    <row r="222" spans="1:10" x14ac:dyDescent="0.25">
      <c r="A222" s="3">
        <v>30454111458</v>
      </c>
      <c r="B222" s="3" t="s">
        <v>276</v>
      </c>
      <c r="C222" s="3" t="s">
        <v>12</v>
      </c>
      <c r="D222" s="3" t="s">
        <v>240</v>
      </c>
      <c r="E222" s="3">
        <v>9</v>
      </c>
      <c r="F222" s="3" t="s">
        <v>164</v>
      </c>
      <c r="G222" s="4" t="str">
        <f t="shared" si="12"/>
        <v>11458</v>
      </c>
      <c r="H222" t="str">
        <f t="shared" si="13"/>
        <v>Mehmet ASLAN</v>
      </c>
      <c r="I222" t="str">
        <f t="shared" si="14"/>
        <v>9C Otomotiv Elektromekanik</v>
      </c>
      <c r="J222" t="str">
        <f t="shared" si="15"/>
        <v xml:space="preserve">9C </v>
      </c>
    </row>
    <row r="223" spans="1:10" x14ac:dyDescent="0.25">
      <c r="A223" s="3">
        <v>34228948516</v>
      </c>
      <c r="B223" s="3" t="s">
        <v>277</v>
      </c>
      <c r="C223" s="3" t="s">
        <v>12</v>
      </c>
      <c r="D223" s="3" t="s">
        <v>240</v>
      </c>
      <c r="E223" s="3">
        <v>9</v>
      </c>
      <c r="F223" s="3" t="s">
        <v>58</v>
      </c>
      <c r="G223" s="4" t="str">
        <f t="shared" si="12"/>
        <v>48516</v>
      </c>
      <c r="H223" t="str">
        <f t="shared" si="13"/>
        <v>Mehmet Sami ÇAĞLAR</v>
      </c>
      <c r="I223" t="str">
        <f t="shared" si="14"/>
        <v>9B Otomotiv Elektromekanik</v>
      </c>
      <c r="J223" t="str">
        <f t="shared" si="15"/>
        <v xml:space="preserve">9B </v>
      </c>
    </row>
    <row r="224" spans="1:10" x14ac:dyDescent="0.25">
      <c r="A224" s="3">
        <v>15749383482</v>
      </c>
      <c r="B224" s="3" t="s">
        <v>278</v>
      </c>
      <c r="C224" s="3" t="s">
        <v>12</v>
      </c>
      <c r="D224" s="3" t="s">
        <v>240</v>
      </c>
      <c r="E224" s="3">
        <v>9</v>
      </c>
      <c r="F224" s="3" t="s">
        <v>164</v>
      </c>
      <c r="G224" s="4" t="str">
        <f t="shared" si="12"/>
        <v>83482</v>
      </c>
      <c r="H224" t="str">
        <f t="shared" si="13"/>
        <v>Mehmet SÖYLEMEZ</v>
      </c>
      <c r="I224" t="str">
        <f t="shared" si="14"/>
        <v>9C Otomotiv Elektromekanik</v>
      </c>
      <c r="J224" t="str">
        <f t="shared" si="15"/>
        <v xml:space="preserve">9C </v>
      </c>
    </row>
    <row r="225" spans="1:10" x14ac:dyDescent="0.25">
      <c r="A225" s="3">
        <v>55069348730</v>
      </c>
      <c r="B225" s="3" t="s">
        <v>279</v>
      </c>
      <c r="C225" s="3" t="s">
        <v>12</v>
      </c>
      <c r="D225" s="3" t="s">
        <v>240</v>
      </c>
      <c r="E225" s="3">
        <v>9</v>
      </c>
      <c r="F225" s="3" t="s">
        <v>58</v>
      </c>
      <c r="G225" s="4" t="str">
        <f t="shared" si="12"/>
        <v>48730</v>
      </c>
      <c r="H225" t="str">
        <f t="shared" si="13"/>
        <v>Mert DİKMEN</v>
      </c>
      <c r="I225" t="str">
        <f t="shared" si="14"/>
        <v>9B Otomotiv Elektromekanik</v>
      </c>
      <c r="J225" t="str">
        <f t="shared" si="15"/>
        <v xml:space="preserve">9B </v>
      </c>
    </row>
    <row r="226" spans="1:10" x14ac:dyDescent="0.25">
      <c r="A226" s="3">
        <v>21152478684</v>
      </c>
      <c r="B226" s="3" t="s">
        <v>280</v>
      </c>
      <c r="C226" s="3" t="s">
        <v>12</v>
      </c>
      <c r="D226" s="3" t="s">
        <v>240</v>
      </c>
      <c r="E226" s="3">
        <v>9</v>
      </c>
      <c r="F226" s="3" t="s">
        <v>58</v>
      </c>
      <c r="G226" s="4" t="str">
        <f t="shared" si="12"/>
        <v>78684</v>
      </c>
      <c r="H226" t="str">
        <f t="shared" si="13"/>
        <v>Metin ŞAHİN</v>
      </c>
      <c r="I226" t="str">
        <f t="shared" si="14"/>
        <v>9B Otomotiv Elektromekanik</v>
      </c>
      <c r="J226" t="str">
        <f t="shared" si="15"/>
        <v xml:space="preserve">9B </v>
      </c>
    </row>
    <row r="227" spans="1:10" x14ac:dyDescent="0.25">
      <c r="A227" s="3">
        <v>61906119722</v>
      </c>
      <c r="B227" s="3" t="s">
        <v>281</v>
      </c>
      <c r="C227" s="3" t="s">
        <v>12</v>
      </c>
      <c r="D227" s="3" t="s">
        <v>240</v>
      </c>
      <c r="E227" s="3">
        <v>9</v>
      </c>
      <c r="F227" s="3" t="s">
        <v>58</v>
      </c>
      <c r="G227" s="4" t="str">
        <f t="shared" si="12"/>
        <v>19722</v>
      </c>
      <c r="H227" t="str">
        <f t="shared" si="13"/>
        <v>Muhammed AKPINAR</v>
      </c>
      <c r="I227" t="str">
        <f t="shared" si="14"/>
        <v>9B Otomotiv Elektromekanik</v>
      </c>
      <c r="J227" t="str">
        <f t="shared" si="15"/>
        <v xml:space="preserve">9B </v>
      </c>
    </row>
    <row r="228" spans="1:10" x14ac:dyDescent="0.25">
      <c r="A228" s="3">
        <v>40465835106</v>
      </c>
      <c r="B228" s="3" t="s">
        <v>282</v>
      </c>
      <c r="C228" s="3" t="s">
        <v>12</v>
      </c>
      <c r="D228" s="3" t="s">
        <v>240</v>
      </c>
      <c r="E228" s="3">
        <v>9</v>
      </c>
      <c r="F228" s="3" t="s">
        <v>58</v>
      </c>
      <c r="G228" s="4" t="str">
        <f t="shared" si="12"/>
        <v>35106</v>
      </c>
      <c r="H228" t="str">
        <f t="shared" si="13"/>
        <v>Muhammed Ali ÖZGÜVEN</v>
      </c>
      <c r="I228" t="str">
        <f t="shared" si="14"/>
        <v>9B Otomotiv Elektromekanik</v>
      </c>
      <c r="J228" t="str">
        <f t="shared" si="15"/>
        <v xml:space="preserve">9B </v>
      </c>
    </row>
    <row r="229" spans="1:10" x14ac:dyDescent="0.25">
      <c r="A229" s="3">
        <v>33904834228</v>
      </c>
      <c r="B229" s="3" t="s">
        <v>283</v>
      </c>
      <c r="C229" s="3" t="s">
        <v>12</v>
      </c>
      <c r="D229" s="3" t="s">
        <v>240</v>
      </c>
      <c r="E229" s="3">
        <v>9</v>
      </c>
      <c r="F229" s="3" t="s">
        <v>164</v>
      </c>
      <c r="G229" s="4" t="str">
        <f t="shared" si="12"/>
        <v>34228</v>
      </c>
      <c r="H229" t="str">
        <f t="shared" si="13"/>
        <v>Muhammed AYDIN</v>
      </c>
      <c r="I229" t="str">
        <f t="shared" si="14"/>
        <v>9C Otomotiv Elektromekanik</v>
      </c>
      <c r="J229" t="str">
        <f t="shared" si="15"/>
        <v xml:space="preserve">9C </v>
      </c>
    </row>
    <row r="230" spans="1:10" x14ac:dyDescent="0.25">
      <c r="A230" s="3">
        <v>66325226204</v>
      </c>
      <c r="B230" s="3" t="s">
        <v>284</v>
      </c>
      <c r="C230" s="3" t="s">
        <v>12</v>
      </c>
      <c r="D230" s="3" t="s">
        <v>240</v>
      </c>
      <c r="E230" s="3">
        <v>9</v>
      </c>
      <c r="F230" s="3" t="s">
        <v>58</v>
      </c>
      <c r="G230" s="4" t="str">
        <f t="shared" si="12"/>
        <v>26204</v>
      </c>
      <c r="H230" t="str">
        <f t="shared" si="13"/>
        <v>Muhammed Üveys EŞUT</v>
      </c>
      <c r="I230" t="str">
        <f t="shared" si="14"/>
        <v>9B Otomotiv Elektromekanik</v>
      </c>
      <c r="J230" t="str">
        <f t="shared" si="15"/>
        <v xml:space="preserve">9B </v>
      </c>
    </row>
    <row r="231" spans="1:10" x14ac:dyDescent="0.25">
      <c r="A231" s="3">
        <v>25229342762</v>
      </c>
      <c r="B231" s="3" t="s">
        <v>285</v>
      </c>
      <c r="C231" s="3" t="s">
        <v>12</v>
      </c>
      <c r="D231" s="3" t="s">
        <v>240</v>
      </c>
      <c r="E231" s="3">
        <v>9</v>
      </c>
      <c r="F231" s="3" t="s">
        <v>166</v>
      </c>
      <c r="G231" s="4" t="str">
        <f t="shared" si="12"/>
        <v>42762</v>
      </c>
      <c r="H231" t="str">
        <f t="shared" si="13"/>
        <v>Muhammet Ali TUNÇ</v>
      </c>
      <c r="I231" t="str">
        <f t="shared" si="14"/>
        <v>9F Otomotiv Elektromekanik</v>
      </c>
      <c r="J231" t="str">
        <f t="shared" si="15"/>
        <v xml:space="preserve">9F </v>
      </c>
    </row>
    <row r="232" spans="1:10" x14ac:dyDescent="0.25">
      <c r="A232" s="3">
        <v>23491018828</v>
      </c>
      <c r="B232" s="3" t="s">
        <v>286</v>
      </c>
      <c r="C232" s="3" t="s">
        <v>12</v>
      </c>
      <c r="D232" s="3" t="s">
        <v>240</v>
      </c>
      <c r="E232" s="3">
        <v>9</v>
      </c>
      <c r="F232" s="3" t="s">
        <v>166</v>
      </c>
      <c r="G232" s="4" t="str">
        <f t="shared" si="12"/>
        <v>18828</v>
      </c>
      <c r="H232" t="str">
        <f t="shared" si="13"/>
        <v>Muhammet Emir ATAY</v>
      </c>
      <c r="I232" t="str">
        <f t="shared" si="14"/>
        <v>9F Otomotiv Elektromekanik</v>
      </c>
      <c r="J232" t="str">
        <f t="shared" si="15"/>
        <v xml:space="preserve">9F </v>
      </c>
    </row>
    <row r="233" spans="1:10" x14ac:dyDescent="0.25">
      <c r="A233" s="3">
        <v>41275387502</v>
      </c>
      <c r="B233" s="3" t="s">
        <v>287</v>
      </c>
      <c r="C233" s="3" t="s">
        <v>12</v>
      </c>
      <c r="D233" s="3" t="s">
        <v>240</v>
      </c>
      <c r="E233" s="3">
        <v>9</v>
      </c>
      <c r="F233" s="3" t="s">
        <v>166</v>
      </c>
      <c r="G233" s="4" t="str">
        <f t="shared" si="12"/>
        <v>87502</v>
      </c>
      <c r="H233" t="str">
        <f t="shared" si="13"/>
        <v>Mustafa ÇİNAR</v>
      </c>
      <c r="I233" t="str">
        <f t="shared" si="14"/>
        <v>9F Otomotiv Elektromekanik</v>
      </c>
      <c r="J233" t="str">
        <f t="shared" si="15"/>
        <v xml:space="preserve">9F </v>
      </c>
    </row>
    <row r="234" spans="1:10" x14ac:dyDescent="0.25">
      <c r="A234" s="3">
        <v>13855501974</v>
      </c>
      <c r="B234" s="3" t="s">
        <v>288</v>
      </c>
      <c r="C234" s="3" t="s">
        <v>12</v>
      </c>
      <c r="D234" s="3" t="s">
        <v>240</v>
      </c>
      <c r="E234" s="3">
        <v>9</v>
      </c>
      <c r="F234" s="3" t="s">
        <v>58</v>
      </c>
      <c r="G234" s="4" t="str">
        <f t="shared" si="12"/>
        <v>01974</v>
      </c>
      <c r="H234" t="str">
        <f t="shared" si="13"/>
        <v>Nur Muhammed BAYCUR</v>
      </c>
      <c r="I234" t="str">
        <f t="shared" si="14"/>
        <v>9B Otomotiv Elektromekanik</v>
      </c>
      <c r="J234" t="str">
        <f t="shared" si="15"/>
        <v xml:space="preserve">9B </v>
      </c>
    </row>
    <row r="235" spans="1:10" x14ac:dyDescent="0.25">
      <c r="A235" s="3">
        <v>39022883544</v>
      </c>
      <c r="B235" s="3" t="s">
        <v>289</v>
      </c>
      <c r="C235" s="3" t="s">
        <v>12</v>
      </c>
      <c r="D235" s="3" t="s">
        <v>240</v>
      </c>
      <c r="E235" s="3">
        <v>9</v>
      </c>
      <c r="F235" s="3" t="s">
        <v>166</v>
      </c>
      <c r="G235" s="4" t="str">
        <f t="shared" si="12"/>
        <v>83544</v>
      </c>
      <c r="H235" t="str">
        <f t="shared" si="13"/>
        <v>Nurullah DENİZ</v>
      </c>
      <c r="I235" t="str">
        <f t="shared" si="14"/>
        <v>9F Otomotiv Elektromekanik</v>
      </c>
      <c r="J235" t="str">
        <f t="shared" si="15"/>
        <v xml:space="preserve">9F </v>
      </c>
    </row>
    <row r="236" spans="1:10" x14ac:dyDescent="0.25">
      <c r="A236" s="3">
        <v>33584064700</v>
      </c>
      <c r="B236" s="3" t="s">
        <v>290</v>
      </c>
      <c r="C236" s="3" t="s">
        <v>12</v>
      </c>
      <c r="D236" s="3" t="s">
        <v>240</v>
      </c>
      <c r="E236" s="3">
        <v>9</v>
      </c>
      <c r="F236" s="3" t="s">
        <v>164</v>
      </c>
      <c r="G236" s="4" t="str">
        <f t="shared" si="12"/>
        <v>64700</v>
      </c>
      <c r="H236" t="str">
        <f t="shared" si="13"/>
        <v>Poyraz ALPEREN</v>
      </c>
      <c r="I236" t="str">
        <f t="shared" si="14"/>
        <v>9C Otomotiv Elektromekanik</v>
      </c>
      <c r="J236" t="str">
        <f t="shared" si="15"/>
        <v xml:space="preserve">9C </v>
      </c>
    </row>
    <row r="237" spans="1:10" x14ac:dyDescent="0.25">
      <c r="A237" s="3">
        <v>27509636592</v>
      </c>
      <c r="B237" s="3" t="s">
        <v>291</v>
      </c>
      <c r="C237" s="3" t="s">
        <v>12</v>
      </c>
      <c r="D237" s="3" t="s">
        <v>240</v>
      </c>
      <c r="E237" s="3">
        <v>9</v>
      </c>
      <c r="F237" s="3" t="s">
        <v>58</v>
      </c>
      <c r="G237" s="4" t="str">
        <f t="shared" si="12"/>
        <v>36592</v>
      </c>
      <c r="H237" t="str">
        <f t="shared" si="13"/>
        <v>Serhat GEÇER</v>
      </c>
      <c r="I237" t="str">
        <f t="shared" si="14"/>
        <v>9B Otomotiv Elektromekanik</v>
      </c>
      <c r="J237" t="str">
        <f t="shared" si="15"/>
        <v xml:space="preserve">9B </v>
      </c>
    </row>
    <row r="238" spans="1:10" x14ac:dyDescent="0.25">
      <c r="A238" s="3">
        <v>25156383272</v>
      </c>
      <c r="B238" s="3" t="s">
        <v>292</v>
      </c>
      <c r="C238" s="3" t="s">
        <v>12</v>
      </c>
      <c r="D238" s="3" t="s">
        <v>240</v>
      </c>
      <c r="E238" s="3">
        <v>9</v>
      </c>
      <c r="F238" s="3" t="s">
        <v>166</v>
      </c>
      <c r="G238" s="4" t="str">
        <f t="shared" si="12"/>
        <v>83272</v>
      </c>
      <c r="H238" t="str">
        <f t="shared" si="13"/>
        <v>Tarık DOĞAN</v>
      </c>
      <c r="I238" t="str">
        <f t="shared" si="14"/>
        <v>9F Otomotiv Elektromekanik</v>
      </c>
      <c r="J238" t="str">
        <f t="shared" si="15"/>
        <v xml:space="preserve">9F </v>
      </c>
    </row>
    <row r="239" spans="1:10" x14ac:dyDescent="0.25">
      <c r="A239" s="3">
        <v>30470167750</v>
      </c>
      <c r="B239" s="3" t="s">
        <v>293</v>
      </c>
      <c r="C239" s="3" t="s">
        <v>12</v>
      </c>
      <c r="D239" s="3" t="s">
        <v>240</v>
      </c>
      <c r="E239" s="3">
        <v>9</v>
      </c>
      <c r="F239" s="3" t="s">
        <v>58</v>
      </c>
      <c r="G239" s="4" t="str">
        <f t="shared" si="12"/>
        <v>67750</v>
      </c>
      <c r="H239" t="str">
        <f t="shared" si="13"/>
        <v>Yakup Buğra BALAKÇI</v>
      </c>
      <c r="I239" t="str">
        <f t="shared" si="14"/>
        <v>9B Otomotiv Elektromekanik</v>
      </c>
      <c r="J239" t="str">
        <f t="shared" si="15"/>
        <v xml:space="preserve">9B </v>
      </c>
    </row>
    <row r="240" spans="1:10" x14ac:dyDescent="0.25">
      <c r="A240" s="3">
        <v>63097080362</v>
      </c>
      <c r="B240" s="3" t="s">
        <v>294</v>
      </c>
      <c r="C240" s="3" t="s">
        <v>12</v>
      </c>
      <c r="D240" s="3" t="s">
        <v>240</v>
      </c>
      <c r="E240" s="3">
        <v>9</v>
      </c>
      <c r="F240" s="3" t="s">
        <v>58</v>
      </c>
      <c r="G240" s="4" t="str">
        <f t="shared" si="12"/>
        <v>80362</v>
      </c>
      <c r="H240" t="str">
        <f t="shared" si="13"/>
        <v>Yasin KARABUT</v>
      </c>
      <c r="I240" t="str">
        <f t="shared" si="14"/>
        <v>9B Otomotiv Elektromekanik</v>
      </c>
      <c r="J240" t="str">
        <f t="shared" si="15"/>
        <v xml:space="preserve">9B </v>
      </c>
    </row>
    <row r="241" spans="1:10" x14ac:dyDescent="0.25">
      <c r="A241" s="3">
        <v>27782258146</v>
      </c>
      <c r="B241" s="3" t="s">
        <v>295</v>
      </c>
      <c r="C241" s="3" t="s">
        <v>12</v>
      </c>
      <c r="D241" s="3" t="s">
        <v>240</v>
      </c>
      <c r="E241" s="3">
        <v>9</v>
      </c>
      <c r="F241" s="3" t="s">
        <v>164</v>
      </c>
      <c r="G241" s="4" t="str">
        <f t="shared" si="12"/>
        <v>58146</v>
      </c>
      <c r="H241" t="str">
        <f t="shared" si="13"/>
        <v>Yiğit ÖZDEN</v>
      </c>
      <c r="I241" t="str">
        <f t="shared" si="14"/>
        <v>9C Otomotiv Elektromekanik</v>
      </c>
      <c r="J241" t="str">
        <f t="shared" si="15"/>
        <v xml:space="preserve">9C </v>
      </c>
    </row>
    <row r="242" spans="1:10" x14ac:dyDescent="0.25">
      <c r="A242" s="3">
        <v>40388020948</v>
      </c>
      <c r="B242" s="3" t="s">
        <v>296</v>
      </c>
      <c r="C242" s="3" t="s">
        <v>12</v>
      </c>
      <c r="D242" s="3" t="s">
        <v>240</v>
      </c>
      <c r="E242" s="3">
        <v>9</v>
      </c>
      <c r="F242" s="3" t="s">
        <v>164</v>
      </c>
      <c r="G242" s="4" t="str">
        <f t="shared" si="12"/>
        <v>20948</v>
      </c>
      <c r="H242" t="str">
        <f t="shared" si="13"/>
        <v>Yiğitcan ÇEKİÇ</v>
      </c>
      <c r="I242" t="str">
        <f t="shared" si="14"/>
        <v>9C Otomotiv Elektromekanik</v>
      </c>
      <c r="J242" t="str">
        <f t="shared" si="15"/>
        <v xml:space="preserve">9C </v>
      </c>
    </row>
    <row r="243" spans="1:10" x14ac:dyDescent="0.25">
      <c r="A243" s="3">
        <v>63610123620</v>
      </c>
      <c r="B243" s="3" t="s">
        <v>297</v>
      </c>
      <c r="C243" s="3" t="s">
        <v>12</v>
      </c>
      <c r="D243" s="3" t="s">
        <v>240</v>
      </c>
      <c r="E243" s="3">
        <v>9</v>
      </c>
      <c r="F243" s="3" t="s">
        <v>58</v>
      </c>
      <c r="G243" s="4" t="str">
        <f t="shared" si="12"/>
        <v>23620</v>
      </c>
      <c r="H243" t="str">
        <f t="shared" si="13"/>
        <v>Yunus ATLI</v>
      </c>
      <c r="I243" t="str">
        <f t="shared" si="14"/>
        <v>9B Otomotiv Elektromekanik</v>
      </c>
      <c r="J243" t="str">
        <f t="shared" si="15"/>
        <v xml:space="preserve">9B </v>
      </c>
    </row>
    <row r="244" spans="1:10" x14ac:dyDescent="0.25">
      <c r="A244" s="3">
        <v>45316672992</v>
      </c>
      <c r="B244" s="3" t="s">
        <v>298</v>
      </c>
      <c r="C244" s="3" t="s">
        <v>12</v>
      </c>
      <c r="D244" s="3" t="s">
        <v>240</v>
      </c>
      <c r="E244" s="3">
        <v>9</v>
      </c>
      <c r="F244" s="3" t="s">
        <v>166</v>
      </c>
      <c r="G244" s="4" t="str">
        <f t="shared" si="12"/>
        <v>72992</v>
      </c>
      <c r="H244" t="str">
        <f t="shared" si="13"/>
        <v>Yusuf DEMİR</v>
      </c>
      <c r="I244" t="str">
        <f t="shared" si="14"/>
        <v>9F Otomotiv Elektromekanik</v>
      </c>
      <c r="J244" t="str">
        <f t="shared" si="15"/>
        <v xml:space="preserve">9F </v>
      </c>
    </row>
    <row r="245" spans="1:10" x14ac:dyDescent="0.25">
      <c r="A245" s="3">
        <v>36995100272</v>
      </c>
      <c r="B245" s="3" t="s">
        <v>299</v>
      </c>
      <c r="C245" s="3" t="s">
        <v>12</v>
      </c>
      <c r="D245" s="3" t="s">
        <v>240</v>
      </c>
      <c r="E245" s="3">
        <v>9</v>
      </c>
      <c r="F245" s="3" t="s">
        <v>166</v>
      </c>
      <c r="G245" s="4" t="str">
        <f t="shared" si="12"/>
        <v>00272</v>
      </c>
      <c r="H245" t="str">
        <f t="shared" si="13"/>
        <v>Yusuf Emir KURNAZ</v>
      </c>
      <c r="I245" t="str">
        <f t="shared" si="14"/>
        <v>9F Otomotiv Elektromekanik</v>
      </c>
      <c r="J245" t="str">
        <f t="shared" si="15"/>
        <v xml:space="preserve">9F </v>
      </c>
    </row>
    <row r="246" spans="1:10" x14ac:dyDescent="0.25">
      <c r="A246" s="3">
        <v>27653262340</v>
      </c>
      <c r="B246" s="3" t="s">
        <v>300</v>
      </c>
      <c r="C246" s="3" t="s">
        <v>12</v>
      </c>
      <c r="D246" s="3" t="s">
        <v>240</v>
      </c>
      <c r="E246" s="3">
        <v>9</v>
      </c>
      <c r="F246" s="3" t="s">
        <v>164</v>
      </c>
      <c r="G246" s="4" t="str">
        <f t="shared" si="12"/>
        <v>62340</v>
      </c>
      <c r="H246" t="str">
        <f t="shared" si="13"/>
        <v>Yusuf GÖK</v>
      </c>
      <c r="I246" t="str">
        <f t="shared" si="14"/>
        <v>9C Otomotiv Elektromekanik</v>
      </c>
      <c r="J246" t="str">
        <f t="shared" si="15"/>
        <v xml:space="preserve">9C </v>
      </c>
    </row>
    <row r="247" spans="1:10" x14ac:dyDescent="0.25">
      <c r="A247" s="3">
        <v>34220043288</v>
      </c>
      <c r="B247" s="3" t="s">
        <v>301</v>
      </c>
      <c r="C247" s="3" t="s">
        <v>12</v>
      </c>
      <c r="D247" s="3" t="s">
        <v>240</v>
      </c>
      <c r="E247" s="3">
        <v>9</v>
      </c>
      <c r="F247" s="3" t="s">
        <v>58</v>
      </c>
      <c r="G247" s="4" t="str">
        <f t="shared" si="12"/>
        <v>43288</v>
      </c>
      <c r="H247" t="str">
        <f t="shared" si="13"/>
        <v>Zeki KARAKELLE</v>
      </c>
      <c r="I247" t="str">
        <f t="shared" si="14"/>
        <v>9B Otomotiv Elektromekanik</v>
      </c>
      <c r="J247" t="str">
        <f t="shared" si="15"/>
        <v xml:space="preserve">9B </v>
      </c>
    </row>
    <row r="248" spans="1:10" x14ac:dyDescent="0.25">
      <c r="A248" s="3">
        <v>66907321464</v>
      </c>
      <c r="B248" s="3" t="s">
        <v>302</v>
      </c>
      <c r="C248" s="3" t="s">
        <v>12</v>
      </c>
      <c r="D248" s="3" t="s">
        <v>240</v>
      </c>
      <c r="E248" s="3">
        <v>9</v>
      </c>
      <c r="F248" s="3" t="s">
        <v>58</v>
      </c>
      <c r="G248" s="4" t="str">
        <f t="shared" si="12"/>
        <v>21464</v>
      </c>
      <c r="H248" t="str">
        <f t="shared" si="13"/>
        <v>Zeynel Tibet YOLCU</v>
      </c>
      <c r="I248" t="str">
        <f t="shared" si="14"/>
        <v>9B Otomotiv Elektromekanik</v>
      </c>
      <c r="J248" t="str">
        <f t="shared" si="15"/>
        <v xml:space="preserve">9B </v>
      </c>
    </row>
    <row r="249" spans="1:10" x14ac:dyDescent="0.25">
      <c r="A249" s="3">
        <v>18968551250</v>
      </c>
      <c r="B249" s="3" t="s">
        <v>303</v>
      </c>
      <c r="C249" s="3" t="s">
        <v>12</v>
      </c>
      <c r="D249" s="3" t="s">
        <v>304</v>
      </c>
      <c r="E249" s="3">
        <v>9</v>
      </c>
      <c r="F249" s="3" t="s">
        <v>164</v>
      </c>
      <c r="G249" s="4" t="str">
        <f t="shared" si="12"/>
        <v>51250</v>
      </c>
      <c r="H249" t="str">
        <f t="shared" si="13"/>
        <v>Arda Kaan KURTULUŞ</v>
      </c>
      <c r="I249" t="str">
        <f t="shared" si="14"/>
        <v>9C Otomotiv Gövde</v>
      </c>
      <c r="J249" t="str">
        <f t="shared" si="15"/>
        <v xml:space="preserve">9C </v>
      </c>
    </row>
    <row r="250" spans="1:10" x14ac:dyDescent="0.25">
      <c r="A250" s="3">
        <v>47356324688</v>
      </c>
      <c r="B250" s="3" t="s">
        <v>305</v>
      </c>
      <c r="C250" s="3" t="s">
        <v>12</v>
      </c>
      <c r="D250" s="3" t="s">
        <v>304</v>
      </c>
      <c r="E250" s="3">
        <v>9</v>
      </c>
      <c r="F250" s="3" t="s">
        <v>166</v>
      </c>
      <c r="G250" s="4" t="str">
        <f t="shared" si="12"/>
        <v>24688</v>
      </c>
      <c r="H250" t="str">
        <f t="shared" si="13"/>
        <v>Aziz Berzan OGUR</v>
      </c>
      <c r="I250" t="str">
        <f t="shared" si="14"/>
        <v>9F Otomotiv Gövde</v>
      </c>
      <c r="J250" t="str">
        <f t="shared" si="15"/>
        <v xml:space="preserve">9F </v>
      </c>
    </row>
    <row r="251" spans="1:10" x14ac:dyDescent="0.25">
      <c r="A251" s="3">
        <v>19400536996</v>
      </c>
      <c r="B251" s="3" t="s">
        <v>306</v>
      </c>
      <c r="C251" s="3" t="s">
        <v>12</v>
      </c>
      <c r="D251" s="3" t="s">
        <v>304</v>
      </c>
      <c r="E251" s="3">
        <v>9</v>
      </c>
      <c r="F251" s="3" t="s">
        <v>166</v>
      </c>
      <c r="G251" s="4" t="str">
        <f t="shared" si="12"/>
        <v>36996</v>
      </c>
      <c r="H251" t="str">
        <f t="shared" si="13"/>
        <v>Çınar GÜLLER</v>
      </c>
      <c r="I251" t="str">
        <f t="shared" si="14"/>
        <v>9F Otomotiv Gövde</v>
      </c>
      <c r="J251" t="str">
        <f t="shared" si="15"/>
        <v xml:space="preserve">9F </v>
      </c>
    </row>
    <row r="252" spans="1:10" x14ac:dyDescent="0.25">
      <c r="A252" s="3">
        <v>39970851800</v>
      </c>
      <c r="B252" s="3" t="s">
        <v>307</v>
      </c>
      <c r="C252" s="3" t="s">
        <v>12</v>
      </c>
      <c r="D252" s="3" t="s">
        <v>304</v>
      </c>
      <c r="E252" s="3">
        <v>9</v>
      </c>
      <c r="F252" s="3" t="s">
        <v>166</v>
      </c>
      <c r="G252" s="4" t="str">
        <f t="shared" si="12"/>
        <v>51800</v>
      </c>
      <c r="H252" t="str">
        <f t="shared" si="13"/>
        <v>Eren KARA</v>
      </c>
      <c r="I252" t="str">
        <f t="shared" si="14"/>
        <v>9F Otomotiv Gövde</v>
      </c>
      <c r="J252" t="str">
        <f t="shared" si="15"/>
        <v xml:space="preserve">9F </v>
      </c>
    </row>
    <row r="253" spans="1:10" x14ac:dyDescent="0.25">
      <c r="A253" s="3">
        <v>51754458616</v>
      </c>
      <c r="B253" s="3" t="s">
        <v>308</v>
      </c>
      <c r="C253" s="3" t="s">
        <v>12</v>
      </c>
      <c r="D253" s="3" t="s">
        <v>304</v>
      </c>
      <c r="E253" s="3">
        <v>9</v>
      </c>
      <c r="F253" s="3" t="s">
        <v>166</v>
      </c>
      <c r="G253" s="4" t="str">
        <f t="shared" si="12"/>
        <v>58616</v>
      </c>
      <c r="H253" t="str">
        <f t="shared" si="13"/>
        <v>Muhammet Ali AYDIN</v>
      </c>
      <c r="I253" t="str">
        <f t="shared" si="14"/>
        <v>9F Otomotiv Gövde</v>
      </c>
      <c r="J253" t="str">
        <f t="shared" si="15"/>
        <v xml:space="preserve">9F </v>
      </c>
    </row>
    <row r="254" spans="1:10" x14ac:dyDescent="0.25">
      <c r="A254" s="3">
        <v>47401604208</v>
      </c>
      <c r="B254" s="3" t="s">
        <v>309</v>
      </c>
      <c r="C254" s="3" t="s">
        <v>12</v>
      </c>
      <c r="D254" s="3" t="s">
        <v>304</v>
      </c>
      <c r="E254" s="3">
        <v>9</v>
      </c>
      <c r="F254" s="3" t="s">
        <v>166</v>
      </c>
      <c r="G254" s="4" t="str">
        <f t="shared" si="12"/>
        <v>04208</v>
      </c>
      <c r="H254" t="str">
        <f t="shared" si="13"/>
        <v>Salih ORAL</v>
      </c>
      <c r="I254" t="str">
        <f t="shared" si="14"/>
        <v>9F Otomotiv Gövde</v>
      </c>
      <c r="J254" t="str">
        <f t="shared" si="15"/>
        <v xml:space="preserve">9F </v>
      </c>
    </row>
    <row r="255" spans="1:10" x14ac:dyDescent="0.25">
      <c r="A255" s="3">
        <v>18230575786</v>
      </c>
      <c r="B255" s="3" t="s">
        <v>310</v>
      </c>
      <c r="C255" s="3" t="s">
        <v>12</v>
      </c>
      <c r="D255" s="3" t="s">
        <v>304</v>
      </c>
      <c r="E255" s="3">
        <v>9</v>
      </c>
      <c r="F255" s="3" t="s">
        <v>166</v>
      </c>
      <c r="G255" s="4" t="str">
        <f t="shared" si="12"/>
        <v>75786</v>
      </c>
      <c r="H255" t="str">
        <f t="shared" si="13"/>
        <v>Sertaç Emir GÜVEN</v>
      </c>
      <c r="I255" t="str">
        <f t="shared" si="14"/>
        <v>9F Otomotiv Gövde</v>
      </c>
      <c r="J255" t="str">
        <f t="shared" si="15"/>
        <v xml:space="preserve">9F </v>
      </c>
    </row>
    <row r="256" spans="1:10" x14ac:dyDescent="0.25">
      <c r="A256" s="3">
        <v>56503300338</v>
      </c>
      <c r="B256" s="3" t="s">
        <v>311</v>
      </c>
      <c r="C256" s="3" t="s">
        <v>12</v>
      </c>
      <c r="D256" s="3" t="s">
        <v>304</v>
      </c>
      <c r="E256" s="3">
        <v>9</v>
      </c>
      <c r="F256" s="3" t="s">
        <v>166</v>
      </c>
      <c r="G256" s="4" t="str">
        <f t="shared" si="12"/>
        <v>00338</v>
      </c>
      <c r="H256" t="str">
        <f t="shared" si="13"/>
        <v>Yağız Efe DEMİRCİ</v>
      </c>
      <c r="I256" t="str">
        <f t="shared" si="14"/>
        <v>9F Otomotiv Gövde</v>
      </c>
      <c r="J256" t="str">
        <f t="shared" si="15"/>
        <v xml:space="preserve">9F </v>
      </c>
    </row>
    <row r="257" spans="1:10" x14ac:dyDescent="0.25">
      <c r="A257" s="3">
        <v>35030386176</v>
      </c>
      <c r="B257" s="3" t="s">
        <v>312</v>
      </c>
      <c r="C257" s="3" t="s">
        <v>12</v>
      </c>
      <c r="D257" s="3" t="s">
        <v>304</v>
      </c>
      <c r="E257" s="3">
        <v>9</v>
      </c>
      <c r="F257" s="3" t="s">
        <v>164</v>
      </c>
      <c r="G257" s="4" t="str">
        <f t="shared" si="12"/>
        <v>86176</v>
      </c>
      <c r="H257" t="str">
        <f t="shared" si="13"/>
        <v>Yunus Emre KAYA</v>
      </c>
      <c r="I257" t="str">
        <f t="shared" si="14"/>
        <v>9C Otomotiv Gövde</v>
      </c>
      <c r="J257" t="str">
        <f t="shared" si="15"/>
        <v xml:space="preserve">9C </v>
      </c>
    </row>
    <row r="258" spans="1:10" x14ac:dyDescent="0.25">
      <c r="A258" s="3">
        <v>25433335536</v>
      </c>
      <c r="B258" s="3" t="s">
        <v>313</v>
      </c>
      <c r="C258" s="3" t="s">
        <v>12</v>
      </c>
      <c r="D258" s="3" t="s">
        <v>314</v>
      </c>
      <c r="E258" s="3">
        <v>9</v>
      </c>
      <c r="F258" s="3" t="s">
        <v>166</v>
      </c>
      <c r="G258" s="4" t="str">
        <f t="shared" si="12"/>
        <v>35536</v>
      </c>
      <c r="H258" t="str">
        <f t="shared" si="13"/>
        <v>Adem AKBABA</v>
      </c>
      <c r="I258" t="str">
        <f t="shared" si="14"/>
        <v>9F Otomotiv Mekanikerliği</v>
      </c>
      <c r="J258" t="str">
        <f t="shared" si="15"/>
        <v xml:space="preserve">9F </v>
      </c>
    </row>
    <row r="259" spans="1:10" x14ac:dyDescent="0.25">
      <c r="A259" s="3">
        <v>30206176858</v>
      </c>
      <c r="B259" s="3" t="s">
        <v>315</v>
      </c>
      <c r="C259" s="3" t="s">
        <v>12</v>
      </c>
      <c r="D259" s="3" t="s">
        <v>314</v>
      </c>
      <c r="E259" s="3">
        <v>9</v>
      </c>
      <c r="F259" s="3" t="s">
        <v>164</v>
      </c>
      <c r="G259" s="4" t="str">
        <f t="shared" si="12"/>
        <v>76858</v>
      </c>
      <c r="H259" t="str">
        <f t="shared" si="13"/>
        <v>Berkay ÇÜRÜKOĞLU</v>
      </c>
      <c r="I259" t="str">
        <f t="shared" si="14"/>
        <v>9C Otomotiv Mekanikerliği</v>
      </c>
      <c r="J259" t="str">
        <f t="shared" si="15"/>
        <v xml:space="preserve">9C </v>
      </c>
    </row>
    <row r="260" spans="1:10" x14ac:dyDescent="0.25">
      <c r="A260" s="3">
        <v>49945518768</v>
      </c>
      <c r="B260" s="3" t="s">
        <v>316</v>
      </c>
      <c r="C260" s="3" t="s">
        <v>12</v>
      </c>
      <c r="D260" s="3" t="s">
        <v>314</v>
      </c>
      <c r="E260" s="3">
        <v>9</v>
      </c>
      <c r="F260" s="3" t="s">
        <v>164</v>
      </c>
      <c r="G260" s="4" t="str">
        <f t="shared" si="12"/>
        <v>18768</v>
      </c>
      <c r="H260" t="str">
        <f t="shared" si="13"/>
        <v>Burak YILDIZ</v>
      </c>
      <c r="I260" t="str">
        <f t="shared" si="14"/>
        <v>9C Otomotiv Mekanikerliği</v>
      </c>
      <c r="J260" t="str">
        <f t="shared" si="15"/>
        <v xml:space="preserve">9C </v>
      </c>
    </row>
    <row r="261" spans="1:10" x14ac:dyDescent="0.25">
      <c r="A261" s="3">
        <v>32411103476</v>
      </c>
      <c r="B261" s="3" t="s">
        <v>317</v>
      </c>
      <c r="C261" s="3" t="s">
        <v>12</v>
      </c>
      <c r="D261" s="3" t="s">
        <v>314</v>
      </c>
      <c r="E261" s="3">
        <v>9</v>
      </c>
      <c r="F261" s="3" t="s">
        <v>166</v>
      </c>
      <c r="G261" s="4" t="str">
        <f t="shared" ref="G261:G324" si="16">RIGHT(A261,5)</f>
        <v>03476</v>
      </c>
      <c r="H261" t="str">
        <f t="shared" ref="H261:H324" si="17">B261</f>
        <v>Bünyamin Talha ÖRSEL</v>
      </c>
      <c r="I261" t="str">
        <f t="shared" ref="I261:I324" si="18">CONCATENATE(E261,F261," ",D261)</f>
        <v>9F Otomotiv Mekanikerliği</v>
      </c>
      <c r="J261" t="str">
        <f t="shared" ref="J261:J324" si="19">LEFT(I261,3)</f>
        <v xml:space="preserve">9F </v>
      </c>
    </row>
    <row r="262" spans="1:10" x14ac:dyDescent="0.25">
      <c r="A262" s="3">
        <v>19391537378</v>
      </c>
      <c r="B262" s="3" t="s">
        <v>318</v>
      </c>
      <c r="C262" s="3" t="s">
        <v>12</v>
      </c>
      <c r="D262" s="3" t="s">
        <v>314</v>
      </c>
      <c r="E262" s="3">
        <v>9</v>
      </c>
      <c r="F262" s="3" t="s">
        <v>164</v>
      </c>
      <c r="G262" s="4" t="str">
        <f t="shared" si="16"/>
        <v>37378</v>
      </c>
      <c r="H262" t="str">
        <f t="shared" si="17"/>
        <v>Canberk KAVAK</v>
      </c>
      <c r="I262" t="str">
        <f t="shared" si="18"/>
        <v>9C Otomotiv Mekanikerliği</v>
      </c>
      <c r="J262" t="str">
        <f t="shared" si="19"/>
        <v xml:space="preserve">9C </v>
      </c>
    </row>
    <row r="263" spans="1:10" x14ac:dyDescent="0.25">
      <c r="A263" s="3">
        <v>37474934494</v>
      </c>
      <c r="B263" s="3" t="s">
        <v>319</v>
      </c>
      <c r="C263" s="3" t="s">
        <v>12</v>
      </c>
      <c r="D263" s="3" t="s">
        <v>314</v>
      </c>
      <c r="E263" s="3">
        <v>9</v>
      </c>
      <c r="F263" s="3" t="s">
        <v>58</v>
      </c>
      <c r="G263" s="4" t="str">
        <f t="shared" si="16"/>
        <v>34494</v>
      </c>
      <c r="H263" t="str">
        <f t="shared" si="17"/>
        <v>Devran BEKDAŞ</v>
      </c>
      <c r="I263" t="str">
        <f t="shared" si="18"/>
        <v>9B Otomotiv Mekanikerliği</v>
      </c>
      <c r="J263" t="str">
        <f t="shared" si="19"/>
        <v xml:space="preserve">9B </v>
      </c>
    </row>
    <row r="264" spans="1:10" x14ac:dyDescent="0.25">
      <c r="A264" s="3">
        <v>60925152482</v>
      </c>
      <c r="B264" s="3" t="s">
        <v>320</v>
      </c>
      <c r="C264" s="3" t="s">
        <v>12</v>
      </c>
      <c r="D264" s="3" t="s">
        <v>314</v>
      </c>
      <c r="E264" s="3">
        <v>9</v>
      </c>
      <c r="F264" s="3" t="s">
        <v>166</v>
      </c>
      <c r="G264" s="4" t="str">
        <f t="shared" si="16"/>
        <v>52482</v>
      </c>
      <c r="H264" t="str">
        <f t="shared" si="17"/>
        <v>Doruk BAKRAÇ</v>
      </c>
      <c r="I264" t="str">
        <f t="shared" si="18"/>
        <v>9F Otomotiv Mekanikerliği</v>
      </c>
      <c r="J264" t="str">
        <f t="shared" si="19"/>
        <v xml:space="preserve">9F </v>
      </c>
    </row>
    <row r="265" spans="1:10" x14ac:dyDescent="0.25">
      <c r="A265" s="3">
        <v>51955451454</v>
      </c>
      <c r="B265" s="3" t="s">
        <v>321</v>
      </c>
      <c r="C265" s="3" t="s">
        <v>12</v>
      </c>
      <c r="D265" s="3" t="s">
        <v>314</v>
      </c>
      <c r="E265" s="3">
        <v>9</v>
      </c>
      <c r="F265" s="3" t="s">
        <v>58</v>
      </c>
      <c r="G265" s="4" t="str">
        <f t="shared" si="16"/>
        <v>51454</v>
      </c>
      <c r="H265" t="str">
        <f t="shared" si="17"/>
        <v>Doruk KAYNA</v>
      </c>
      <c r="I265" t="str">
        <f t="shared" si="18"/>
        <v>9B Otomotiv Mekanikerliği</v>
      </c>
      <c r="J265" t="str">
        <f t="shared" si="19"/>
        <v xml:space="preserve">9B </v>
      </c>
    </row>
    <row r="266" spans="1:10" x14ac:dyDescent="0.25">
      <c r="A266" s="3">
        <v>52342806932</v>
      </c>
      <c r="B266" s="3" t="s">
        <v>322</v>
      </c>
      <c r="C266" s="3" t="s">
        <v>12</v>
      </c>
      <c r="D266" s="3" t="s">
        <v>314</v>
      </c>
      <c r="E266" s="3">
        <v>9</v>
      </c>
      <c r="F266" s="3" t="s">
        <v>164</v>
      </c>
      <c r="G266" s="4" t="str">
        <f t="shared" si="16"/>
        <v>06932</v>
      </c>
      <c r="H266" t="str">
        <f t="shared" si="17"/>
        <v>Emirhan OCAK</v>
      </c>
      <c r="I266" t="str">
        <f t="shared" si="18"/>
        <v>9C Otomotiv Mekanikerliği</v>
      </c>
      <c r="J266" t="str">
        <f t="shared" si="19"/>
        <v xml:space="preserve">9C </v>
      </c>
    </row>
    <row r="267" spans="1:10" x14ac:dyDescent="0.25">
      <c r="A267" s="3">
        <v>15865702846</v>
      </c>
      <c r="B267" s="3" t="s">
        <v>323</v>
      </c>
      <c r="C267" s="3" t="s">
        <v>12</v>
      </c>
      <c r="D267" s="3" t="s">
        <v>314</v>
      </c>
      <c r="E267" s="3">
        <v>9</v>
      </c>
      <c r="F267" s="3" t="s">
        <v>58</v>
      </c>
      <c r="G267" s="4" t="str">
        <f t="shared" si="16"/>
        <v>02846</v>
      </c>
      <c r="H267" t="str">
        <f t="shared" si="17"/>
        <v>Enes İLHAN</v>
      </c>
      <c r="I267" t="str">
        <f t="shared" si="18"/>
        <v>9B Otomotiv Mekanikerliği</v>
      </c>
      <c r="J267" t="str">
        <f t="shared" si="19"/>
        <v xml:space="preserve">9B </v>
      </c>
    </row>
    <row r="268" spans="1:10" x14ac:dyDescent="0.25">
      <c r="A268" s="3">
        <v>22850417098</v>
      </c>
      <c r="B268" s="3" t="s">
        <v>324</v>
      </c>
      <c r="C268" s="3" t="s">
        <v>12</v>
      </c>
      <c r="D268" s="3" t="s">
        <v>314</v>
      </c>
      <c r="E268" s="3">
        <v>9</v>
      </c>
      <c r="F268" s="3" t="s">
        <v>58</v>
      </c>
      <c r="G268" s="4" t="str">
        <f t="shared" si="16"/>
        <v>17098</v>
      </c>
      <c r="H268" t="str">
        <f t="shared" si="17"/>
        <v>Ferhat KOYUN</v>
      </c>
      <c r="I268" t="str">
        <f t="shared" si="18"/>
        <v>9B Otomotiv Mekanikerliği</v>
      </c>
      <c r="J268" t="str">
        <f t="shared" si="19"/>
        <v xml:space="preserve">9B </v>
      </c>
    </row>
    <row r="269" spans="1:10" x14ac:dyDescent="0.25">
      <c r="A269" s="3">
        <v>53071195168</v>
      </c>
      <c r="B269" s="3" t="s">
        <v>325</v>
      </c>
      <c r="C269" s="3" t="s">
        <v>12</v>
      </c>
      <c r="D269" s="3" t="s">
        <v>314</v>
      </c>
      <c r="E269" s="3">
        <v>9</v>
      </c>
      <c r="F269" s="3" t="s">
        <v>164</v>
      </c>
      <c r="G269" s="4" t="str">
        <f t="shared" si="16"/>
        <v>95168</v>
      </c>
      <c r="H269" t="str">
        <f t="shared" si="17"/>
        <v>Fırat DOĞAN</v>
      </c>
      <c r="I269" t="str">
        <f t="shared" si="18"/>
        <v>9C Otomotiv Mekanikerliği</v>
      </c>
      <c r="J269" t="str">
        <f t="shared" si="19"/>
        <v xml:space="preserve">9C </v>
      </c>
    </row>
    <row r="270" spans="1:10" x14ac:dyDescent="0.25">
      <c r="A270" s="3">
        <v>25916320110</v>
      </c>
      <c r="B270" s="3" t="s">
        <v>326</v>
      </c>
      <c r="C270" s="3" t="s">
        <v>12</v>
      </c>
      <c r="D270" s="3" t="s">
        <v>314</v>
      </c>
      <c r="E270" s="3">
        <v>9</v>
      </c>
      <c r="F270" s="3" t="s">
        <v>58</v>
      </c>
      <c r="G270" s="4" t="str">
        <f t="shared" si="16"/>
        <v>20110</v>
      </c>
      <c r="H270" t="str">
        <f t="shared" si="17"/>
        <v>Göktürk KAHRAMAN</v>
      </c>
      <c r="I270" t="str">
        <f t="shared" si="18"/>
        <v>9B Otomotiv Mekanikerliği</v>
      </c>
      <c r="J270" t="str">
        <f t="shared" si="19"/>
        <v xml:space="preserve">9B </v>
      </c>
    </row>
    <row r="271" spans="1:10" x14ac:dyDescent="0.25">
      <c r="A271" s="3">
        <v>54448738902</v>
      </c>
      <c r="B271" s="3" t="s">
        <v>327</v>
      </c>
      <c r="C271" s="3" t="s">
        <v>12</v>
      </c>
      <c r="D271" s="3" t="s">
        <v>314</v>
      </c>
      <c r="E271" s="3">
        <v>9</v>
      </c>
      <c r="F271" s="3" t="s">
        <v>164</v>
      </c>
      <c r="G271" s="4" t="str">
        <f t="shared" si="16"/>
        <v>38902</v>
      </c>
      <c r="H271" t="str">
        <f t="shared" si="17"/>
        <v>Hamza GÜNEY</v>
      </c>
      <c r="I271" t="str">
        <f t="shared" si="18"/>
        <v>9C Otomotiv Mekanikerliği</v>
      </c>
      <c r="J271" t="str">
        <f t="shared" si="19"/>
        <v xml:space="preserve">9C </v>
      </c>
    </row>
    <row r="272" spans="1:10" x14ac:dyDescent="0.25">
      <c r="A272" s="3">
        <v>17228609274</v>
      </c>
      <c r="B272" s="3" t="s">
        <v>328</v>
      </c>
      <c r="C272" s="3" t="s">
        <v>12</v>
      </c>
      <c r="D272" s="3" t="s">
        <v>314</v>
      </c>
      <c r="E272" s="3">
        <v>9</v>
      </c>
      <c r="F272" s="3" t="s">
        <v>58</v>
      </c>
      <c r="G272" s="4" t="str">
        <f t="shared" si="16"/>
        <v>09274</v>
      </c>
      <c r="H272" t="str">
        <f t="shared" si="17"/>
        <v>Hüseyin Efe AKINCI</v>
      </c>
      <c r="I272" t="str">
        <f t="shared" si="18"/>
        <v>9B Otomotiv Mekanikerliği</v>
      </c>
      <c r="J272" t="str">
        <f t="shared" si="19"/>
        <v xml:space="preserve">9B </v>
      </c>
    </row>
    <row r="273" spans="1:10" x14ac:dyDescent="0.25">
      <c r="A273" s="3">
        <v>29041623894</v>
      </c>
      <c r="B273" s="3" t="s">
        <v>329</v>
      </c>
      <c r="C273" s="3" t="s">
        <v>12</v>
      </c>
      <c r="D273" s="3" t="s">
        <v>314</v>
      </c>
      <c r="E273" s="3">
        <v>9</v>
      </c>
      <c r="F273" s="3" t="s">
        <v>58</v>
      </c>
      <c r="G273" s="4" t="str">
        <f t="shared" si="16"/>
        <v>23894</v>
      </c>
      <c r="H273" t="str">
        <f t="shared" si="17"/>
        <v>Kenan EGE</v>
      </c>
      <c r="I273" t="str">
        <f t="shared" si="18"/>
        <v>9B Otomotiv Mekanikerliği</v>
      </c>
      <c r="J273" t="str">
        <f t="shared" si="19"/>
        <v xml:space="preserve">9B </v>
      </c>
    </row>
    <row r="274" spans="1:10" x14ac:dyDescent="0.25">
      <c r="A274" s="3">
        <v>42850473542</v>
      </c>
      <c r="B274" s="3" t="s">
        <v>330</v>
      </c>
      <c r="C274" s="3" t="s">
        <v>12</v>
      </c>
      <c r="D274" s="3" t="s">
        <v>314</v>
      </c>
      <c r="E274" s="3">
        <v>9</v>
      </c>
      <c r="F274" s="3" t="s">
        <v>166</v>
      </c>
      <c r="G274" s="4" t="str">
        <f t="shared" si="16"/>
        <v>73542</v>
      </c>
      <c r="H274" t="str">
        <f t="shared" si="17"/>
        <v>Kerem Efe KARAGÖZ</v>
      </c>
      <c r="I274" t="str">
        <f t="shared" si="18"/>
        <v>9F Otomotiv Mekanikerliği</v>
      </c>
      <c r="J274" t="str">
        <f t="shared" si="19"/>
        <v xml:space="preserve">9F </v>
      </c>
    </row>
    <row r="275" spans="1:10" x14ac:dyDescent="0.25">
      <c r="A275" s="3">
        <v>39482238380</v>
      </c>
      <c r="B275" s="3" t="s">
        <v>331</v>
      </c>
      <c r="C275" s="3" t="s">
        <v>12</v>
      </c>
      <c r="D275" s="3" t="s">
        <v>314</v>
      </c>
      <c r="E275" s="3">
        <v>9</v>
      </c>
      <c r="F275" s="3" t="s">
        <v>166</v>
      </c>
      <c r="G275" s="4" t="str">
        <f t="shared" si="16"/>
        <v>38380</v>
      </c>
      <c r="H275" t="str">
        <f t="shared" si="17"/>
        <v>Kuzey Can ERKILIÇ</v>
      </c>
      <c r="I275" t="str">
        <f t="shared" si="18"/>
        <v>9F Otomotiv Mekanikerliği</v>
      </c>
      <c r="J275" t="str">
        <f t="shared" si="19"/>
        <v xml:space="preserve">9F </v>
      </c>
    </row>
    <row r="276" spans="1:10" x14ac:dyDescent="0.25">
      <c r="A276" s="3">
        <v>17876588280</v>
      </c>
      <c r="B276" s="3" t="s">
        <v>332</v>
      </c>
      <c r="C276" s="3" t="s">
        <v>12</v>
      </c>
      <c r="D276" s="3" t="s">
        <v>314</v>
      </c>
      <c r="E276" s="3">
        <v>9</v>
      </c>
      <c r="F276" s="3" t="s">
        <v>164</v>
      </c>
      <c r="G276" s="4" t="str">
        <f t="shared" si="16"/>
        <v>88280</v>
      </c>
      <c r="H276" t="str">
        <f t="shared" si="17"/>
        <v>Mehmet Reya DENİZ</v>
      </c>
      <c r="I276" t="str">
        <f t="shared" si="18"/>
        <v>9C Otomotiv Mekanikerliği</v>
      </c>
      <c r="J276" t="str">
        <f t="shared" si="19"/>
        <v xml:space="preserve">9C </v>
      </c>
    </row>
    <row r="277" spans="1:10" x14ac:dyDescent="0.25">
      <c r="A277" s="3">
        <v>46171644216</v>
      </c>
      <c r="B277" s="3" t="s">
        <v>333</v>
      </c>
      <c r="C277" s="3" t="s">
        <v>12</v>
      </c>
      <c r="D277" s="3" t="s">
        <v>314</v>
      </c>
      <c r="E277" s="3">
        <v>9</v>
      </c>
      <c r="F277" s="3" t="s">
        <v>164</v>
      </c>
      <c r="G277" s="4" t="str">
        <f t="shared" si="16"/>
        <v>44216</v>
      </c>
      <c r="H277" t="str">
        <f t="shared" si="17"/>
        <v>Mert KADIOĞLU</v>
      </c>
      <c r="I277" t="str">
        <f t="shared" si="18"/>
        <v>9C Otomotiv Mekanikerliği</v>
      </c>
      <c r="J277" t="str">
        <f t="shared" si="19"/>
        <v xml:space="preserve">9C </v>
      </c>
    </row>
    <row r="278" spans="1:10" x14ac:dyDescent="0.25">
      <c r="A278" s="3">
        <v>19364321324</v>
      </c>
      <c r="B278" s="3" t="s">
        <v>334</v>
      </c>
      <c r="C278" s="3" t="s">
        <v>12</v>
      </c>
      <c r="D278" s="3" t="s">
        <v>314</v>
      </c>
      <c r="E278" s="3">
        <v>9</v>
      </c>
      <c r="F278" s="3" t="s">
        <v>166</v>
      </c>
      <c r="G278" s="4" t="str">
        <f t="shared" si="16"/>
        <v>21324</v>
      </c>
      <c r="H278" t="str">
        <f t="shared" si="17"/>
        <v>Mustafa Berk GENÇOĞLU</v>
      </c>
      <c r="I278" t="str">
        <f t="shared" si="18"/>
        <v>9F Otomotiv Mekanikerliği</v>
      </c>
      <c r="J278" t="str">
        <f t="shared" si="19"/>
        <v xml:space="preserve">9F </v>
      </c>
    </row>
    <row r="279" spans="1:10" x14ac:dyDescent="0.25">
      <c r="A279" s="3">
        <v>13406796972</v>
      </c>
      <c r="B279" s="3" t="s">
        <v>335</v>
      </c>
      <c r="C279" s="3" t="s">
        <v>12</v>
      </c>
      <c r="D279" s="3" t="s">
        <v>314</v>
      </c>
      <c r="E279" s="3">
        <v>9</v>
      </c>
      <c r="F279" s="2"/>
      <c r="G279" s="4" t="str">
        <f t="shared" si="16"/>
        <v>96972</v>
      </c>
      <c r="H279" t="str">
        <f t="shared" si="17"/>
        <v>Özgür ÖZKARAMAN</v>
      </c>
      <c r="I279" t="str">
        <f t="shared" si="18"/>
        <v>9 Otomotiv Mekanikerliği</v>
      </c>
      <c r="J279" t="str">
        <f t="shared" si="19"/>
        <v>9 O</v>
      </c>
    </row>
    <row r="280" spans="1:10" x14ac:dyDescent="0.25">
      <c r="A280" s="3">
        <v>16457634804</v>
      </c>
      <c r="B280" s="3" t="s">
        <v>336</v>
      </c>
      <c r="C280" s="3" t="s">
        <v>12</v>
      </c>
      <c r="D280" s="3" t="s">
        <v>314</v>
      </c>
      <c r="E280" s="3">
        <v>9</v>
      </c>
      <c r="F280" s="3" t="s">
        <v>58</v>
      </c>
      <c r="G280" s="4" t="str">
        <f t="shared" si="16"/>
        <v>34804</v>
      </c>
      <c r="H280" t="str">
        <f t="shared" si="17"/>
        <v>Semih GÖBEKLİ</v>
      </c>
      <c r="I280" t="str">
        <f t="shared" si="18"/>
        <v>9B Otomotiv Mekanikerliği</v>
      </c>
      <c r="J280" t="str">
        <f t="shared" si="19"/>
        <v xml:space="preserve">9B </v>
      </c>
    </row>
    <row r="281" spans="1:10" x14ac:dyDescent="0.25">
      <c r="A281" s="3">
        <v>16325183458</v>
      </c>
      <c r="B281" s="3" t="s">
        <v>337</v>
      </c>
      <c r="C281" s="3" t="s">
        <v>12</v>
      </c>
      <c r="D281" s="3" t="s">
        <v>314</v>
      </c>
      <c r="E281" s="3">
        <v>9</v>
      </c>
      <c r="F281" s="3" t="s">
        <v>58</v>
      </c>
      <c r="G281" s="4" t="str">
        <f t="shared" si="16"/>
        <v>83458</v>
      </c>
      <c r="H281" t="str">
        <f t="shared" si="17"/>
        <v>Taha TOZUN</v>
      </c>
      <c r="I281" t="str">
        <f t="shared" si="18"/>
        <v>9B Otomotiv Mekanikerliği</v>
      </c>
      <c r="J281" t="str">
        <f t="shared" si="19"/>
        <v xml:space="preserve">9B </v>
      </c>
    </row>
    <row r="282" spans="1:10" x14ac:dyDescent="0.25">
      <c r="A282" s="3">
        <v>36023117654</v>
      </c>
      <c r="B282" s="3" t="s">
        <v>338</v>
      </c>
      <c r="C282" s="3" t="s">
        <v>12</v>
      </c>
      <c r="D282" s="3" t="s">
        <v>314</v>
      </c>
      <c r="E282" s="3">
        <v>9</v>
      </c>
      <c r="F282" s="3" t="s">
        <v>164</v>
      </c>
      <c r="G282" s="4" t="str">
        <f t="shared" si="16"/>
        <v>17654</v>
      </c>
      <c r="H282" t="str">
        <f t="shared" si="17"/>
        <v>Yakup KAÇAR</v>
      </c>
      <c r="I282" t="str">
        <f t="shared" si="18"/>
        <v>9C Otomotiv Mekanikerliği</v>
      </c>
      <c r="J282" t="str">
        <f t="shared" si="19"/>
        <v xml:space="preserve">9C </v>
      </c>
    </row>
    <row r="283" spans="1:10" x14ac:dyDescent="0.25">
      <c r="A283" s="3">
        <v>56323306626</v>
      </c>
      <c r="B283" s="3" t="s">
        <v>339</v>
      </c>
      <c r="C283" s="3" t="s">
        <v>12</v>
      </c>
      <c r="D283" s="3" t="s">
        <v>314</v>
      </c>
      <c r="E283" s="3">
        <v>9</v>
      </c>
      <c r="F283" s="3" t="s">
        <v>58</v>
      </c>
      <c r="G283" s="4" t="str">
        <f t="shared" si="16"/>
        <v>06626</v>
      </c>
      <c r="H283" t="str">
        <f t="shared" si="17"/>
        <v>Yakup ÖZCAN</v>
      </c>
      <c r="I283" t="str">
        <f t="shared" si="18"/>
        <v>9B Otomotiv Mekanikerliği</v>
      </c>
      <c r="J283" t="str">
        <f t="shared" si="19"/>
        <v xml:space="preserve">9B </v>
      </c>
    </row>
    <row r="284" spans="1:10" x14ac:dyDescent="0.25">
      <c r="A284" s="3">
        <v>25856321888</v>
      </c>
      <c r="B284" s="3" t="s">
        <v>340</v>
      </c>
      <c r="C284" s="3" t="s">
        <v>12</v>
      </c>
      <c r="D284" s="3" t="s">
        <v>314</v>
      </c>
      <c r="E284" s="3">
        <v>9</v>
      </c>
      <c r="F284" s="3" t="s">
        <v>166</v>
      </c>
      <c r="G284" s="4" t="str">
        <f t="shared" si="16"/>
        <v>21888</v>
      </c>
      <c r="H284" t="str">
        <f t="shared" si="17"/>
        <v>Yiğitcan CİVİRCİ</v>
      </c>
      <c r="I284" t="str">
        <f t="shared" si="18"/>
        <v>9F Otomotiv Mekanikerliği</v>
      </c>
      <c r="J284" t="str">
        <f t="shared" si="19"/>
        <v xml:space="preserve">9F </v>
      </c>
    </row>
    <row r="285" spans="1:10" x14ac:dyDescent="0.25">
      <c r="A285" s="3">
        <v>15998707916</v>
      </c>
      <c r="B285" s="3" t="s">
        <v>341</v>
      </c>
      <c r="C285" s="3" t="s">
        <v>12</v>
      </c>
      <c r="D285" s="3" t="s">
        <v>314</v>
      </c>
      <c r="E285" s="3">
        <v>9</v>
      </c>
      <c r="F285" s="3" t="s">
        <v>58</v>
      </c>
      <c r="G285" s="4" t="str">
        <f t="shared" si="16"/>
        <v>07916</v>
      </c>
      <c r="H285" t="str">
        <f t="shared" si="17"/>
        <v>Yusuf KABAY</v>
      </c>
      <c r="I285" t="str">
        <f t="shared" si="18"/>
        <v>9B Otomotiv Mekanikerliği</v>
      </c>
      <c r="J285" t="str">
        <f t="shared" si="19"/>
        <v xml:space="preserve">9B </v>
      </c>
    </row>
    <row r="286" spans="1:10" x14ac:dyDescent="0.25">
      <c r="A286" s="3">
        <v>46444635972</v>
      </c>
      <c r="B286" s="3" t="s">
        <v>342</v>
      </c>
      <c r="C286" s="3" t="s">
        <v>12</v>
      </c>
      <c r="D286" s="3" t="s">
        <v>314</v>
      </c>
      <c r="E286" s="3">
        <v>9</v>
      </c>
      <c r="F286" s="3" t="s">
        <v>164</v>
      </c>
      <c r="G286" s="4" t="str">
        <f t="shared" si="16"/>
        <v>35972</v>
      </c>
      <c r="H286" t="str">
        <f t="shared" si="17"/>
        <v>Yusuf ÖZSARI</v>
      </c>
      <c r="I286" t="str">
        <f t="shared" si="18"/>
        <v>9C Otomotiv Mekanikerliği</v>
      </c>
      <c r="J286" t="str">
        <f t="shared" si="19"/>
        <v xml:space="preserve">9C </v>
      </c>
    </row>
    <row r="287" spans="1:10" x14ac:dyDescent="0.25">
      <c r="A287" s="3">
        <v>69535237572</v>
      </c>
      <c r="B287" s="3" t="s">
        <v>343</v>
      </c>
      <c r="C287" s="3" t="s">
        <v>12</v>
      </c>
      <c r="D287" s="3" t="s">
        <v>314</v>
      </c>
      <c r="E287" s="3">
        <v>9</v>
      </c>
      <c r="F287" s="3" t="s">
        <v>164</v>
      </c>
      <c r="G287" s="4" t="str">
        <f t="shared" si="16"/>
        <v>37572</v>
      </c>
      <c r="H287" t="str">
        <f t="shared" si="17"/>
        <v>Yusuf Sami TORUN</v>
      </c>
      <c r="I287" t="str">
        <f t="shared" si="18"/>
        <v>9C Otomotiv Mekanikerliği</v>
      </c>
      <c r="J287" t="str">
        <f t="shared" si="19"/>
        <v xml:space="preserve">9C </v>
      </c>
    </row>
    <row r="288" spans="1:10" x14ac:dyDescent="0.25">
      <c r="A288" s="3">
        <v>15113308462</v>
      </c>
      <c r="B288" s="3" t="s">
        <v>344</v>
      </c>
      <c r="C288" s="3" t="s">
        <v>12</v>
      </c>
      <c r="D288" s="3" t="s">
        <v>345</v>
      </c>
      <c r="E288" s="3">
        <v>9</v>
      </c>
      <c r="F288" s="3" t="s">
        <v>164</v>
      </c>
      <c r="G288" s="4" t="str">
        <f t="shared" si="16"/>
        <v>08462</v>
      </c>
      <c r="H288" t="str">
        <f t="shared" si="17"/>
        <v>Enes Malik TOPCU</v>
      </c>
      <c r="I288" t="str">
        <f t="shared" si="18"/>
        <v>9C Otomotiv Motor Yenileştirmeciliği</v>
      </c>
      <c r="J288" t="str">
        <f t="shared" si="19"/>
        <v xml:space="preserve">9C </v>
      </c>
    </row>
    <row r="289" spans="1:10" x14ac:dyDescent="0.25">
      <c r="A289" s="3">
        <v>75334041456</v>
      </c>
      <c r="B289" s="3" t="s">
        <v>346</v>
      </c>
      <c r="C289" s="3" t="s">
        <v>12</v>
      </c>
      <c r="D289" s="3" t="s">
        <v>345</v>
      </c>
      <c r="E289" s="3">
        <v>9</v>
      </c>
      <c r="F289" s="3" t="s">
        <v>164</v>
      </c>
      <c r="G289" s="4" t="str">
        <f t="shared" si="16"/>
        <v>41456</v>
      </c>
      <c r="H289" t="str">
        <f t="shared" si="17"/>
        <v>Muhammed ALAKAZ</v>
      </c>
      <c r="I289" t="str">
        <f t="shared" si="18"/>
        <v>9C Otomotiv Motor Yenileştirmeciliği</v>
      </c>
      <c r="J289" t="str">
        <f t="shared" si="19"/>
        <v xml:space="preserve">9C </v>
      </c>
    </row>
    <row r="290" spans="1:10" x14ac:dyDescent="0.25">
      <c r="A290" s="3">
        <v>61153145512</v>
      </c>
      <c r="B290" s="3" t="s">
        <v>347</v>
      </c>
      <c r="C290" s="3" t="s">
        <v>12</v>
      </c>
      <c r="D290" s="3" t="s">
        <v>348</v>
      </c>
      <c r="E290" s="3">
        <v>9</v>
      </c>
      <c r="F290" s="3" t="s">
        <v>166</v>
      </c>
      <c r="G290" s="4" t="str">
        <f t="shared" si="16"/>
        <v>45512</v>
      </c>
      <c r="H290" t="str">
        <f t="shared" si="17"/>
        <v>Emirhan ÇOLAKER</v>
      </c>
      <c r="I290" t="str">
        <f t="shared" si="18"/>
        <v>9F Ön Düzen Ayarcılığı Ve Lastikçilik</v>
      </c>
      <c r="J290" t="str">
        <f t="shared" si="19"/>
        <v xml:space="preserve">9F </v>
      </c>
    </row>
    <row r="291" spans="1:10" x14ac:dyDescent="0.25">
      <c r="A291" s="3">
        <v>61219301418</v>
      </c>
      <c r="B291" s="3" t="s">
        <v>349</v>
      </c>
      <c r="C291" s="3" t="s">
        <v>12</v>
      </c>
      <c r="D291" s="3" t="s">
        <v>348</v>
      </c>
      <c r="E291" s="3">
        <v>9</v>
      </c>
      <c r="F291" s="3" t="s">
        <v>166</v>
      </c>
      <c r="G291" s="4" t="str">
        <f t="shared" si="16"/>
        <v>01418</v>
      </c>
      <c r="H291" t="str">
        <f t="shared" si="17"/>
        <v>Emrah DAĞBAŞI</v>
      </c>
      <c r="I291" t="str">
        <f t="shared" si="18"/>
        <v>9F Ön Düzen Ayarcılığı Ve Lastikçilik</v>
      </c>
      <c r="J291" t="str">
        <f t="shared" si="19"/>
        <v xml:space="preserve">9F </v>
      </c>
    </row>
    <row r="292" spans="1:10" x14ac:dyDescent="0.25">
      <c r="A292" s="3">
        <v>56494300416</v>
      </c>
      <c r="B292" s="3" t="s">
        <v>350</v>
      </c>
      <c r="C292" s="3" t="s">
        <v>12</v>
      </c>
      <c r="D292" s="3" t="s">
        <v>348</v>
      </c>
      <c r="E292" s="3">
        <v>9</v>
      </c>
      <c r="F292" s="3" t="s">
        <v>58</v>
      </c>
      <c r="G292" s="4" t="str">
        <f t="shared" si="16"/>
        <v>00416</v>
      </c>
      <c r="H292" t="str">
        <f t="shared" si="17"/>
        <v>Fatih GÜNER</v>
      </c>
      <c r="I292" t="str">
        <f t="shared" si="18"/>
        <v>9B Ön Düzen Ayarcılığı Ve Lastikçilik</v>
      </c>
      <c r="J292" t="str">
        <f t="shared" si="19"/>
        <v xml:space="preserve">9B </v>
      </c>
    </row>
    <row r="293" spans="1:10" x14ac:dyDescent="0.25">
      <c r="A293" s="3">
        <v>22919419940</v>
      </c>
      <c r="B293" s="3" t="s">
        <v>351</v>
      </c>
      <c r="C293" s="3" t="s">
        <v>12</v>
      </c>
      <c r="D293" s="3" t="s">
        <v>348</v>
      </c>
      <c r="E293" s="3">
        <v>9</v>
      </c>
      <c r="F293" s="3" t="s">
        <v>164</v>
      </c>
      <c r="G293" s="4" t="str">
        <f t="shared" si="16"/>
        <v>19940</v>
      </c>
      <c r="H293" t="str">
        <f t="shared" si="17"/>
        <v>Umut AYDIN</v>
      </c>
      <c r="I293" t="str">
        <f t="shared" si="18"/>
        <v>9C Ön Düzen Ayarcılığı Ve Lastikçilik</v>
      </c>
      <c r="J293" t="str">
        <f t="shared" si="19"/>
        <v xml:space="preserve">9C </v>
      </c>
    </row>
    <row r="294" spans="1:10" x14ac:dyDescent="0.25">
      <c r="A294" s="3">
        <v>12677889604</v>
      </c>
      <c r="B294" s="3" t="s">
        <v>352</v>
      </c>
      <c r="C294" s="3" t="s">
        <v>12</v>
      </c>
      <c r="D294" s="3" t="s">
        <v>348</v>
      </c>
      <c r="E294" s="3">
        <v>9</v>
      </c>
      <c r="F294" s="3" t="s">
        <v>164</v>
      </c>
      <c r="G294" s="4" t="str">
        <f t="shared" si="16"/>
        <v>89604</v>
      </c>
      <c r="H294" t="str">
        <f t="shared" si="17"/>
        <v>Yakup ATABEK</v>
      </c>
      <c r="I294" t="str">
        <f t="shared" si="18"/>
        <v>9C Ön Düzen Ayarcılığı Ve Lastikçilik</v>
      </c>
      <c r="J294" t="str">
        <f t="shared" si="19"/>
        <v xml:space="preserve">9C </v>
      </c>
    </row>
    <row r="295" spans="1:10" x14ac:dyDescent="0.25">
      <c r="A295" s="3">
        <v>58414236126</v>
      </c>
      <c r="B295" s="3" t="s">
        <v>353</v>
      </c>
      <c r="C295" s="3" t="s">
        <v>12</v>
      </c>
      <c r="D295" s="3" t="s">
        <v>354</v>
      </c>
      <c r="E295" s="3">
        <v>9</v>
      </c>
      <c r="F295" s="3" t="s">
        <v>17</v>
      </c>
      <c r="G295" s="4" t="str">
        <f t="shared" si="16"/>
        <v>36126</v>
      </c>
      <c r="H295" t="str">
        <f t="shared" si="17"/>
        <v>Edanur KELEŞ</v>
      </c>
      <c r="I295" t="str">
        <f t="shared" si="18"/>
        <v>9G1 Pasta Ve Tatlı Yapımı</v>
      </c>
      <c r="J295" t="str">
        <f t="shared" si="19"/>
        <v>9G1</v>
      </c>
    </row>
    <row r="296" spans="1:10" x14ac:dyDescent="0.25">
      <c r="A296" s="3">
        <v>55309339658</v>
      </c>
      <c r="B296" s="3" t="s">
        <v>355</v>
      </c>
      <c r="C296" s="3" t="s">
        <v>12</v>
      </c>
      <c r="D296" s="3" t="s">
        <v>354</v>
      </c>
      <c r="E296" s="3">
        <v>9</v>
      </c>
      <c r="F296" s="3" t="s">
        <v>17</v>
      </c>
      <c r="G296" s="4" t="str">
        <f t="shared" si="16"/>
        <v>39658</v>
      </c>
      <c r="H296" t="str">
        <f t="shared" si="17"/>
        <v>Esilasu KOZAN</v>
      </c>
      <c r="I296" t="str">
        <f t="shared" si="18"/>
        <v>9G1 Pasta Ve Tatlı Yapımı</v>
      </c>
      <c r="J296" t="str">
        <f t="shared" si="19"/>
        <v>9G1</v>
      </c>
    </row>
    <row r="297" spans="1:10" x14ac:dyDescent="0.25">
      <c r="A297" s="3">
        <v>26552298290</v>
      </c>
      <c r="B297" s="3" t="s">
        <v>356</v>
      </c>
      <c r="C297" s="3" t="s">
        <v>12</v>
      </c>
      <c r="D297" s="3" t="s">
        <v>354</v>
      </c>
      <c r="E297" s="3">
        <v>9</v>
      </c>
      <c r="F297" s="3" t="s">
        <v>17</v>
      </c>
      <c r="G297" s="4" t="str">
        <f t="shared" si="16"/>
        <v>98290</v>
      </c>
      <c r="H297" t="str">
        <f t="shared" si="17"/>
        <v>Melisa DÜNDAR</v>
      </c>
      <c r="I297" t="str">
        <f t="shared" si="18"/>
        <v>9G1 Pasta Ve Tatlı Yapımı</v>
      </c>
      <c r="J297" t="str">
        <f t="shared" si="19"/>
        <v>9G1</v>
      </c>
    </row>
    <row r="298" spans="1:10" x14ac:dyDescent="0.25">
      <c r="A298" s="3">
        <v>47155746896</v>
      </c>
      <c r="B298" s="3" t="s">
        <v>357</v>
      </c>
      <c r="C298" s="3" t="s">
        <v>12</v>
      </c>
      <c r="D298" s="3" t="s">
        <v>354</v>
      </c>
      <c r="E298" s="3">
        <v>9</v>
      </c>
      <c r="F298" s="3" t="s">
        <v>17</v>
      </c>
      <c r="G298" s="4" t="str">
        <f t="shared" si="16"/>
        <v>46896</v>
      </c>
      <c r="H298" t="str">
        <f t="shared" si="17"/>
        <v>Muhammet KURU</v>
      </c>
      <c r="I298" t="str">
        <f t="shared" si="18"/>
        <v>9G1 Pasta Ve Tatlı Yapımı</v>
      </c>
      <c r="J298" t="str">
        <f t="shared" si="19"/>
        <v>9G1</v>
      </c>
    </row>
    <row r="299" spans="1:10" x14ac:dyDescent="0.25">
      <c r="A299" s="3">
        <v>66001043460</v>
      </c>
      <c r="B299" s="3" t="s">
        <v>358</v>
      </c>
      <c r="C299" s="3" t="s">
        <v>12</v>
      </c>
      <c r="D299" s="3" t="s">
        <v>354</v>
      </c>
      <c r="E299" s="3">
        <v>9</v>
      </c>
      <c r="F299" s="3" t="s">
        <v>17</v>
      </c>
      <c r="G299" s="4" t="str">
        <f t="shared" si="16"/>
        <v>43460</v>
      </c>
      <c r="H299" t="str">
        <f t="shared" si="17"/>
        <v>Rumeysa ŞAHİN</v>
      </c>
      <c r="I299" t="str">
        <f t="shared" si="18"/>
        <v>9G1 Pasta Ve Tatlı Yapımı</v>
      </c>
      <c r="J299" t="str">
        <f t="shared" si="19"/>
        <v>9G1</v>
      </c>
    </row>
    <row r="300" spans="1:10" x14ac:dyDescent="0.25">
      <c r="A300" s="3">
        <v>41273178058</v>
      </c>
      <c r="B300" s="3" t="s">
        <v>359</v>
      </c>
      <c r="C300" s="3" t="s">
        <v>12</v>
      </c>
      <c r="D300" s="3" t="s">
        <v>360</v>
      </c>
      <c r="E300" s="3">
        <v>9</v>
      </c>
      <c r="F300" s="3" t="s">
        <v>87</v>
      </c>
      <c r="G300" s="4" t="str">
        <f t="shared" si="16"/>
        <v>78058</v>
      </c>
      <c r="H300" t="str">
        <f t="shared" si="17"/>
        <v>Battal HAMİTOĞLU</v>
      </c>
      <c r="I300" t="str">
        <f t="shared" si="18"/>
        <v>9A3(KARMA) Vitrin Kuyumculuğu</v>
      </c>
      <c r="J300" t="str">
        <f t="shared" si="19"/>
        <v>9A3</v>
      </c>
    </row>
    <row r="301" spans="1:10" x14ac:dyDescent="0.25">
      <c r="A301" s="3">
        <v>57175277720</v>
      </c>
      <c r="B301" s="3" t="s">
        <v>361</v>
      </c>
      <c r="C301" s="3" t="s">
        <v>12</v>
      </c>
      <c r="D301" s="3" t="s">
        <v>362</v>
      </c>
      <c r="E301" s="3">
        <v>10</v>
      </c>
      <c r="F301" s="3" t="s">
        <v>363</v>
      </c>
      <c r="G301" s="4" t="str">
        <f t="shared" si="16"/>
        <v>77720</v>
      </c>
      <c r="H301" t="str">
        <f t="shared" si="17"/>
        <v>Hamza TOPÇU</v>
      </c>
      <c r="I301" t="str">
        <f t="shared" si="18"/>
        <v>10D1 Ahşap Doğrama Teknolojisi</v>
      </c>
      <c r="J301" t="str">
        <f t="shared" si="19"/>
        <v>10D</v>
      </c>
    </row>
    <row r="302" spans="1:10" x14ac:dyDescent="0.25">
      <c r="A302" s="3">
        <v>33698060544</v>
      </c>
      <c r="B302" s="3" t="s">
        <v>364</v>
      </c>
      <c r="C302" s="3" t="s">
        <v>12</v>
      </c>
      <c r="D302" s="3" t="s">
        <v>362</v>
      </c>
      <c r="E302" s="3">
        <v>10</v>
      </c>
      <c r="F302" s="3" t="s">
        <v>363</v>
      </c>
      <c r="G302" s="4" t="str">
        <f t="shared" si="16"/>
        <v>60544</v>
      </c>
      <c r="H302" t="str">
        <f t="shared" si="17"/>
        <v>Muhammet Duran AKBULUT</v>
      </c>
      <c r="I302" t="str">
        <f t="shared" si="18"/>
        <v>10D1 Ahşap Doğrama Teknolojisi</v>
      </c>
      <c r="J302" t="str">
        <f t="shared" si="19"/>
        <v>10D</v>
      </c>
    </row>
    <row r="303" spans="1:10" x14ac:dyDescent="0.25">
      <c r="A303" s="3">
        <v>56791290526</v>
      </c>
      <c r="B303" s="3" t="s">
        <v>365</v>
      </c>
      <c r="C303" s="3" t="s">
        <v>12</v>
      </c>
      <c r="D303" s="3" t="s">
        <v>362</v>
      </c>
      <c r="E303" s="3">
        <v>10</v>
      </c>
      <c r="F303" s="3" t="s">
        <v>363</v>
      </c>
      <c r="G303" s="4" t="str">
        <f t="shared" si="16"/>
        <v>90526</v>
      </c>
      <c r="H303" t="str">
        <f t="shared" si="17"/>
        <v>Yunus Emre SEVİNÇ</v>
      </c>
      <c r="I303" t="str">
        <f t="shared" si="18"/>
        <v>10D1 Ahşap Doğrama Teknolojisi</v>
      </c>
      <c r="J303" t="str">
        <f t="shared" si="19"/>
        <v>10D</v>
      </c>
    </row>
    <row r="304" spans="1:10" x14ac:dyDescent="0.25">
      <c r="A304" s="3">
        <v>27166592132</v>
      </c>
      <c r="B304" s="3" t="s">
        <v>366</v>
      </c>
      <c r="C304" s="3" t="s">
        <v>12</v>
      </c>
      <c r="D304" s="3" t="s">
        <v>13</v>
      </c>
      <c r="E304" s="3">
        <v>10</v>
      </c>
      <c r="F304" s="3" t="s">
        <v>92</v>
      </c>
      <c r="G304" s="4" t="str">
        <f t="shared" si="16"/>
        <v>92132</v>
      </c>
      <c r="H304" t="str">
        <f t="shared" si="17"/>
        <v>Alper AYGIN</v>
      </c>
      <c r="I304" t="str">
        <f t="shared" si="18"/>
        <v>10E Asansör Sistemleri</v>
      </c>
      <c r="J304" t="str">
        <f t="shared" si="19"/>
        <v>10E</v>
      </c>
    </row>
    <row r="305" spans="1:10" x14ac:dyDescent="0.25">
      <c r="A305" s="3">
        <v>37900920336</v>
      </c>
      <c r="B305" s="3" t="s">
        <v>367</v>
      </c>
      <c r="C305" s="3" t="s">
        <v>12</v>
      </c>
      <c r="D305" s="3" t="s">
        <v>13</v>
      </c>
      <c r="E305" s="3">
        <v>10</v>
      </c>
      <c r="F305" s="3" t="s">
        <v>92</v>
      </c>
      <c r="G305" s="4" t="str">
        <f t="shared" si="16"/>
        <v>20336</v>
      </c>
      <c r="H305" t="str">
        <f t="shared" si="17"/>
        <v>Berat TAŞKIN</v>
      </c>
      <c r="I305" t="str">
        <f t="shared" si="18"/>
        <v>10E Asansör Sistemleri</v>
      </c>
      <c r="J305" t="str">
        <f t="shared" si="19"/>
        <v>10E</v>
      </c>
    </row>
    <row r="306" spans="1:10" x14ac:dyDescent="0.25">
      <c r="A306" s="3">
        <v>56629296454</v>
      </c>
      <c r="B306" s="3" t="s">
        <v>368</v>
      </c>
      <c r="C306" s="3" t="s">
        <v>12</v>
      </c>
      <c r="D306" s="3" t="s">
        <v>13</v>
      </c>
      <c r="E306" s="3">
        <v>10</v>
      </c>
      <c r="F306" s="3" t="s">
        <v>14</v>
      </c>
      <c r="G306" s="4" t="str">
        <f t="shared" si="16"/>
        <v>96454</v>
      </c>
      <c r="H306" t="str">
        <f t="shared" si="17"/>
        <v>Beytullah ZENBİLLİ</v>
      </c>
      <c r="I306" t="str">
        <f t="shared" si="18"/>
        <v>10D Asansör Sistemleri</v>
      </c>
      <c r="J306" t="str">
        <f t="shared" si="19"/>
        <v>10D</v>
      </c>
    </row>
    <row r="307" spans="1:10" x14ac:dyDescent="0.25">
      <c r="A307" s="3">
        <v>42745602224</v>
      </c>
      <c r="B307" s="3" t="s">
        <v>369</v>
      </c>
      <c r="C307" s="3" t="s">
        <v>12</v>
      </c>
      <c r="D307" s="3" t="s">
        <v>13</v>
      </c>
      <c r="E307" s="3">
        <v>10</v>
      </c>
      <c r="F307" s="3" t="s">
        <v>92</v>
      </c>
      <c r="G307" s="4" t="str">
        <f t="shared" si="16"/>
        <v>02224</v>
      </c>
      <c r="H307" t="str">
        <f t="shared" si="17"/>
        <v>Efe Can KALINLAR</v>
      </c>
      <c r="I307" t="str">
        <f t="shared" si="18"/>
        <v>10E Asansör Sistemleri</v>
      </c>
      <c r="J307" t="str">
        <f t="shared" si="19"/>
        <v>10E</v>
      </c>
    </row>
    <row r="308" spans="1:10" x14ac:dyDescent="0.25">
      <c r="A308" s="3">
        <v>45742659406</v>
      </c>
      <c r="B308" s="3" t="s">
        <v>370</v>
      </c>
      <c r="C308" s="3" t="s">
        <v>12</v>
      </c>
      <c r="D308" s="3" t="s">
        <v>13</v>
      </c>
      <c r="E308" s="3">
        <v>10</v>
      </c>
      <c r="F308" s="3" t="s">
        <v>92</v>
      </c>
      <c r="G308" s="4" t="str">
        <f t="shared" si="16"/>
        <v>59406</v>
      </c>
      <c r="H308" t="str">
        <f t="shared" si="17"/>
        <v>Emir DEMİRKAN</v>
      </c>
      <c r="I308" t="str">
        <f t="shared" si="18"/>
        <v>10E Asansör Sistemleri</v>
      </c>
      <c r="J308" t="str">
        <f t="shared" si="19"/>
        <v>10E</v>
      </c>
    </row>
    <row r="309" spans="1:10" x14ac:dyDescent="0.25">
      <c r="A309" s="3">
        <v>47668278334</v>
      </c>
      <c r="B309" s="3" t="s">
        <v>371</v>
      </c>
      <c r="C309" s="3" t="s">
        <v>12</v>
      </c>
      <c r="D309" s="3" t="s">
        <v>13</v>
      </c>
      <c r="E309" s="3">
        <v>10</v>
      </c>
      <c r="F309" s="3" t="s">
        <v>14</v>
      </c>
      <c r="G309" s="4" t="str">
        <f t="shared" si="16"/>
        <v>78334</v>
      </c>
      <c r="H309" t="str">
        <f t="shared" si="17"/>
        <v>Ömer VARLI</v>
      </c>
      <c r="I309" t="str">
        <f t="shared" si="18"/>
        <v>10D Asansör Sistemleri</v>
      </c>
      <c r="J309" t="str">
        <f t="shared" si="19"/>
        <v>10D</v>
      </c>
    </row>
    <row r="310" spans="1:10" x14ac:dyDescent="0.25">
      <c r="A310" s="3">
        <v>30616733436</v>
      </c>
      <c r="B310" s="3" t="s">
        <v>372</v>
      </c>
      <c r="C310" s="3" t="s">
        <v>12</v>
      </c>
      <c r="D310" s="3" t="s">
        <v>13</v>
      </c>
      <c r="E310" s="3">
        <v>10</v>
      </c>
      <c r="F310" s="3" t="s">
        <v>14</v>
      </c>
      <c r="G310" s="4" t="str">
        <f t="shared" si="16"/>
        <v>33436</v>
      </c>
      <c r="H310" t="str">
        <f t="shared" si="17"/>
        <v>Seyfullah Kasım VAROL</v>
      </c>
      <c r="I310" t="str">
        <f t="shared" si="18"/>
        <v>10D Asansör Sistemleri</v>
      </c>
      <c r="J310" t="str">
        <f t="shared" si="19"/>
        <v>10D</v>
      </c>
    </row>
    <row r="311" spans="1:10" x14ac:dyDescent="0.25">
      <c r="A311" s="3">
        <v>61264141342</v>
      </c>
      <c r="B311" s="3" t="s">
        <v>373</v>
      </c>
      <c r="C311" s="3" t="s">
        <v>12</v>
      </c>
      <c r="D311" s="3" t="s">
        <v>16</v>
      </c>
      <c r="E311" s="3">
        <v>10</v>
      </c>
      <c r="F311" s="3" t="s">
        <v>374</v>
      </c>
      <c r="G311" s="4" t="str">
        <f t="shared" si="16"/>
        <v>41342</v>
      </c>
      <c r="H311" t="str">
        <f t="shared" si="17"/>
        <v>Ayaz Ali SÖZEN</v>
      </c>
      <c r="I311" t="str">
        <f t="shared" si="18"/>
        <v>10M Aşçılık</v>
      </c>
      <c r="J311" t="str">
        <f t="shared" si="19"/>
        <v>10M</v>
      </c>
    </row>
    <row r="312" spans="1:10" x14ac:dyDescent="0.25">
      <c r="A312" s="3">
        <v>27805035280</v>
      </c>
      <c r="B312" s="3" t="s">
        <v>375</v>
      </c>
      <c r="C312" s="3" t="s">
        <v>12</v>
      </c>
      <c r="D312" s="3" t="s">
        <v>16</v>
      </c>
      <c r="E312" s="3">
        <v>10</v>
      </c>
      <c r="F312" s="3" t="s">
        <v>374</v>
      </c>
      <c r="G312" s="4" t="str">
        <f t="shared" si="16"/>
        <v>35280</v>
      </c>
      <c r="H312" t="str">
        <f t="shared" si="17"/>
        <v>Can AKGÜN</v>
      </c>
      <c r="I312" t="str">
        <f t="shared" si="18"/>
        <v>10M Aşçılık</v>
      </c>
      <c r="J312" t="str">
        <f t="shared" si="19"/>
        <v>10M</v>
      </c>
    </row>
    <row r="313" spans="1:10" x14ac:dyDescent="0.25">
      <c r="A313" s="3">
        <v>46633629638</v>
      </c>
      <c r="B313" s="3" t="s">
        <v>376</v>
      </c>
      <c r="C313" s="3" t="s">
        <v>12</v>
      </c>
      <c r="D313" s="3" t="s">
        <v>16</v>
      </c>
      <c r="E313" s="3">
        <v>10</v>
      </c>
      <c r="F313" s="3" t="s">
        <v>374</v>
      </c>
      <c r="G313" s="4" t="str">
        <f t="shared" si="16"/>
        <v>29638</v>
      </c>
      <c r="H313" t="str">
        <f t="shared" si="17"/>
        <v>Efenuh KÖSEOĞLU</v>
      </c>
      <c r="I313" t="str">
        <f t="shared" si="18"/>
        <v>10M Aşçılık</v>
      </c>
      <c r="J313" t="str">
        <f t="shared" si="19"/>
        <v>10M</v>
      </c>
    </row>
    <row r="314" spans="1:10" x14ac:dyDescent="0.25">
      <c r="A314" s="3">
        <v>32731878672</v>
      </c>
      <c r="B314" s="3" t="s">
        <v>377</v>
      </c>
      <c r="C314" s="3" t="s">
        <v>12</v>
      </c>
      <c r="D314" s="3" t="s">
        <v>16</v>
      </c>
      <c r="E314" s="3">
        <v>10</v>
      </c>
      <c r="F314" s="3" t="s">
        <v>374</v>
      </c>
      <c r="G314" s="4" t="str">
        <f t="shared" si="16"/>
        <v>78672</v>
      </c>
      <c r="H314" t="str">
        <f t="shared" si="17"/>
        <v>Emir ÇELİK</v>
      </c>
      <c r="I314" t="str">
        <f t="shared" si="18"/>
        <v>10M Aşçılık</v>
      </c>
      <c r="J314" t="str">
        <f t="shared" si="19"/>
        <v>10M</v>
      </c>
    </row>
    <row r="315" spans="1:10" x14ac:dyDescent="0.25">
      <c r="A315" s="3">
        <v>45784657286</v>
      </c>
      <c r="B315" s="3" t="s">
        <v>378</v>
      </c>
      <c r="C315" s="3" t="s">
        <v>12</v>
      </c>
      <c r="D315" s="3" t="s">
        <v>16</v>
      </c>
      <c r="E315" s="3">
        <v>10</v>
      </c>
      <c r="F315" s="3" t="s">
        <v>374</v>
      </c>
      <c r="G315" s="4" t="str">
        <f t="shared" si="16"/>
        <v>57286</v>
      </c>
      <c r="H315" t="str">
        <f t="shared" si="17"/>
        <v>Habibe BAYKARA</v>
      </c>
      <c r="I315" t="str">
        <f t="shared" si="18"/>
        <v>10M Aşçılık</v>
      </c>
      <c r="J315" t="str">
        <f t="shared" si="19"/>
        <v>10M</v>
      </c>
    </row>
    <row r="316" spans="1:10" x14ac:dyDescent="0.25">
      <c r="A316" s="3">
        <v>46045106512</v>
      </c>
      <c r="B316" s="3" t="s">
        <v>379</v>
      </c>
      <c r="C316" s="3" t="s">
        <v>12</v>
      </c>
      <c r="D316" s="3" t="s">
        <v>16</v>
      </c>
      <c r="E316" s="3">
        <v>10</v>
      </c>
      <c r="F316" s="3" t="s">
        <v>374</v>
      </c>
      <c r="G316" s="4" t="str">
        <f t="shared" si="16"/>
        <v>06512</v>
      </c>
      <c r="H316" t="str">
        <f t="shared" si="17"/>
        <v>Hanzade KERİMOĞLU</v>
      </c>
      <c r="I316" t="str">
        <f t="shared" si="18"/>
        <v>10M Aşçılık</v>
      </c>
      <c r="J316" t="str">
        <f t="shared" si="19"/>
        <v>10M</v>
      </c>
    </row>
    <row r="317" spans="1:10" x14ac:dyDescent="0.25">
      <c r="A317" s="3">
        <v>63514138416</v>
      </c>
      <c r="B317" s="3" t="s">
        <v>380</v>
      </c>
      <c r="C317" s="3" t="s">
        <v>12</v>
      </c>
      <c r="D317" s="3" t="s">
        <v>16</v>
      </c>
      <c r="E317" s="3">
        <v>10</v>
      </c>
      <c r="F317" s="3" t="s">
        <v>374</v>
      </c>
      <c r="G317" s="4" t="str">
        <f t="shared" si="16"/>
        <v>38416</v>
      </c>
      <c r="H317" t="str">
        <f t="shared" si="17"/>
        <v>Havva KARAŞAHİN</v>
      </c>
      <c r="I317" t="str">
        <f t="shared" si="18"/>
        <v>10M Aşçılık</v>
      </c>
      <c r="J317" t="str">
        <f t="shared" si="19"/>
        <v>10M</v>
      </c>
    </row>
    <row r="318" spans="1:10" x14ac:dyDescent="0.25">
      <c r="A318" s="3">
        <v>17918587028</v>
      </c>
      <c r="B318" s="3" t="s">
        <v>381</v>
      </c>
      <c r="C318" s="3" t="s">
        <v>12</v>
      </c>
      <c r="D318" s="3" t="s">
        <v>16</v>
      </c>
      <c r="E318" s="3">
        <v>10</v>
      </c>
      <c r="F318" s="3" t="s">
        <v>374</v>
      </c>
      <c r="G318" s="4" t="str">
        <f t="shared" si="16"/>
        <v>87028</v>
      </c>
      <c r="H318" t="str">
        <f t="shared" si="17"/>
        <v>Ledeyna ÇATALBAŞ</v>
      </c>
      <c r="I318" t="str">
        <f t="shared" si="18"/>
        <v>10M Aşçılık</v>
      </c>
      <c r="J318" t="str">
        <f t="shared" si="19"/>
        <v>10M</v>
      </c>
    </row>
    <row r="319" spans="1:10" x14ac:dyDescent="0.25">
      <c r="A319" s="3">
        <v>54967351156</v>
      </c>
      <c r="B319" s="3" t="s">
        <v>382</v>
      </c>
      <c r="C319" s="3" t="s">
        <v>12</v>
      </c>
      <c r="D319" s="3" t="s">
        <v>16</v>
      </c>
      <c r="E319" s="3">
        <v>10</v>
      </c>
      <c r="F319" s="3" t="s">
        <v>374</v>
      </c>
      <c r="G319" s="4" t="str">
        <f t="shared" si="16"/>
        <v>51156</v>
      </c>
      <c r="H319" t="str">
        <f t="shared" si="17"/>
        <v>Mahmut KARATAŞ</v>
      </c>
      <c r="I319" t="str">
        <f t="shared" si="18"/>
        <v>10M Aşçılık</v>
      </c>
      <c r="J319" t="str">
        <f t="shared" si="19"/>
        <v>10M</v>
      </c>
    </row>
    <row r="320" spans="1:10" x14ac:dyDescent="0.25">
      <c r="A320" s="3">
        <v>46111325700</v>
      </c>
      <c r="B320" s="3" t="s">
        <v>383</v>
      </c>
      <c r="C320" s="3" t="s">
        <v>12</v>
      </c>
      <c r="D320" s="3" t="s">
        <v>16</v>
      </c>
      <c r="E320" s="3">
        <v>10</v>
      </c>
      <c r="F320" s="3" t="s">
        <v>374</v>
      </c>
      <c r="G320" s="4" t="str">
        <f t="shared" si="16"/>
        <v>25700</v>
      </c>
      <c r="H320" t="str">
        <f t="shared" si="17"/>
        <v>Muhammed Abdülhamid TANIK</v>
      </c>
      <c r="I320" t="str">
        <f t="shared" si="18"/>
        <v>10M Aşçılık</v>
      </c>
      <c r="J320" t="str">
        <f t="shared" si="19"/>
        <v>10M</v>
      </c>
    </row>
    <row r="321" spans="1:10" x14ac:dyDescent="0.25">
      <c r="A321" s="3">
        <v>20378505044</v>
      </c>
      <c r="B321" s="3" t="s">
        <v>384</v>
      </c>
      <c r="C321" s="3" t="s">
        <v>12</v>
      </c>
      <c r="D321" s="3" t="s">
        <v>16</v>
      </c>
      <c r="E321" s="3">
        <v>10</v>
      </c>
      <c r="F321" s="3" t="s">
        <v>374</v>
      </c>
      <c r="G321" s="4" t="str">
        <f t="shared" si="16"/>
        <v>05044</v>
      </c>
      <c r="H321" t="str">
        <f t="shared" si="17"/>
        <v>Muhammed Emin GÖKÇELİ</v>
      </c>
      <c r="I321" t="str">
        <f t="shared" si="18"/>
        <v>10M Aşçılık</v>
      </c>
      <c r="J321" t="str">
        <f t="shared" si="19"/>
        <v>10M</v>
      </c>
    </row>
    <row r="322" spans="1:10" x14ac:dyDescent="0.25">
      <c r="A322" s="3">
        <v>13649413124</v>
      </c>
      <c r="B322" s="3" t="s">
        <v>385</v>
      </c>
      <c r="C322" s="3" t="s">
        <v>12</v>
      </c>
      <c r="D322" s="3" t="s">
        <v>16</v>
      </c>
      <c r="E322" s="3">
        <v>10</v>
      </c>
      <c r="F322" s="3" t="s">
        <v>374</v>
      </c>
      <c r="G322" s="4" t="str">
        <f t="shared" si="16"/>
        <v>13124</v>
      </c>
      <c r="H322" t="str">
        <f t="shared" si="17"/>
        <v>Nisanur ANNAÇ</v>
      </c>
      <c r="I322" t="str">
        <f t="shared" si="18"/>
        <v>10M Aşçılık</v>
      </c>
      <c r="J322" t="str">
        <f t="shared" si="19"/>
        <v>10M</v>
      </c>
    </row>
    <row r="323" spans="1:10" x14ac:dyDescent="0.25">
      <c r="A323" s="3">
        <v>57301524704</v>
      </c>
      <c r="B323" s="3" t="s">
        <v>386</v>
      </c>
      <c r="C323" s="3" t="s">
        <v>12</v>
      </c>
      <c r="D323" s="3" t="s">
        <v>16</v>
      </c>
      <c r="E323" s="3">
        <v>10</v>
      </c>
      <c r="F323" s="3" t="s">
        <v>374</v>
      </c>
      <c r="G323" s="4" t="str">
        <f t="shared" si="16"/>
        <v>24704</v>
      </c>
      <c r="H323" t="str">
        <f t="shared" si="17"/>
        <v>Okan ÖZGÖR</v>
      </c>
      <c r="I323" t="str">
        <f t="shared" si="18"/>
        <v>10M Aşçılık</v>
      </c>
      <c r="J323" t="str">
        <f t="shared" si="19"/>
        <v>10M</v>
      </c>
    </row>
    <row r="324" spans="1:10" x14ac:dyDescent="0.25">
      <c r="A324" s="3">
        <v>39298501692</v>
      </c>
      <c r="B324" s="3" t="s">
        <v>387</v>
      </c>
      <c r="C324" s="3" t="s">
        <v>12</v>
      </c>
      <c r="D324" s="3" t="s">
        <v>16</v>
      </c>
      <c r="E324" s="3">
        <v>10</v>
      </c>
      <c r="F324" s="3" t="s">
        <v>374</v>
      </c>
      <c r="G324" s="4" t="str">
        <f t="shared" si="16"/>
        <v>01692</v>
      </c>
      <c r="H324" t="str">
        <f t="shared" si="17"/>
        <v>Ömer Faruk OCAK</v>
      </c>
      <c r="I324" t="str">
        <f t="shared" si="18"/>
        <v>10M Aşçılık</v>
      </c>
      <c r="J324" t="str">
        <f t="shared" si="19"/>
        <v>10M</v>
      </c>
    </row>
    <row r="325" spans="1:10" x14ac:dyDescent="0.25">
      <c r="A325" s="3">
        <v>23681119168</v>
      </c>
      <c r="B325" s="3" t="s">
        <v>388</v>
      </c>
      <c r="C325" s="3" t="s">
        <v>12</v>
      </c>
      <c r="D325" s="3" t="s">
        <v>16</v>
      </c>
      <c r="E325" s="3">
        <v>10</v>
      </c>
      <c r="F325" s="3" t="s">
        <v>374</v>
      </c>
      <c r="G325" s="4" t="str">
        <f t="shared" ref="G325:G388" si="20">RIGHT(A325,5)</f>
        <v>19168</v>
      </c>
      <c r="H325" t="str">
        <f t="shared" ref="H325:H388" si="21">B325</f>
        <v>Samet Efe YILMAZ</v>
      </c>
      <c r="I325" t="str">
        <f t="shared" ref="I325:I388" si="22">CONCATENATE(E325,F325," ",D325)</f>
        <v>10M Aşçılık</v>
      </c>
      <c r="J325" t="str">
        <f t="shared" ref="J325:J388" si="23">LEFT(I325,3)</f>
        <v>10M</v>
      </c>
    </row>
    <row r="326" spans="1:10" x14ac:dyDescent="0.25">
      <c r="A326" s="3">
        <v>52417436316</v>
      </c>
      <c r="B326" s="3" t="s">
        <v>389</v>
      </c>
      <c r="C326" s="3" t="s">
        <v>12</v>
      </c>
      <c r="D326" s="3" t="s">
        <v>16</v>
      </c>
      <c r="E326" s="3">
        <v>10</v>
      </c>
      <c r="F326" s="3" t="s">
        <v>374</v>
      </c>
      <c r="G326" s="4" t="str">
        <f t="shared" si="20"/>
        <v>36316</v>
      </c>
      <c r="H326" t="str">
        <f t="shared" si="21"/>
        <v>Seyfi OĞUZ</v>
      </c>
      <c r="I326" t="str">
        <f t="shared" si="22"/>
        <v>10M Aşçılık</v>
      </c>
      <c r="J326" t="str">
        <f t="shared" si="23"/>
        <v>10M</v>
      </c>
    </row>
    <row r="327" spans="1:10" x14ac:dyDescent="0.25">
      <c r="A327" s="3">
        <v>45385670974</v>
      </c>
      <c r="B327" s="3" t="s">
        <v>390</v>
      </c>
      <c r="C327" s="3" t="s">
        <v>12</v>
      </c>
      <c r="D327" s="3" t="s">
        <v>16</v>
      </c>
      <c r="E327" s="3">
        <v>10</v>
      </c>
      <c r="F327" s="3" t="s">
        <v>374</v>
      </c>
      <c r="G327" s="4" t="str">
        <f t="shared" si="20"/>
        <v>70974</v>
      </c>
      <c r="H327" t="str">
        <f t="shared" si="21"/>
        <v>Sinan GUBAT</v>
      </c>
      <c r="I327" t="str">
        <f t="shared" si="22"/>
        <v>10M Aşçılık</v>
      </c>
      <c r="J327" t="str">
        <f t="shared" si="23"/>
        <v>10M</v>
      </c>
    </row>
    <row r="328" spans="1:10" x14ac:dyDescent="0.25">
      <c r="A328" s="3">
        <v>29648560448</v>
      </c>
      <c r="B328" s="3" t="s">
        <v>391</v>
      </c>
      <c r="C328" s="3" t="s">
        <v>12</v>
      </c>
      <c r="D328" s="3" t="s">
        <v>16</v>
      </c>
      <c r="E328" s="3">
        <v>10</v>
      </c>
      <c r="F328" s="3" t="s">
        <v>374</v>
      </c>
      <c r="G328" s="4" t="str">
        <f t="shared" si="20"/>
        <v>60448</v>
      </c>
      <c r="H328" t="str">
        <f t="shared" si="21"/>
        <v>Tuğba CANPOLAT</v>
      </c>
      <c r="I328" t="str">
        <f t="shared" si="22"/>
        <v>10M Aşçılık</v>
      </c>
      <c r="J328" t="str">
        <f t="shared" si="23"/>
        <v>10M</v>
      </c>
    </row>
    <row r="329" spans="1:10" x14ac:dyDescent="0.25">
      <c r="A329" s="3">
        <v>35611623782</v>
      </c>
      <c r="B329" s="3" t="s">
        <v>392</v>
      </c>
      <c r="C329" s="3" t="s">
        <v>12</v>
      </c>
      <c r="D329" s="3" t="s">
        <v>16</v>
      </c>
      <c r="E329" s="3">
        <v>10</v>
      </c>
      <c r="F329" s="3" t="s">
        <v>374</v>
      </c>
      <c r="G329" s="4" t="str">
        <f t="shared" si="20"/>
        <v>23782</v>
      </c>
      <c r="H329" t="str">
        <f t="shared" si="21"/>
        <v>Yağmur GÜZELGÜL</v>
      </c>
      <c r="I329" t="str">
        <f t="shared" si="22"/>
        <v>10M Aşçılık</v>
      </c>
      <c r="J329" t="str">
        <f t="shared" si="23"/>
        <v>10M</v>
      </c>
    </row>
    <row r="330" spans="1:10" x14ac:dyDescent="0.25">
      <c r="A330" s="3">
        <v>31010150416</v>
      </c>
      <c r="B330" s="3" t="s">
        <v>393</v>
      </c>
      <c r="C330" s="3" t="s">
        <v>12</v>
      </c>
      <c r="D330" s="3" t="s">
        <v>16</v>
      </c>
      <c r="E330" s="3">
        <v>10</v>
      </c>
      <c r="F330" s="3" t="s">
        <v>374</v>
      </c>
      <c r="G330" s="4" t="str">
        <f t="shared" si="20"/>
        <v>50416</v>
      </c>
      <c r="H330" t="str">
        <f t="shared" si="21"/>
        <v>Yiğit GADİŞ</v>
      </c>
      <c r="I330" t="str">
        <f t="shared" si="22"/>
        <v>10M Aşçılık</v>
      </c>
      <c r="J330" t="str">
        <f t="shared" si="23"/>
        <v>10M</v>
      </c>
    </row>
    <row r="331" spans="1:10" x14ac:dyDescent="0.25">
      <c r="A331" s="3">
        <v>23396736100</v>
      </c>
      <c r="B331" s="3" t="s">
        <v>394</v>
      </c>
      <c r="C331" s="3" t="s">
        <v>12</v>
      </c>
      <c r="D331" s="3" t="s">
        <v>395</v>
      </c>
      <c r="E331" s="3">
        <v>10</v>
      </c>
      <c r="F331" s="3" t="s">
        <v>28</v>
      </c>
      <c r="G331" s="4" t="str">
        <f t="shared" si="20"/>
        <v>36100</v>
      </c>
      <c r="H331" t="str">
        <f t="shared" si="21"/>
        <v>Önder DOĞRU</v>
      </c>
      <c r="I331" t="str">
        <f t="shared" si="22"/>
        <v>10A2 Ayakkabı Üretimi</v>
      </c>
      <c r="J331" t="str">
        <f t="shared" si="23"/>
        <v>10A</v>
      </c>
    </row>
    <row r="332" spans="1:10" x14ac:dyDescent="0.25">
      <c r="A332" s="3">
        <v>55774060576</v>
      </c>
      <c r="B332" s="3" t="s">
        <v>396</v>
      </c>
      <c r="C332" s="3" t="s">
        <v>12</v>
      </c>
      <c r="D332" s="3" t="s">
        <v>27</v>
      </c>
      <c r="E332" s="3">
        <v>10</v>
      </c>
      <c r="F332" s="3" t="s">
        <v>32</v>
      </c>
      <c r="G332" s="4" t="str">
        <f t="shared" si="20"/>
        <v>60576</v>
      </c>
      <c r="H332" t="str">
        <f t="shared" si="21"/>
        <v>Abdülkerim AKIN</v>
      </c>
      <c r="I332" t="str">
        <f t="shared" si="22"/>
        <v>10E1 Bilgisayar Teknik Servisi</v>
      </c>
      <c r="J332" t="str">
        <f t="shared" si="23"/>
        <v>10E</v>
      </c>
    </row>
    <row r="333" spans="1:10" x14ac:dyDescent="0.25">
      <c r="A333" s="3">
        <v>39628863094</v>
      </c>
      <c r="B333" s="3" t="s">
        <v>397</v>
      </c>
      <c r="C333" s="3" t="s">
        <v>12</v>
      </c>
      <c r="D333" s="3" t="s">
        <v>27</v>
      </c>
      <c r="E333" s="3">
        <v>10</v>
      </c>
      <c r="F333" s="3" t="s">
        <v>32</v>
      </c>
      <c r="G333" s="4" t="str">
        <f t="shared" si="20"/>
        <v>63094</v>
      </c>
      <c r="H333" t="str">
        <f t="shared" si="21"/>
        <v>Arslan Fatih YOĞURTÇU</v>
      </c>
      <c r="I333" t="str">
        <f t="shared" si="22"/>
        <v>10E1 Bilgisayar Teknik Servisi</v>
      </c>
      <c r="J333" t="str">
        <f t="shared" si="23"/>
        <v>10E</v>
      </c>
    </row>
    <row r="334" spans="1:10" x14ac:dyDescent="0.25">
      <c r="A334" s="3">
        <v>61615499528</v>
      </c>
      <c r="B334" s="3" t="s">
        <v>398</v>
      </c>
      <c r="C334" s="3" t="s">
        <v>12</v>
      </c>
      <c r="D334" s="3" t="s">
        <v>27</v>
      </c>
      <c r="E334" s="3">
        <v>10</v>
      </c>
      <c r="F334" s="3" t="s">
        <v>32</v>
      </c>
      <c r="G334" s="4" t="str">
        <f t="shared" si="20"/>
        <v>99528</v>
      </c>
      <c r="H334" t="str">
        <f t="shared" si="21"/>
        <v>Belinay Havva TAŞPINAR</v>
      </c>
      <c r="I334" t="str">
        <f t="shared" si="22"/>
        <v>10E1 Bilgisayar Teknik Servisi</v>
      </c>
      <c r="J334" t="str">
        <f t="shared" si="23"/>
        <v>10E</v>
      </c>
    </row>
    <row r="335" spans="1:10" x14ac:dyDescent="0.25">
      <c r="A335" s="3">
        <v>60715159790</v>
      </c>
      <c r="B335" s="3" t="s">
        <v>399</v>
      </c>
      <c r="C335" s="3" t="s">
        <v>12</v>
      </c>
      <c r="D335" s="3" t="s">
        <v>27</v>
      </c>
      <c r="E335" s="3">
        <v>10</v>
      </c>
      <c r="F335" s="3" t="s">
        <v>32</v>
      </c>
      <c r="G335" s="4" t="str">
        <f t="shared" si="20"/>
        <v>59790</v>
      </c>
      <c r="H335" t="str">
        <f t="shared" si="21"/>
        <v>Beren TÜRKOĞLU</v>
      </c>
      <c r="I335" t="str">
        <f t="shared" si="22"/>
        <v>10E1 Bilgisayar Teknik Servisi</v>
      </c>
      <c r="J335" t="str">
        <f t="shared" si="23"/>
        <v>10E</v>
      </c>
    </row>
    <row r="336" spans="1:10" x14ac:dyDescent="0.25">
      <c r="A336" s="3">
        <v>24110747792</v>
      </c>
      <c r="B336" s="3" t="s">
        <v>400</v>
      </c>
      <c r="C336" s="3" t="s">
        <v>12</v>
      </c>
      <c r="D336" s="3" t="s">
        <v>27</v>
      </c>
      <c r="E336" s="3">
        <v>10</v>
      </c>
      <c r="F336" s="3" t="s">
        <v>32</v>
      </c>
      <c r="G336" s="4" t="str">
        <f t="shared" si="20"/>
        <v>47792</v>
      </c>
      <c r="H336" t="str">
        <f t="shared" si="21"/>
        <v>Furkan YÜCEMAN</v>
      </c>
      <c r="I336" t="str">
        <f t="shared" si="22"/>
        <v>10E1 Bilgisayar Teknik Servisi</v>
      </c>
      <c r="J336" t="str">
        <f t="shared" si="23"/>
        <v>10E</v>
      </c>
    </row>
    <row r="337" spans="1:10" x14ac:dyDescent="0.25">
      <c r="A337" s="3">
        <v>11625166132</v>
      </c>
      <c r="B337" s="3" t="s">
        <v>401</v>
      </c>
      <c r="C337" s="3" t="s">
        <v>12</v>
      </c>
      <c r="D337" s="3" t="s">
        <v>31</v>
      </c>
      <c r="E337" s="3">
        <v>10</v>
      </c>
      <c r="F337" s="3" t="s">
        <v>402</v>
      </c>
      <c r="G337" s="4" t="str">
        <f t="shared" si="20"/>
        <v>66132</v>
      </c>
      <c r="H337" t="str">
        <f t="shared" si="21"/>
        <v>Ali Enes KAZIK</v>
      </c>
      <c r="I337" t="str">
        <f t="shared" si="22"/>
        <v>10L Bilgisayarlı Makine İmalatı</v>
      </c>
      <c r="J337" t="str">
        <f t="shared" si="23"/>
        <v>10L</v>
      </c>
    </row>
    <row r="338" spans="1:10" x14ac:dyDescent="0.25">
      <c r="A338" s="3">
        <v>19691527482</v>
      </c>
      <c r="B338" s="3" t="s">
        <v>403</v>
      </c>
      <c r="C338" s="3" t="s">
        <v>12</v>
      </c>
      <c r="D338" s="3" t="s">
        <v>31</v>
      </c>
      <c r="E338" s="3">
        <v>10</v>
      </c>
      <c r="F338" s="3" t="s">
        <v>402</v>
      </c>
      <c r="G338" s="4" t="str">
        <f t="shared" si="20"/>
        <v>27482</v>
      </c>
      <c r="H338" t="str">
        <f t="shared" si="21"/>
        <v>Arda GÖKDEMİR</v>
      </c>
      <c r="I338" t="str">
        <f t="shared" si="22"/>
        <v>10L Bilgisayarlı Makine İmalatı</v>
      </c>
      <c r="J338" t="str">
        <f t="shared" si="23"/>
        <v>10L</v>
      </c>
    </row>
    <row r="339" spans="1:10" x14ac:dyDescent="0.25">
      <c r="A339" s="3">
        <v>56500300010</v>
      </c>
      <c r="B339" s="3" t="s">
        <v>404</v>
      </c>
      <c r="C339" s="3" t="s">
        <v>12</v>
      </c>
      <c r="D339" s="3" t="s">
        <v>31</v>
      </c>
      <c r="E339" s="3">
        <v>10</v>
      </c>
      <c r="F339" s="3" t="s">
        <v>402</v>
      </c>
      <c r="G339" s="4" t="str">
        <f t="shared" si="20"/>
        <v>00010</v>
      </c>
      <c r="H339" t="str">
        <f t="shared" si="21"/>
        <v>Bedirhan SOYLU</v>
      </c>
      <c r="I339" t="str">
        <f t="shared" si="22"/>
        <v>10L Bilgisayarlı Makine İmalatı</v>
      </c>
      <c r="J339" t="str">
        <f t="shared" si="23"/>
        <v>10L</v>
      </c>
    </row>
    <row r="340" spans="1:10" x14ac:dyDescent="0.25">
      <c r="A340" s="3">
        <v>33419438218</v>
      </c>
      <c r="B340" s="3" t="s">
        <v>405</v>
      </c>
      <c r="C340" s="3" t="s">
        <v>12</v>
      </c>
      <c r="D340" s="3" t="s">
        <v>31</v>
      </c>
      <c r="E340" s="3">
        <v>10</v>
      </c>
      <c r="F340" s="3" t="s">
        <v>402</v>
      </c>
      <c r="G340" s="4" t="str">
        <f t="shared" si="20"/>
        <v>38218</v>
      </c>
      <c r="H340" t="str">
        <f t="shared" si="21"/>
        <v>Berat Kaan KURTULDU</v>
      </c>
      <c r="I340" t="str">
        <f t="shared" si="22"/>
        <v>10L Bilgisayarlı Makine İmalatı</v>
      </c>
      <c r="J340" t="str">
        <f t="shared" si="23"/>
        <v>10L</v>
      </c>
    </row>
    <row r="341" spans="1:10" x14ac:dyDescent="0.25">
      <c r="A341" s="3">
        <v>40930819464</v>
      </c>
      <c r="B341" s="3" t="s">
        <v>406</v>
      </c>
      <c r="C341" s="3" t="s">
        <v>12</v>
      </c>
      <c r="D341" s="3" t="s">
        <v>31</v>
      </c>
      <c r="E341" s="3">
        <v>10</v>
      </c>
      <c r="F341" s="3" t="s">
        <v>402</v>
      </c>
      <c r="G341" s="4" t="str">
        <f t="shared" si="20"/>
        <v>19464</v>
      </c>
      <c r="H341" t="str">
        <f t="shared" si="21"/>
        <v>Ensar DEDE</v>
      </c>
      <c r="I341" t="str">
        <f t="shared" si="22"/>
        <v>10L Bilgisayarlı Makine İmalatı</v>
      </c>
      <c r="J341" t="str">
        <f t="shared" si="23"/>
        <v>10L</v>
      </c>
    </row>
    <row r="342" spans="1:10" x14ac:dyDescent="0.25">
      <c r="A342" s="3">
        <v>42778757366</v>
      </c>
      <c r="B342" s="3" t="s">
        <v>407</v>
      </c>
      <c r="C342" s="3" t="s">
        <v>12</v>
      </c>
      <c r="D342" s="3" t="s">
        <v>31</v>
      </c>
      <c r="E342" s="3">
        <v>10</v>
      </c>
      <c r="F342" s="3" t="s">
        <v>402</v>
      </c>
      <c r="G342" s="4" t="str">
        <f t="shared" si="20"/>
        <v>57366</v>
      </c>
      <c r="H342" t="str">
        <f t="shared" si="21"/>
        <v>Eray BATTAL</v>
      </c>
      <c r="I342" t="str">
        <f t="shared" si="22"/>
        <v>10L Bilgisayarlı Makine İmalatı</v>
      </c>
      <c r="J342" t="str">
        <f t="shared" si="23"/>
        <v>10L</v>
      </c>
    </row>
    <row r="343" spans="1:10" x14ac:dyDescent="0.25">
      <c r="A343" s="3">
        <v>38348276146</v>
      </c>
      <c r="B343" s="3" t="s">
        <v>408</v>
      </c>
      <c r="C343" s="3" t="s">
        <v>12</v>
      </c>
      <c r="D343" s="3" t="s">
        <v>31</v>
      </c>
      <c r="E343" s="3">
        <v>10</v>
      </c>
      <c r="F343" s="3" t="s">
        <v>402</v>
      </c>
      <c r="G343" s="4" t="str">
        <f t="shared" si="20"/>
        <v>76146</v>
      </c>
      <c r="H343" t="str">
        <f t="shared" si="21"/>
        <v>Eren Deniz DİNÇ</v>
      </c>
      <c r="I343" t="str">
        <f t="shared" si="22"/>
        <v>10L Bilgisayarlı Makine İmalatı</v>
      </c>
      <c r="J343" t="str">
        <f t="shared" si="23"/>
        <v>10L</v>
      </c>
    </row>
    <row r="344" spans="1:10" x14ac:dyDescent="0.25">
      <c r="A344" s="3">
        <v>38762212416</v>
      </c>
      <c r="B344" s="3" t="s">
        <v>409</v>
      </c>
      <c r="C344" s="3" t="s">
        <v>12</v>
      </c>
      <c r="D344" s="3" t="s">
        <v>31</v>
      </c>
      <c r="E344" s="3">
        <v>10</v>
      </c>
      <c r="F344" s="3" t="s">
        <v>402</v>
      </c>
      <c r="G344" s="4" t="str">
        <f t="shared" si="20"/>
        <v>12416</v>
      </c>
      <c r="H344" t="str">
        <f t="shared" si="21"/>
        <v>Halil İbrahim KARA</v>
      </c>
      <c r="I344" t="str">
        <f t="shared" si="22"/>
        <v>10L Bilgisayarlı Makine İmalatı</v>
      </c>
      <c r="J344" t="str">
        <f t="shared" si="23"/>
        <v>10L</v>
      </c>
    </row>
    <row r="345" spans="1:10" x14ac:dyDescent="0.25">
      <c r="A345" s="3">
        <v>55537516142</v>
      </c>
      <c r="B345" s="3" t="s">
        <v>410</v>
      </c>
      <c r="C345" s="3" t="s">
        <v>12</v>
      </c>
      <c r="D345" s="3" t="s">
        <v>31</v>
      </c>
      <c r="E345" s="3">
        <v>10</v>
      </c>
      <c r="F345" s="3" t="s">
        <v>402</v>
      </c>
      <c r="G345" s="4" t="str">
        <f t="shared" si="20"/>
        <v>16142</v>
      </c>
      <c r="H345" t="str">
        <f t="shared" si="21"/>
        <v>Mert GÜREL</v>
      </c>
      <c r="I345" t="str">
        <f t="shared" si="22"/>
        <v>10L Bilgisayarlı Makine İmalatı</v>
      </c>
      <c r="J345" t="str">
        <f t="shared" si="23"/>
        <v>10L</v>
      </c>
    </row>
    <row r="346" spans="1:10" x14ac:dyDescent="0.25">
      <c r="A346" s="3">
        <v>57178646868</v>
      </c>
      <c r="B346" s="3" t="s">
        <v>411</v>
      </c>
      <c r="C346" s="3" t="s">
        <v>12</v>
      </c>
      <c r="D346" s="3" t="s">
        <v>31</v>
      </c>
      <c r="E346" s="3">
        <v>10</v>
      </c>
      <c r="F346" s="3" t="s">
        <v>402</v>
      </c>
      <c r="G346" s="4" t="str">
        <f t="shared" si="20"/>
        <v>46868</v>
      </c>
      <c r="H346" t="str">
        <f t="shared" si="21"/>
        <v>Muhammet KAÇAR</v>
      </c>
      <c r="I346" t="str">
        <f t="shared" si="22"/>
        <v>10L Bilgisayarlı Makine İmalatı</v>
      </c>
      <c r="J346" t="str">
        <f t="shared" si="23"/>
        <v>10L</v>
      </c>
    </row>
    <row r="347" spans="1:10" x14ac:dyDescent="0.25">
      <c r="A347" s="3">
        <v>49114547230</v>
      </c>
      <c r="B347" s="3" t="s">
        <v>412</v>
      </c>
      <c r="C347" s="3" t="s">
        <v>12</v>
      </c>
      <c r="D347" s="3" t="s">
        <v>31</v>
      </c>
      <c r="E347" s="3">
        <v>10</v>
      </c>
      <c r="F347" s="3" t="s">
        <v>402</v>
      </c>
      <c r="G347" s="4" t="str">
        <f t="shared" si="20"/>
        <v>47230</v>
      </c>
      <c r="H347" t="str">
        <f t="shared" si="21"/>
        <v>Rezak Çınar DENİZ</v>
      </c>
      <c r="I347" t="str">
        <f t="shared" si="22"/>
        <v>10L Bilgisayarlı Makine İmalatı</v>
      </c>
      <c r="J347" t="str">
        <f t="shared" si="23"/>
        <v>10L</v>
      </c>
    </row>
    <row r="348" spans="1:10" x14ac:dyDescent="0.25">
      <c r="A348" s="3">
        <v>45022683404</v>
      </c>
      <c r="B348" s="3" t="s">
        <v>413</v>
      </c>
      <c r="C348" s="3" t="s">
        <v>12</v>
      </c>
      <c r="D348" s="3" t="s">
        <v>31</v>
      </c>
      <c r="E348" s="3">
        <v>10</v>
      </c>
      <c r="F348" s="3" t="s">
        <v>402</v>
      </c>
      <c r="G348" s="4" t="str">
        <f t="shared" si="20"/>
        <v>83404</v>
      </c>
      <c r="H348" t="str">
        <f t="shared" si="21"/>
        <v>Serkan ÇETİNKAYA</v>
      </c>
      <c r="I348" t="str">
        <f t="shared" si="22"/>
        <v>10L Bilgisayarlı Makine İmalatı</v>
      </c>
      <c r="J348" t="str">
        <f t="shared" si="23"/>
        <v>10L</v>
      </c>
    </row>
    <row r="349" spans="1:10" x14ac:dyDescent="0.25">
      <c r="A349" s="3">
        <v>58300240350</v>
      </c>
      <c r="B349" s="3" t="s">
        <v>414</v>
      </c>
      <c r="C349" s="3" t="s">
        <v>12</v>
      </c>
      <c r="D349" s="3" t="s">
        <v>31</v>
      </c>
      <c r="E349" s="3">
        <v>10</v>
      </c>
      <c r="F349" s="3" t="s">
        <v>402</v>
      </c>
      <c r="G349" s="4" t="str">
        <f t="shared" si="20"/>
        <v>40350</v>
      </c>
      <c r="H349" t="str">
        <f t="shared" si="21"/>
        <v>Yakup ÇAMCI</v>
      </c>
      <c r="I349" t="str">
        <f t="shared" si="22"/>
        <v>10L Bilgisayarlı Makine İmalatı</v>
      </c>
      <c r="J349" t="str">
        <f t="shared" si="23"/>
        <v>10L</v>
      </c>
    </row>
    <row r="350" spans="1:10" x14ac:dyDescent="0.25">
      <c r="A350" s="3">
        <v>48757693458</v>
      </c>
      <c r="B350" s="3" t="s">
        <v>415</v>
      </c>
      <c r="C350" s="3" t="s">
        <v>12</v>
      </c>
      <c r="D350" s="3" t="s">
        <v>31</v>
      </c>
      <c r="E350" s="3">
        <v>10</v>
      </c>
      <c r="F350" s="3" t="s">
        <v>402</v>
      </c>
      <c r="G350" s="4" t="str">
        <f t="shared" si="20"/>
        <v>93458</v>
      </c>
      <c r="H350" t="str">
        <f t="shared" si="21"/>
        <v>Yakup KAYA</v>
      </c>
      <c r="I350" t="str">
        <f t="shared" si="22"/>
        <v>10L Bilgisayarlı Makine İmalatı</v>
      </c>
      <c r="J350" t="str">
        <f t="shared" si="23"/>
        <v>10L</v>
      </c>
    </row>
    <row r="351" spans="1:10" x14ac:dyDescent="0.25">
      <c r="A351" s="3">
        <v>24365372114</v>
      </c>
      <c r="B351" s="3" t="s">
        <v>416</v>
      </c>
      <c r="C351" s="3" t="s">
        <v>12</v>
      </c>
      <c r="D351" s="3" t="s">
        <v>31</v>
      </c>
      <c r="E351" s="3">
        <v>10</v>
      </c>
      <c r="F351" s="3" t="s">
        <v>402</v>
      </c>
      <c r="G351" s="4" t="str">
        <f t="shared" si="20"/>
        <v>72114</v>
      </c>
      <c r="H351" t="str">
        <f t="shared" si="21"/>
        <v>Yiğit AKGÜL</v>
      </c>
      <c r="I351" t="str">
        <f t="shared" si="22"/>
        <v>10L Bilgisayarlı Makine İmalatı</v>
      </c>
      <c r="J351" t="str">
        <f t="shared" si="23"/>
        <v>10L</v>
      </c>
    </row>
    <row r="352" spans="1:10" x14ac:dyDescent="0.25">
      <c r="A352" s="3">
        <v>27497450828</v>
      </c>
      <c r="B352" s="3" t="s">
        <v>417</v>
      </c>
      <c r="C352" s="3" t="s">
        <v>12</v>
      </c>
      <c r="D352" s="3" t="s">
        <v>50</v>
      </c>
      <c r="E352" s="3">
        <v>10</v>
      </c>
      <c r="F352" s="3" t="s">
        <v>92</v>
      </c>
      <c r="G352" s="4" t="str">
        <f t="shared" si="20"/>
        <v>50828</v>
      </c>
      <c r="H352" t="str">
        <f t="shared" si="21"/>
        <v>Berat BOYRAZ</v>
      </c>
      <c r="I352" t="str">
        <f t="shared" si="22"/>
        <v>10E Bobinaj</v>
      </c>
      <c r="J352" t="str">
        <f t="shared" si="23"/>
        <v>10E</v>
      </c>
    </row>
    <row r="353" spans="1:10" x14ac:dyDescent="0.25">
      <c r="A353" s="3">
        <v>50716493016</v>
      </c>
      <c r="B353" s="3" t="s">
        <v>418</v>
      </c>
      <c r="C353" s="3" t="s">
        <v>12</v>
      </c>
      <c r="D353" s="3" t="s">
        <v>50</v>
      </c>
      <c r="E353" s="3">
        <v>10</v>
      </c>
      <c r="F353" s="3" t="s">
        <v>14</v>
      </c>
      <c r="G353" s="4" t="str">
        <f t="shared" si="20"/>
        <v>93016</v>
      </c>
      <c r="H353" t="str">
        <f t="shared" si="21"/>
        <v>Eren TOKCAN</v>
      </c>
      <c r="I353" t="str">
        <f t="shared" si="22"/>
        <v>10D Bobinaj</v>
      </c>
      <c r="J353" t="str">
        <f t="shared" si="23"/>
        <v>10D</v>
      </c>
    </row>
    <row r="354" spans="1:10" x14ac:dyDescent="0.25">
      <c r="A354" s="3">
        <v>56089314736</v>
      </c>
      <c r="B354" s="3" t="s">
        <v>419</v>
      </c>
      <c r="C354" s="3" t="s">
        <v>12</v>
      </c>
      <c r="D354" s="3" t="s">
        <v>50</v>
      </c>
      <c r="E354" s="3">
        <v>10</v>
      </c>
      <c r="F354" s="3" t="s">
        <v>14</v>
      </c>
      <c r="G354" s="4" t="str">
        <f t="shared" si="20"/>
        <v>14736</v>
      </c>
      <c r="H354" t="str">
        <f t="shared" si="21"/>
        <v>Harun ÇAKIR</v>
      </c>
      <c r="I354" t="str">
        <f t="shared" si="22"/>
        <v>10D Bobinaj</v>
      </c>
      <c r="J354" t="str">
        <f t="shared" si="23"/>
        <v>10D</v>
      </c>
    </row>
    <row r="355" spans="1:10" x14ac:dyDescent="0.25">
      <c r="A355" s="3">
        <v>22741887504</v>
      </c>
      <c r="B355" s="3" t="s">
        <v>420</v>
      </c>
      <c r="C355" s="3" t="s">
        <v>12</v>
      </c>
      <c r="D355" s="3" t="s">
        <v>50</v>
      </c>
      <c r="E355" s="3">
        <v>10</v>
      </c>
      <c r="F355" s="3" t="s">
        <v>92</v>
      </c>
      <c r="G355" s="4" t="str">
        <f t="shared" si="20"/>
        <v>87504</v>
      </c>
      <c r="H355" t="str">
        <f t="shared" si="21"/>
        <v>Hüsnü MERÇ</v>
      </c>
      <c r="I355" t="str">
        <f t="shared" si="22"/>
        <v>10E Bobinaj</v>
      </c>
      <c r="J355" t="str">
        <f t="shared" si="23"/>
        <v>10E</v>
      </c>
    </row>
    <row r="356" spans="1:10" x14ac:dyDescent="0.25">
      <c r="A356" s="3">
        <v>34583031298</v>
      </c>
      <c r="B356" s="3" t="s">
        <v>421</v>
      </c>
      <c r="C356" s="3" t="s">
        <v>12</v>
      </c>
      <c r="D356" s="3" t="s">
        <v>50</v>
      </c>
      <c r="E356" s="3">
        <v>10</v>
      </c>
      <c r="F356" s="3" t="s">
        <v>92</v>
      </c>
      <c r="G356" s="4" t="str">
        <f t="shared" si="20"/>
        <v>31298</v>
      </c>
      <c r="H356" t="str">
        <f t="shared" si="21"/>
        <v>İbrahim KILIÇ</v>
      </c>
      <c r="I356" t="str">
        <f t="shared" si="22"/>
        <v>10E Bobinaj</v>
      </c>
      <c r="J356" t="str">
        <f t="shared" si="23"/>
        <v>10E</v>
      </c>
    </row>
    <row r="357" spans="1:10" x14ac:dyDescent="0.25">
      <c r="A357" s="3">
        <v>49579531508</v>
      </c>
      <c r="B357" s="3" t="s">
        <v>422</v>
      </c>
      <c r="C357" s="3" t="s">
        <v>12</v>
      </c>
      <c r="D357" s="3" t="s">
        <v>50</v>
      </c>
      <c r="E357" s="3">
        <v>10</v>
      </c>
      <c r="F357" s="3" t="s">
        <v>92</v>
      </c>
      <c r="G357" s="4" t="str">
        <f t="shared" si="20"/>
        <v>31508</v>
      </c>
      <c r="H357" t="str">
        <f t="shared" si="21"/>
        <v>İzzet Buğra AKAY</v>
      </c>
      <c r="I357" t="str">
        <f t="shared" si="22"/>
        <v>10E Bobinaj</v>
      </c>
      <c r="J357" t="str">
        <f t="shared" si="23"/>
        <v>10E</v>
      </c>
    </row>
    <row r="358" spans="1:10" x14ac:dyDescent="0.25">
      <c r="A358" s="3">
        <v>50578341104</v>
      </c>
      <c r="B358" s="3" t="s">
        <v>423</v>
      </c>
      <c r="C358" s="3" t="s">
        <v>12</v>
      </c>
      <c r="D358" s="3" t="s">
        <v>50</v>
      </c>
      <c r="E358" s="3">
        <v>10</v>
      </c>
      <c r="F358" s="3" t="s">
        <v>14</v>
      </c>
      <c r="G358" s="4" t="str">
        <f t="shared" si="20"/>
        <v>41104</v>
      </c>
      <c r="H358" t="str">
        <f t="shared" si="21"/>
        <v>Mikail Mustafa DERİN</v>
      </c>
      <c r="I358" t="str">
        <f t="shared" si="22"/>
        <v>10D Bobinaj</v>
      </c>
      <c r="J358" t="str">
        <f t="shared" si="23"/>
        <v>10D</v>
      </c>
    </row>
    <row r="359" spans="1:10" x14ac:dyDescent="0.25">
      <c r="A359" s="3">
        <v>68869256280</v>
      </c>
      <c r="B359" s="3" t="s">
        <v>424</v>
      </c>
      <c r="C359" s="3" t="s">
        <v>12</v>
      </c>
      <c r="D359" s="3" t="s">
        <v>50</v>
      </c>
      <c r="E359" s="3">
        <v>10</v>
      </c>
      <c r="F359" s="3" t="s">
        <v>14</v>
      </c>
      <c r="G359" s="4" t="str">
        <f t="shared" si="20"/>
        <v>56280</v>
      </c>
      <c r="H359" t="str">
        <f t="shared" si="21"/>
        <v>Mustafa KURT</v>
      </c>
      <c r="I359" t="str">
        <f t="shared" si="22"/>
        <v>10D Bobinaj</v>
      </c>
      <c r="J359" t="str">
        <f t="shared" si="23"/>
        <v>10D</v>
      </c>
    </row>
    <row r="360" spans="1:10" x14ac:dyDescent="0.25">
      <c r="A360" s="3">
        <v>69739114044</v>
      </c>
      <c r="B360" s="3" t="s">
        <v>425</v>
      </c>
      <c r="C360" s="3" t="s">
        <v>12</v>
      </c>
      <c r="D360" s="3" t="s">
        <v>50</v>
      </c>
      <c r="E360" s="3">
        <v>10</v>
      </c>
      <c r="F360" s="3" t="s">
        <v>14</v>
      </c>
      <c r="G360" s="4" t="str">
        <f t="shared" si="20"/>
        <v>14044</v>
      </c>
      <c r="H360" t="str">
        <f t="shared" si="21"/>
        <v>Yaver ERBULUN</v>
      </c>
      <c r="I360" t="str">
        <f t="shared" si="22"/>
        <v>10D Bobinaj</v>
      </c>
      <c r="J360" t="str">
        <f t="shared" si="23"/>
        <v>10D</v>
      </c>
    </row>
    <row r="361" spans="1:10" x14ac:dyDescent="0.25">
      <c r="A361" s="3">
        <v>49858228792</v>
      </c>
      <c r="B361" s="3" t="s">
        <v>426</v>
      </c>
      <c r="C361" s="3" t="s">
        <v>12</v>
      </c>
      <c r="D361" s="3" t="s">
        <v>53</v>
      </c>
      <c r="E361" s="3">
        <v>10</v>
      </c>
      <c r="F361" s="3" t="s">
        <v>94</v>
      </c>
      <c r="G361" s="4" t="str">
        <f t="shared" si="20"/>
        <v>28792</v>
      </c>
      <c r="H361" t="str">
        <f t="shared" si="21"/>
        <v>Arzu TOK</v>
      </c>
      <c r="I361" t="str">
        <f t="shared" si="22"/>
        <v>10A Cilt Bakımı Ve Makyaj</v>
      </c>
      <c r="J361" t="str">
        <f t="shared" si="23"/>
        <v>10A</v>
      </c>
    </row>
    <row r="362" spans="1:10" x14ac:dyDescent="0.25">
      <c r="A362" s="3">
        <v>49393250296</v>
      </c>
      <c r="B362" s="3" t="s">
        <v>427</v>
      </c>
      <c r="C362" s="3" t="s">
        <v>12</v>
      </c>
      <c r="D362" s="3" t="s">
        <v>53</v>
      </c>
      <c r="E362" s="3">
        <v>10</v>
      </c>
      <c r="F362" s="3" t="s">
        <v>58</v>
      </c>
      <c r="G362" s="4" t="str">
        <f t="shared" si="20"/>
        <v>50296</v>
      </c>
      <c r="H362" t="str">
        <f t="shared" si="21"/>
        <v>Dilara NAYCI</v>
      </c>
      <c r="I362" t="str">
        <f t="shared" si="22"/>
        <v>10B Cilt Bakımı Ve Makyaj</v>
      </c>
      <c r="J362" t="str">
        <f t="shared" si="23"/>
        <v>10B</v>
      </c>
    </row>
    <row r="363" spans="1:10" x14ac:dyDescent="0.25">
      <c r="A363" s="3">
        <v>19886521066</v>
      </c>
      <c r="B363" s="3" t="s">
        <v>428</v>
      </c>
      <c r="C363" s="3" t="s">
        <v>12</v>
      </c>
      <c r="D363" s="3" t="s">
        <v>53</v>
      </c>
      <c r="E363" s="3">
        <v>10</v>
      </c>
      <c r="F363" s="3" t="s">
        <v>58</v>
      </c>
      <c r="G363" s="4" t="str">
        <f t="shared" si="20"/>
        <v>21066</v>
      </c>
      <c r="H363" t="str">
        <f t="shared" si="21"/>
        <v>Doğa DURAK</v>
      </c>
      <c r="I363" t="str">
        <f t="shared" si="22"/>
        <v>10B Cilt Bakımı Ve Makyaj</v>
      </c>
      <c r="J363" t="str">
        <f t="shared" si="23"/>
        <v>10B</v>
      </c>
    </row>
    <row r="364" spans="1:10" x14ac:dyDescent="0.25">
      <c r="A364" s="3">
        <v>61630103752</v>
      </c>
      <c r="B364" s="3" t="s">
        <v>429</v>
      </c>
      <c r="C364" s="3" t="s">
        <v>12</v>
      </c>
      <c r="D364" s="3" t="s">
        <v>53</v>
      </c>
      <c r="E364" s="3">
        <v>10</v>
      </c>
      <c r="F364" s="2"/>
      <c r="G364" s="4" t="str">
        <f t="shared" si="20"/>
        <v>03752</v>
      </c>
      <c r="H364" t="str">
        <f t="shared" si="21"/>
        <v>Ela MALKOÇ</v>
      </c>
      <c r="I364" t="str">
        <f t="shared" si="22"/>
        <v>10 Cilt Bakımı Ve Makyaj</v>
      </c>
      <c r="J364" t="str">
        <f t="shared" si="23"/>
        <v xml:space="preserve">10 </v>
      </c>
    </row>
    <row r="365" spans="1:10" x14ac:dyDescent="0.25">
      <c r="A365" s="3">
        <v>29978184086</v>
      </c>
      <c r="B365" s="3" t="s">
        <v>430</v>
      </c>
      <c r="C365" s="3" t="s">
        <v>12</v>
      </c>
      <c r="D365" s="3" t="s">
        <v>53</v>
      </c>
      <c r="E365" s="3">
        <v>10</v>
      </c>
      <c r="F365" s="3" t="s">
        <v>58</v>
      </c>
      <c r="G365" s="4" t="str">
        <f t="shared" si="20"/>
        <v>84086</v>
      </c>
      <c r="H365" t="str">
        <f t="shared" si="21"/>
        <v>Elif Minel BERÇİN</v>
      </c>
      <c r="I365" t="str">
        <f t="shared" si="22"/>
        <v>10B Cilt Bakımı Ve Makyaj</v>
      </c>
      <c r="J365" t="str">
        <f t="shared" si="23"/>
        <v>10B</v>
      </c>
    </row>
    <row r="366" spans="1:10" x14ac:dyDescent="0.25">
      <c r="A366" s="3">
        <v>99902182594</v>
      </c>
      <c r="B366" s="3" t="s">
        <v>431</v>
      </c>
      <c r="C366" s="3" t="s">
        <v>12</v>
      </c>
      <c r="D366" s="3" t="s">
        <v>53</v>
      </c>
      <c r="E366" s="3">
        <v>10</v>
      </c>
      <c r="F366" s="3" t="s">
        <v>94</v>
      </c>
      <c r="G366" s="4" t="str">
        <f t="shared" si="20"/>
        <v>82594</v>
      </c>
      <c r="H366" t="str">
        <f t="shared" si="21"/>
        <v>Ferah ELNASEN</v>
      </c>
      <c r="I366" t="str">
        <f t="shared" si="22"/>
        <v>10A Cilt Bakımı Ve Makyaj</v>
      </c>
      <c r="J366" t="str">
        <f t="shared" si="23"/>
        <v>10A</v>
      </c>
    </row>
    <row r="367" spans="1:10" x14ac:dyDescent="0.25">
      <c r="A367" s="3">
        <v>53872388240</v>
      </c>
      <c r="B367" s="3" t="s">
        <v>432</v>
      </c>
      <c r="C367" s="3" t="s">
        <v>12</v>
      </c>
      <c r="D367" s="3" t="s">
        <v>53</v>
      </c>
      <c r="E367" s="3">
        <v>10</v>
      </c>
      <c r="F367" s="3" t="s">
        <v>94</v>
      </c>
      <c r="G367" s="4" t="str">
        <f t="shared" si="20"/>
        <v>88240</v>
      </c>
      <c r="H367" t="str">
        <f t="shared" si="21"/>
        <v>Zeynep Ilgın AKPOLAT</v>
      </c>
      <c r="I367" t="str">
        <f t="shared" si="22"/>
        <v>10A Cilt Bakımı Ve Makyaj</v>
      </c>
      <c r="J367" t="str">
        <f t="shared" si="23"/>
        <v>10A</v>
      </c>
    </row>
    <row r="368" spans="1:10" x14ac:dyDescent="0.25">
      <c r="A368" s="3">
        <v>18290573982</v>
      </c>
      <c r="B368" s="3" t="s">
        <v>433</v>
      </c>
      <c r="C368" s="3" t="s">
        <v>12</v>
      </c>
      <c r="D368" s="3" t="s">
        <v>57</v>
      </c>
      <c r="E368" s="3">
        <v>10</v>
      </c>
      <c r="F368" s="3" t="s">
        <v>434</v>
      </c>
      <c r="G368" s="4" t="str">
        <f t="shared" si="20"/>
        <v>73982</v>
      </c>
      <c r="H368" t="str">
        <f t="shared" si="21"/>
        <v>Berkay TAŞKIN</v>
      </c>
      <c r="I368" t="str">
        <f t="shared" si="22"/>
        <v>10K Dizel Motorları Yakıt Pompası Ve Enjektör Ayarcılığı</v>
      </c>
      <c r="J368" t="str">
        <f t="shared" si="23"/>
        <v>10K</v>
      </c>
    </row>
    <row r="369" spans="1:10" x14ac:dyDescent="0.25">
      <c r="A369" s="3">
        <v>48664561246</v>
      </c>
      <c r="B369" s="3" t="s">
        <v>435</v>
      </c>
      <c r="C369" s="3" t="s">
        <v>12</v>
      </c>
      <c r="D369" s="3" t="s">
        <v>57</v>
      </c>
      <c r="E369" s="3">
        <v>10</v>
      </c>
      <c r="F369" s="3" t="s">
        <v>166</v>
      </c>
      <c r="G369" s="4" t="str">
        <f t="shared" si="20"/>
        <v>61246</v>
      </c>
      <c r="H369" t="str">
        <f t="shared" si="21"/>
        <v>İbrahim ZENGİN</v>
      </c>
      <c r="I369" t="str">
        <f t="shared" si="22"/>
        <v>10F Dizel Motorları Yakıt Pompası Ve Enjektör Ayarcılığı</v>
      </c>
      <c r="J369" t="str">
        <f t="shared" si="23"/>
        <v>10F</v>
      </c>
    </row>
    <row r="370" spans="1:10" x14ac:dyDescent="0.25">
      <c r="A370" s="3">
        <v>35551999084</v>
      </c>
      <c r="B370" s="3" t="s">
        <v>436</v>
      </c>
      <c r="C370" s="3" t="s">
        <v>12</v>
      </c>
      <c r="D370" s="3" t="s">
        <v>57</v>
      </c>
      <c r="E370" s="3">
        <v>10</v>
      </c>
      <c r="F370" s="3" t="s">
        <v>434</v>
      </c>
      <c r="G370" s="4" t="str">
        <f t="shared" si="20"/>
        <v>99084</v>
      </c>
      <c r="H370" t="str">
        <f t="shared" si="21"/>
        <v>Özkan ÖZKAN</v>
      </c>
      <c r="I370" t="str">
        <f t="shared" si="22"/>
        <v>10K Dizel Motorları Yakıt Pompası Ve Enjektör Ayarcılığı</v>
      </c>
      <c r="J370" t="str">
        <f t="shared" si="23"/>
        <v>10K</v>
      </c>
    </row>
    <row r="371" spans="1:10" x14ac:dyDescent="0.25">
      <c r="A371" s="3">
        <v>11357805538</v>
      </c>
      <c r="B371" s="3" t="s">
        <v>437</v>
      </c>
      <c r="C371" s="3" t="s">
        <v>12</v>
      </c>
      <c r="D371" s="3" t="s">
        <v>57</v>
      </c>
      <c r="E371" s="3">
        <v>10</v>
      </c>
      <c r="F371" s="3" t="s">
        <v>438</v>
      </c>
      <c r="G371" s="4" t="str">
        <f t="shared" si="20"/>
        <v>05538</v>
      </c>
      <c r="H371" t="str">
        <f t="shared" si="21"/>
        <v>Polat DÜZENLİ</v>
      </c>
      <c r="I371" t="str">
        <f t="shared" si="22"/>
        <v>10H Dizel Motorları Yakıt Pompası Ve Enjektör Ayarcılığı</v>
      </c>
      <c r="J371" t="str">
        <f t="shared" si="23"/>
        <v>10H</v>
      </c>
    </row>
    <row r="372" spans="1:10" x14ac:dyDescent="0.25">
      <c r="A372" s="3">
        <v>48487567470</v>
      </c>
      <c r="B372" s="3" t="s">
        <v>439</v>
      </c>
      <c r="C372" s="3" t="s">
        <v>12</v>
      </c>
      <c r="D372" s="3" t="s">
        <v>60</v>
      </c>
      <c r="E372" s="3">
        <v>10</v>
      </c>
      <c r="F372" s="3" t="s">
        <v>92</v>
      </c>
      <c r="G372" s="4" t="str">
        <f t="shared" si="20"/>
        <v>67470</v>
      </c>
      <c r="H372" t="str">
        <f t="shared" si="21"/>
        <v>Ahmet Can KÖLEMENOĞLU</v>
      </c>
      <c r="I372" t="str">
        <f t="shared" si="22"/>
        <v>10E Elektrik Tesisatları Ve Pano Montörlüğü</v>
      </c>
      <c r="J372" t="str">
        <f t="shared" si="23"/>
        <v>10E</v>
      </c>
    </row>
    <row r="373" spans="1:10" x14ac:dyDescent="0.25">
      <c r="A373" s="3">
        <v>55528333420</v>
      </c>
      <c r="B373" s="3" t="s">
        <v>440</v>
      </c>
      <c r="C373" s="3" t="s">
        <v>12</v>
      </c>
      <c r="D373" s="3" t="s">
        <v>60</v>
      </c>
      <c r="E373" s="3">
        <v>10</v>
      </c>
      <c r="F373" s="3" t="s">
        <v>14</v>
      </c>
      <c r="G373" s="4" t="str">
        <f t="shared" si="20"/>
        <v>33420</v>
      </c>
      <c r="H373" t="str">
        <f t="shared" si="21"/>
        <v>Ahmetcan EROL</v>
      </c>
      <c r="I373" t="str">
        <f t="shared" si="22"/>
        <v>10D Elektrik Tesisatları Ve Pano Montörlüğü</v>
      </c>
      <c r="J373" t="str">
        <f t="shared" si="23"/>
        <v>10D</v>
      </c>
    </row>
    <row r="374" spans="1:10" x14ac:dyDescent="0.25">
      <c r="A374" s="3">
        <v>61000150744</v>
      </c>
      <c r="B374" s="3" t="s">
        <v>441</v>
      </c>
      <c r="C374" s="3" t="s">
        <v>12</v>
      </c>
      <c r="D374" s="3" t="s">
        <v>60</v>
      </c>
      <c r="E374" s="3">
        <v>10</v>
      </c>
      <c r="F374" s="3" t="s">
        <v>92</v>
      </c>
      <c r="G374" s="4" t="str">
        <f t="shared" si="20"/>
        <v>50744</v>
      </c>
      <c r="H374" t="str">
        <f t="shared" si="21"/>
        <v>Ali Fırat ATLI</v>
      </c>
      <c r="I374" t="str">
        <f t="shared" si="22"/>
        <v>10E Elektrik Tesisatları Ve Pano Montörlüğü</v>
      </c>
      <c r="J374" t="str">
        <f t="shared" si="23"/>
        <v>10E</v>
      </c>
    </row>
    <row r="375" spans="1:10" x14ac:dyDescent="0.25">
      <c r="A375" s="3">
        <v>19763675554</v>
      </c>
      <c r="B375" s="3" t="s">
        <v>442</v>
      </c>
      <c r="C375" s="3" t="s">
        <v>12</v>
      </c>
      <c r="D375" s="3" t="s">
        <v>60</v>
      </c>
      <c r="E375" s="3">
        <v>10</v>
      </c>
      <c r="F375" s="3" t="s">
        <v>14</v>
      </c>
      <c r="G375" s="4" t="str">
        <f t="shared" si="20"/>
        <v>75554</v>
      </c>
      <c r="H375" t="str">
        <f t="shared" si="21"/>
        <v>Aslan AĞRAŞ</v>
      </c>
      <c r="I375" t="str">
        <f t="shared" si="22"/>
        <v>10D Elektrik Tesisatları Ve Pano Montörlüğü</v>
      </c>
      <c r="J375" t="str">
        <f t="shared" si="23"/>
        <v>10D</v>
      </c>
    </row>
    <row r="376" spans="1:10" x14ac:dyDescent="0.25">
      <c r="A376" s="3">
        <v>19751109610</v>
      </c>
      <c r="B376" s="3" t="s">
        <v>443</v>
      </c>
      <c r="C376" s="3" t="s">
        <v>12</v>
      </c>
      <c r="D376" s="3" t="s">
        <v>60</v>
      </c>
      <c r="E376" s="3">
        <v>10</v>
      </c>
      <c r="F376" s="3" t="s">
        <v>92</v>
      </c>
      <c r="G376" s="4" t="str">
        <f t="shared" si="20"/>
        <v>09610</v>
      </c>
      <c r="H376" t="str">
        <f t="shared" si="21"/>
        <v>Bekir KAYAHAN</v>
      </c>
      <c r="I376" t="str">
        <f t="shared" si="22"/>
        <v>10E Elektrik Tesisatları Ve Pano Montörlüğü</v>
      </c>
      <c r="J376" t="str">
        <f t="shared" si="23"/>
        <v>10E</v>
      </c>
    </row>
    <row r="377" spans="1:10" x14ac:dyDescent="0.25">
      <c r="A377" s="3">
        <v>58825008534</v>
      </c>
      <c r="B377" s="3" t="s">
        <v>444</v>
      </c>
      <c r="C377" s="3" t="s">
        <v>12</v>
      </c>
      <c r="D377" s="3" t="s">
        <v>60</v>
      </c>
      <c r="E377" s="3">
        <v>10</v>
      </c>
      <c r="F377" s="3" t="s">
        <v>14</v>
      </c>
      <c r="G377" s="4" t="str">
        <f t="shared" si="20"/>
        <v>08534</v>
      </c>
      <c r="H377" t="str">
        <f t="shared" si="21"/>
        <v>Burak ÇETİNKAYA</v>
      </c>
      <c r="I377" t="str">
        <f t="shared" si="22"/>
        <v>10D Elektrik Tesisatları Ve Pano Montörlüğü</v>
      </c>
      <c r="J377" t="str">
        <f t="shared" si="23"/>
        <v>10D</v>
      </c>
    </row>
    <row r="378" spans="1:10" x14ac:dyDescent="0.25">
      <c r="A378" s="3">
        <v>19913520314</v>
      </c>
      <c r="B378" s="3" t="s">
        <v>445</v>
      </c>
      <c r="C378" s="3" t="s">
        <v>12</v>
      </c>
      <c r="D378" s="3" t="s">
        <v>60</v>
      </c>
      <c r="E378" s="3">
        <v>10</v>
      </c>
      <c r="F378" s="3" t="s">
        <v>14</v>
      </c>
      <c r="G378" s="4" t="str">
        <f t="shared" si="20"/>
        <v>20314</v>
      </c>
      <c r="H378" t="str">
        <f t="shared" si="21"/>
        <v>Ege Doruk CANFER</v>
      </c>
      <c r="I378" t="str">
        <f t="shared" si="22"/>
        <v>10D Elektrik Tesisatları Ve Pano Montörlüğü</v>
      </c>
      <c r="J378" t="str">
        <f t="shared" si="23"/>
        <v>10D</v>
      </c>
    </row>
    <row r="379" spans="1:10" x14ac:dyDescent="0.25">
      <c r="A379" s="3">
        <v>43496102346</v>
      </c>
      <c r="B379" s="3" t="s">
        <v>446</v>
      </c>
      <c r="C379" s="3" t="s">
        <v>12</v>
      </c>
      <c r="D379" s="3" t="s">
        <v>60</v>
      </c>
      <c r="E379" s="3">
        <v>10</v>
      </c>
      <c r="F379" s="3" t="s">
        <v>14</v>
      </c>
      <c r="G379" s="4" t="str">
        <f t="shared" si="20"/>
        <v>02346</v>
      </c>
      <c r="H379" t="str">
        <f t="shared" si="21"/>
        <v>Emirhan ARTAN</v>
      </c>
      <c r="I379" t="str">
        <f t="shared" si="22"/>
        <v>10D Elektrik Tesisatları Ve Pano Montörlüğü</v>
      </c>
      <c r="J379" t="str">
        <f t="shared" si="23"/>
        <v>10D</v>
      </c>
    </row>
    <row r="380" spans="1:10" x14ac:dyDescent="0.25">
      <c r="A380" s="3">
        <v>41581440120</v>
      </c>
      <c r="B380" s="3" t="s">
        <v>447</v>
      </c>
      <c r="C380" s="3" t="s">
        <v>12</v>
      </c>
      <c r="D380" s="3" t="s">
        <v>60</v>
      </c>
      <c r="E380" s="3">
        <v>10</v>
      </c>
      <c r="F380" s="3" t="s">
        <v>14</v>
      </c>
      <c r="G380" s="4" t="str">
        <f t="shared" si="20"/>
        <v>40120</v>
      </c>
      <c r="H380" t="str">
        <f t="shared" si="21"/>
        <v>Emirhan İZSİZ</v>
      </c>
      <c r="I380" t="str">
        <f t="shared" si="22"/>
        <v>10D Elektrik Tesisatları Ve Pano Montörlüğü</v>
      </c>
      <c r="J380" t="str">
        <f t="shared" si="23"/>
        <v>10D</v>
      </c>
    </row>
    <row r="381" spans="1:10" x14ac:dyDescent="0.25">
      <c r="A381" s="3">
        <v>46498792256</v>
      </c>
      <c r="B381" s="3" t="s">
        <v>448</v>
      </c>
      <c r="C381" s="3" t="s">
        <v>12</v>
      </c>
      <c r="D381" s="3" t="s">
        <v>60</v>
      </c>
      <c r="E381" s="3">
        <v>10</v>
      </c>
      <c r="F381" s="3" t="s">
        <v>14</v>
      </c>
      <c r="G381" s="4" t="str">
        <f t="shared" si="20"/>
        <v>92256</v>
      </c>
      <c r="H381" t="str">
        <f t="shared" si="21"/>
        <v>Emirhan MEMİŞ</v>
      </c>
      <c r="I381" t="str">
        <f t="shared" si="22"/>
        <v>10D Elektrik Tesisatları Ve Pano Montörlüğü</v>
      </c>
      <c r="J381" t="str">
        <f t="shared" si="23"/>
        <v>10D</v>
      </c>
    </row>
    <row r="382" spans="1:10" x14ac:dyDescent="0.25">
      <c r="A382" s="3">
        <v>49297540684</v>
      </c>
      <c r="B382" s="3" t="s">
        <v>449</v>
      </c>
      <c r="C382" s="3" t="s">
        <v>12</v>
      </c>
      <c r="D382" s="3" t="s">
        <v>60</v>
      </c>
      <c r="E382" s="3">
        <v>10</v>
      </c>
      <c r="F382" s="3" t="s">
        <v>14</v>
      </c>
      <c r="G382" s="4" t="str">
        <f t="shared" si="20"/>
        <v>40684</v>
      </c>
      <c r="H382" t="str">
        <f t="shared" si="21"/>
        <v>Emirhan VERİM</v>
      </c>
      <c r="I382" t="str">
        <f t="shared" si="22"/>
        <v>10D Elektrik Tesisatları Ve Pano Montörlüğü</v>
      </c>
      <c r="J382" t="str">
        <f t="shared" si="23"/>
        <v>10D</v>
      </c>
    </row>
    <row r="383" spans="1:10" x14ac:dyDescent="0.25">
      <c r="A383" s="3">
        <v>48682561594</v>
      </c>
      <c r="B383" s="3" t="s">
        <v>450</v>
      </c>
      <c r="C383" s="3" t="s">
        <v>12</v>
      </c>
      <c r="D383" s="3" t="s">
        <v>60</v>
      </c>
      <c r="E383" s="3">
        <v>10</v>
      </c>
      <c r="F383" s="3" t="s">
        <v>14</v>
      </c>
      <c r="G383" s="4" t="str">
        <f t="shared" si="20"/>
        <v>61594</v>
      </c>
      <c r="H383" t="str">
        <f t="shared" si="21"/>
        <v>Enver Efe KARATAŞ</v>
      </c>
      <c r="I383" t="str">
        <f t="shared" si="22"/>
        <v>10D Elektrik Tesisatları Ve Pano Montörlüğü</v>
      </c>
      <c r="J383" t="str">
        <f t="shared" si="23"/>
        <v>10D</v>
      </c>
    </row>
    <row r="384" spans="1:10" x14ac:dyDescent="0.25">
      <c r="A384" s="3">
        <v>19442536206</v>
      </c>
      <c r="B384" s="3" t="s">
        <v>451</v>
      </c>
      <c r="C384" s="3" t="s">
        <v>12</v>
      </c>
      <c r="D384" s="3" t="s">
        <v>60</v>
      </c>
      <c r="E384" s="3">
        <v>10</v>
      </c>
      <c r="F384" s="3" t="s">
        <v>92</v>
      </c>
      <c r="G384" s="4" t="str">
        <f t="shared" si="20"/>
        <v>36206</v>
      </c>
      <c r="H384" t="str">
        <f t="shared" si="21"/>
        <v>Erdem Utku OĞUZ</v>
      </c>
      <c r="I384" t="str">
        <f t="shared" si="22"/>
        <v>10E Elektrik Tesisatları Ve Pano Montörlüğü</v>
      </c>
      <c r="J384" t="str">
        <f t="shared" si="23"/>
        <v>10E</v>
      </c>
    </row>
    <row r="385" spans="1:10" x14ac:dyDescent="0.25">
      <c r="A385" s="3">
        <v>44311431528</v>
      </c>
      <c r="B385" s="3" t="s">
        <v>452</v>
      </c>
      <c r="C385" s="3" t="s">
        <v>12</v>
      </c>
      <c r="D385" s="3" t="s">
        <v>60</v>
      </c>
      <c r="E385" s="3">
        <v>10</v>
      </c>
      <c r="F385" s="3" t="s">
        <v>92</v>
      </c>
      <c r="G385" s="4" t="str">
        <f t="shared" si="20"/>
        <v>31528</v>
      </c>
      <c r="H385" t="str">
        <f t="shared" si="21"/>
        <v>Ertuğrul ÇATALKAYA</v>
      </c>
      <c r="I385" t="str">
        <f t="shared" si="22"/>
        <v>10E Elektrik Tesisatları Ve Pano Montörlüğü</v>
      </c>
      <c r="J385" t="str">
        <f t="shared" si="23"/>
        <v>10E</v>
      </c>
    </row>
    <row r="386" spans="1:10" x14ac:dyDescent="0.25">
      <c r="A386" s="3">
        <v>13481734258</v>
      </c>
      <c r="B386" s="3" t="s">
        <v>453</v>
      </c>
      <c r="C386" s="3" t="s">
        <v>12</v>
      </c>
      <c r="D386" s="3" t="s">
        <v>60</v>
      </c>
      <c r="E386" s="3">
        <v>10</v>
      </c>
      <c r="F386" s="3" t="s">
        <v>14</v>
      </c>
      <c r="G386" s="4" t="str">
        <f t="shared" si="20"/>
        <v>34258</v>
      </c>
      <c r="H386" t="str">
        <f t="shared" si="21"/>
        <v>Eyüp KARATAŞ</v>
      </c>
      <c r="I386" t="str">
        <f t="shared" si="22"/>
        <v>10D Elektrik Tesisatları Ve Pano Montörlüğü</v>
      </c>
      <c r="J386" t="str">
        <f t="shared" si="23"/>
        <v>10D</v>
      </c>
    </row>
    <row r="387" spans="1:10" x14ac:dyDescent="0.25">
      <c r="A387" s="3">
        <v>47065982810</v>
      </c>
      <c r="B387" s="3" t="s">
        <v>454</v>
      </c>
      <c r="C387" s="3" t="s">
        <v>12</v>
      </c>
      <c r="D387" s="3" t="s">
        <v>60</v>
      </c>
      <c r="E387" s="3">
        <v>10</v>
      </c>
      <c r="F387" s="3" t="s">
        <v>92</v>
      </c>
      <c r="G387" s="4" t="str">
        <f t="shared" si="20"/>
        <v>82810</v>
      </c>
      <c r="H387" t="str">
        <f t="shared" si="21"/>
        <v>Gökay DEMİR</v>
      </c>
      <c r="I387" t="str">
        <f t="shared" si="22"/>
        <v>10E Elektrik Tesisatları Ve Pano Montörlüğü</v>
      </c>
      <c r="J387" t="str">
        <f t="shared" si="23"/>
        <v>10E</v>
      </c>
    </row>
    <row r="388" spans="1:10" x14ac:dyDescent="0.25">
      <c r="A388" s="3">
        <v>56479459436</v>
      </c>
      <c r="B388" s="3" t="s">
        <v>455</v>
      </c>
      <c r="C388" s="3" t="s">
        <v>12</v>
      </c>
      <c r="D388" s="3" t="s">
        <v>60</v>
      </c>
      <c r="E388" s="3">
        <v>10</v>
      </c>
      <c r="F388" s="3" t="s">
        <v>92</v>
      </c>
      <c r="G388" s="4" t="str">
        <f t="shared" si="20"/>
        <v>59436</v>
      </c>
      <c r="H388" t="str">
        <f t="shared" si="21"/>
        <v>Hüseyin Kerem KARAKAYA</v>
      </c>
      <c r="I388" t="str">
        <f t="shared" si="22"/>
        <v>10E Elektrik Tesisatları Ve Pano Montörlüğü</v>
      </c>
      <c r="J388" t="str">
        <f t="shared" si="23"/>
        <v>10E</v>
      </c>
    </row>
    <row r="389" spans="1:10" x14ac:dyDescent="0.25">
      <c r="A389" s="3">
        <v>54508366816</v>
      </c>
      <c r="B389" s="3" t="s">
        <v>456</v>
      </c>
      <c r="C389" s="3" t="s">
        <v>12</v>
      </c>
      <c r="D389" s="3" t="s">
        <v>60</v>
      </c>
      <c r="E389" s="3">
        <v>10</v>
      </c>
      <c r="F389" s="3" t="s">
        <v>14</v>
      </c>
      <c r="G389" s="4" t="str">
        <f t="shared" ref="G389:G452" si="24">RIGHT(A389,5)</f>
        <v>66816</v>
      </c>
      <c r="H389" t="str">
        <f t="shared" ref="H389:H452" si="25">B389</f>
        <v>Levent ÖZER</v>
      </c>
      <c r="I389" t="str">
        <f t="shared" ref="I389:I452" si="26">CONCATENATE(E389,F389," ",D389)</f>
        <v>10D Elektrik Tesisatları Ve Pano Montörlüğü</v>
      </c>
      <c r="J389" t="str">
        <f t="shared" ref="J389:J452" si="27">LEFT(I389,3)</f>
        <v>10D</v>
      </c>
    </row>
    <row r="390" spans="1:10" x14ac:dyDescent="0.25">
      <c r="A390" s="3">
        <v>52402806636</v>
      </c>
      <c r="B390" s="3" t="s">
        <v>457</v>
      </c>
      <c r="C390" s="3" t="s">
        <v>12</v>
      </c>
      <c r="D390" s="3" t="s">
        <v>60</v>
      </c>
      <c r="E390" s="3">
        <v>10</v>
      </c>
      <c r="F390" s="3" t="s">
        <v>14</v>
      </c>
      <c r="G390" s="4" t="str">
        <f t="shared" si="24"/>
        <v>06636</v>
      </c>
      <c r="H390" t="str">
        <f t="shared" si="25"/>
        <v>Muhammed Emir ALKANAT</v>
      </c>
      <c r="I390" t="str">
        <f t="shared" si="26"/>
        <v>10D Elektrik Tesisatları Ve Pano Montörlüğü</v>
      </c>
      <c r="J390" t="str">
        <f t="shared" si="27"/>
        <v>10D</v>
      </c>
    </row>
    <row r="391" spans="1:10" x14ac:dyDescent="0.25">
      <c r="A391" s="3">
        <v>35827989078</v>
      </c>
      <c r="B391" s="3" t="s">
        <v>458</v>
      </c>
      <c r="C391" s="3" t="s">
        <v>12</v>
      </c>
      <c r="D391" s="3" t="s">
        <v>60</v>
      </c>
      <c r="E391" s="3">
        <v>10</v>
      </c>
      <c r="F391" s="3" t="s">
        <v>92</v>
      </c>
      <c r="G391" s="4" t="str">
        <f t="shared" si="24"/>
        <v>89078</v>
      </c>
      <c r="H391" t="str">
        <f t="shared" si="25"/>
        <v>Muhammet Emir BUĞU</v>
      </c>
      <c r="I391" t="str">
        <f t="shared" si="26"/>
        <v>10E Elektrik Tesisatları Ve Pano Montörlüğü</v>
      </c>
      <c r="J391" t="str">
        <f t="shared" si="27"/>
        <v>10E</v>
      </c>
    </row>
    <row r="392" spans="1:10" x14ac:dyDescent="0.25">
      <c r="A392" s="3">
        <v>42790817086</v>
      </c>
      <c r="B392" s="3" t="s">
        <v>459</v>
      </c>
      <c r="C392" s="3" t="s">
        <v>12</v>
      </c>
      <c r="D392" s="3" t="s">
        <v>60</v>
      </c>
      <c r="E392" s="3">
        <v>10</v>
      </c>
      <c r="F392" s="3" t="s">
        <v>92</v>
      </c>
      <c r="G392" s="4" t="str">
        <f t="shared" si="24"/>
        <v>17086</v>
      </c>
      <c r="H392" t="str">
        <f t="shared" si="25"/>
        <v>Musa EREN</v>
      </c>
      <c r="I392" t="str">
        <f t="shared" si="26"/>
        <v>10E Elektrik Tesisatları Ve Pano Montörlüğü</v>
      </c>
      <c r="J392" t="str">
        <f t="shared" si="27"/>
        <v>10E</v>
      </c>
    </row>
    <row r="393" spans="1:10" x14ac:dyDescent="0.25">
      <c r="A393" s="3">
        <v>46918619576</v>
      </c>
      <c r="B393" s="3" t="s">
        <v>460</v>
      </c>
      <c r="C393" s="3" t="s">
        <v>12</v>
      </c>
      <c r="D393" s="3" t="s">
        <v>60</v>
      </c>
      <c r="E393" s="3">
        <v>10</v>
      </c>
      <c r="F393" s="3" t="s">
        <v>14</v>
      </c>
      <c r="G393" s="4" t="str">
        <f t="shared" si="24"/>
        <v>19576</v>
      </c>
      <c r="H393" t="str">
        <f t="shared" si="25"/>
        <v>Mustafa KELEŞ</v>
      </c>
      <c r="I393" t="str">
        <f t="shared" si="26"/>
        <v>10D Elektrik Tesisatları Ve Pano Montörlüğü</v>
      </c>
      <c r="J393" t="str">
        <f t="shared" si="27"/>
        <v>10D</v>
      </c>
    </row>
    <row r="394" spans="1:10" x14ac:dyDescent="0.25">
      <c r="A394" s="3">
        <v>33425070150</v>
      </c>
      <c r="B394" s="3" t="s">
        <v>461</v>
      </c>
      <c r="C394" s="3" t="s">
        <v>12</v>
      </c>
      <c r="D394" s="3" t="s">
        <v>60</v>
      </c>
      <c r="E394" s="3">
        <v>10</v>
      </c>
      <c r="F394" s="3" t="s">
        <v>14</v>
      </c>
      <c r="G394" s="4" t="str">
        <f t="shared" si="24"/>
        <v>70150</v>
      </c>
      <c r="H394" t="str">
        <f t="shared" si="25"/>
        <v>Ömer Rafet COŞKUN</v>
      </c>
      <c r="I394" t="str">
        <f t="shared" si="26"/>
        <v>10D Elektrik Tesisatları Ve Pano Montörlüğü</v>
      </c>
      <c r="J394" t="str">
        <f t="shared" si="27"/>
        <v>10D</v>
      </c>
    </row>
    <row r="395" spans="1:10" x14ac:dyDescent="0.25">
      <c r="A395" s="3">
        <v>41251808526</v>
      </c>
      <c r="B395" s="3" t="s">
        <v>462</v>
      </c>
      <c r="C395" s="3" t="s">
        <v>12</v>
      </c>
      <c r="D395" s="3" t="s">
        <v>60</v>
      </c>
      <c r="E395" s="3">
        <v>10</v>
      </c>
      <c r="F395" s="3" t="s">
        <v>92</v>
      </c>
      <c r="G395" s="4" t="str">
        <f t="shared" si="24"/>
        <v>08526</v>
      </c>
      <c r="H395" t="str">
        <f t="shared" si="25"/>
        <v>Resul ÖZTÜRK</v>
      </c>
      <c r="I395" t="str">
        <f t="shared" si="26"/>
        <v>10E Elektrik Tesisatları Ve Pano Montörlüğü</v>
      </c>
      <c r="J395" t="str">
        <f t="shared" si="27"/>
        <v>10E</v>
      </c>
    </row>
    <row r="396" spans="1:10" x14ac:dyDescent="0.25">
      <c r="A396" s="3">
        <v>52735426532</v>
      </c>
      <c r="B396" s="3" t="s">
        <v>463</v>
      </c>
      <c r="C396" s="3" t="s">
        <v>12</v>
      </c>
      <c r="D396" s="3" t="s">
        <v>60</v>
      </c>
      <c r="E396" s="3">
        <v>10</v>
      </c>
      <c r="F396" s="3" t="s">
        <v>92</v>
      </c>
      <c r="G396" s="4" t="str">
        <f t="shared" si="24"/>
        <v>26532</v>
      </c>
      <c r="H396" t="str">
        <f t="shared" si="25"/>
        <v>Rıdvan TEMEL</v>
      </c>
      <c r="I396" t="str">
        <f t="shared" si="26"/>
        <v>10E Elektrik Tesisatları Ve Pano Montörlüğü</v>
      </c>
      <c r="J396" t="str">
        <f t="shared" si="27"/>
        <v>10E</v>
      </c>
    </row>
    <row r="397" spans="1:10" x14ac:dyDescent="0.25">
      <c r="A397" s="3">
        <v>47314607136</v>
      </c>
      <c r="B397" s="3" t="s">
        <v>464</v>
      </c>
      <c r="C397" s="3" t="s">
        <v>12</v>
      </c>
      <c r="D397" s="3" t="s">
        <v>60</v>
      </c>
      <c r="E397" s="3">
        <v>10</v>
      </c>
      <c r="F397" s="3" t="s">
        <v>92</v>
      </c>
      <c r="G397" s="4" t="str">
        <f t="shared" si="24"/>
        <v>07136</v>
      </c>
      <c r="H397" t="str">
        <f t="shared" si="25"/>
        <v>Sabri Enes KARATAŞ</v>
      </c>
      <c r="I397" t="str">
        <f t="shared" si="26"/>
        <v>10E Elektrik Tesisatları Ve Pano Montörlüğü</v>
      </c>
      <c r="J397" t="str">
        <f t="shared" si="27"/>
        <v>10E</v>
      </c>
    </row>
    <row r="398" spans="1:10" x14ac:dyDescent="0.25">
      <c r="A398" s="3">
        <v>20291877006</v>
      </c>
      <c r="B398" s="3" t="s">
        <v>465</v>
      </c>
      <c r="C398" s="3" t="s">
        <v>12</v>
      </c>
      <c r="D398" s="3" t="s">
        <v>60</v>
      </c>
      <c r="E398" s="3">
        <v>10</v>
      </c>
      <c r="F398" s="3" t="s">
        <v>92</v>
      </c>
      <c r="G398" s="4" t="str">
        <f t="shared" si="24"/>
        <v>77006</v>
      </c>
      <c r="H398" t="str">
        <f t="shared" si="25"/>
        <v>Serhat YUCA</v>
      </c>
      <c r="I398" t="str">
        <f t="shared" si="26"/>
        <v>10E Elektrik Tesisatları Ve Pano Montörlüğü</v>
      </c>
      <c r="J398" t="str">
        <f t="shared" si="27"/>
        <v>10E</v>
      </c>
    </row>
    <row r="399" spans="1:10" x14ac:dyDescent="0.25">
      <c r="A399" s="3">
        <v>36692020750</v>
      </c>
      <c r="B399" s="3" t="s">
        <v>466</v>
      </c>
      <c r="C399" s="3" t="s">
        <v>12</v>
      </c>
      <c r="D399" s="3" t="s">
        <v>60</v>
      </c>
      <c r="E399" s="3">
        <v>10</v>
      </c>
      <c r="F399" s="3" t="s">
        <v>14</v>
      </c>
      <c r="G399" s="4" t="str">
        <f t="shared" si="24"/>
        <v>20750</v>
      </c>
      <c r="H399" t="str">
        <f t="shared" si="25"/>
        <v>Veysi AKTEKİN</v>
      </c>
      <c r="I399" t="str">
        <f t="shared" si="26"/>
        <v>10D Elektrik Tesisatları Ve Pano Montörlüğü</v>
      </c>
      <c r="J399" t="str">
        <f t="shared" si="27"/>
        <v>10D</v>
      </c>
    </row>
    <row r="400" spans="1:10" x14ac:dyDescent="0.25">
      <c r="A400" s="3">
        <v>64885386536</v>
      </c>
      <c r="B400" s="3" t="s">
        <v>467</v>
      </c>
      <c r="C400" s="3" t="s">
        <v>12</v>
      </c>
      <c r="D400" s="3" t="s">
        <v>60</v>
      </c>
      <c r="E400" s="3">
        <v>10</v>
      </c>
      <c r="F400" s="3" t="s">
        <v>14</v>
      </c>
      <c r="G400" s="4" t="str">
        <f t="shared" si="24"/>
        <v>86536</v>
      </c>
      <c r="H400" t="str">
        <f t="shared" si="25"/>
        <v>Yemlihan Berken ABDUKAYA</v>
      </c>
      <c r="I400" t="str">
        <f t="shared" si="26"/>
        <v>10D Elektrik Tesisatları Ve Pano Montörlüğü</v>
      </c>
      <c r="J400" t="str">
        <f t="shared" si="27"/>
        <v>10D</v>
      </c>
    </row>
    <row r="401" spans="1:10" x14ac:dyDescent="0.25">
      <c r="A401" s="3">
        <v>25697386770</v>
      </c>
      <c r="B401" s="3" t="s">
        <v>468</v>
      </c>
      <c r="C401" s="3" t="s">
        <v>12</v>
      </c>
      <c r="D401" s="3" t="s">
        <v>60</v>
      </c>
      <c r="E401" s="3">
        <v>10</v>
      </c>
      <c r="F401" s="3" t="s">
        <v>14</v>
      </c>
      <c r="G401" s="4" t="str">
        <f t="shared" si="24"/>
        <v>86770</v>
      </c>
      <c r="H401" t="str">
        <f t="shared" si="25"/>
        <v>Yusuf Ali BALKAYA</v>
      </c>
      <c r="I401" t="str">
        <f t="shared" si="26"/>
        <v>10D Elektrik Tesisatları Ve Pano Montörlüğü</v>
      </c>
      <c r="J401" t="str">
        <f t="shared" si="27"/>
        <v>10D</v>
      </c>
    </row>
    <row r="402" spans="1:10" x14ac:dyDescent="0.25">
      <c r="A402" s="3">
        <v>17387604646</v>
      </c>
      <c r="B402" s="3" t="s">
        <v>469</v>
      </c>
      <c r="C402" s="3" t="s">
        <v>12</v>
      </c>
      <c r="D402" s="3" t="s">
        <v>79</v>
      </c>
      <c r="E402" s="3">
        <v>10</v>
      </c>
      <c r="F402" s="3" t="s">
        <v>14</v>
      </c>
      <c r="G402" s="4" t="str">
        <f t="shared" si="24"/>
        <v>04646</v>
      </c>
      <c r="H402" t="str">
        <f t="shared" si="25"/>
        <v>Alparslan BARAN</v>
      </c>
      <c r="I402" t="str">
        <f t="shared" si="26"/>
        <v>10D Elektrikli Ev Aletleri Teknik Servisi</v>
      </c>
      <c r="J402" t="str">
        <f t="shared" si="27"/>
        <v>10D</v>
      </c>
    </row>
    <row r="403" spans="1:10" x14ac:dyDescent="0.25">
      <c r="A403" s="3">
        <v>43024693124</v>
      </c>
      <c r="B403" s="3" t="s">
        <v>470</v>
      </c>
      <c r="C403" s="3" t="s">
        <v>12</v>
      </c>
      <c r="D403" s="3" t="s">
        <v>79</v>
      </c>
      <c r="E403" s="3">
        <v>10</v>
      </c>
      <c r="F403" s="3" t="s">
        <v>14</v>
      </c>
      <c r="G403" s="4" t="str">
        <f t="shared" si="24"/>
        <v>93124</v>
      </c>
      <c r="H403" t="str">
        <f t="shared" si="25"/>
        <v>Baran ÇETİN</v>
      </c>
      <c r="I403" t="str">
        <f t="shared" si="26"/>
        <v>10D Elektrikli Ev Aletleri Teknik Servisi</v>
      </c>
      <c r="J403" t="str">
        <f t="shared" si="27"/>
        <v>10D</v>
      </c>
    </row>
    <row r="404" spans="1:10" x14ac:dyDescent="0.25">
      <c r="A404" s="3">
        <v>58639075272</v>
      </c>
      <c r="B404" s="3" t="s">
        <v>471</v>
      </c>
      <c r="C404" s="3" t="s">
        <v>12</v>
      </c>
      <c r="D404" s="3" t="s">
        <v>79</v>
      </c>
      <c r="E404" s="3">
        <v>10</v>
      </c>
      <c r="F404" s="3" t="s">
        <v>92</v>
      </c>
      <c r="G404" s="4" t="str">
        <f t="shared" si="24"/>
        <v>75272</v>
      </c>
      <c r="H404" t="str">
        <f t="shared" si="25"/>
        <v>Ege MANAVOĞLU</v>
      </c>
      <c r="I404" t="str">
        <f t="shared" si="26"/>
        <v>10E Elektrikli Ev Aletleri Teknik Servisi</v>
      </c>
      <c r="J404" t="str">
        <f t="shared" si="27"/>
        <v>10E</v>
      </c>
    </row>
    <row r="405" spans="1:10" x14ac:dyDescent="0.25">
      <c r="A405" s="3">
        <v>75286041924</v>
      </c>
      <c r="B405" s="3" t="s">
        <v>472</v>
      </c>
      <c r="C405" s="3" t="s">
        <v>12</v>
      </c>
      <c r="D405" s="3" t="s">
        <v>79</v>
      </c>
      <c r="E405" s="3">
        <v>10</v>
      </c>
      <c r="F405" s="3" t="s">
        <v>92</v>
      </c>
      <c r="G405" s="4" t="str">
        <f t="shared" si="24"/>
        <v>41924</v>
      </c>
      <c r="H405" t="str">
        <f t="shared" si="25"/>
        <v>Kayra Berke AKINCI</v>
      </c>
      <c r="I405" t="str">
        <f t="shared" si="26"/>
        <v>10E Elektrikli Ev Aletleri Teknik Servisi</v>
      </c>
      <c r="J405" t="str">
        <f t="shared" si="27"/>
        <v>10E</v>
      </c>
    </row>
    <row r="406" spans="1:10" x14ac:dyDescent="0.25">
      <c r="A406" s="3">
        <v>58354239256</v>
      </c>
      <c r="B406" s="3" t="s">
        <v>473</v>
      </c>
      <c r="C406" s="3" t="s">
        <v>12</v>
      </c>
      <c r="D406" s="3" t="s">
        <v>79</v>
      </c>
      <c r="E406" s="3">
        <v>10</v>
      </c>
      <c r="F406" s="3" t="s">
        <v>14</v>
      </c>
      <c r="G406" s="4" t="str">
        <f t="shared" si="24"/>
        <v>39256</v>
      </c>
      <c r="H406" t="str">
        <f t="shared" si="25"/>
        <v>Kerem KAMAR</v>
      </c>
      <c r="I406" t="str">
        <f t="shared" si="26"/>
        <v>10D Elektrikli Ev Aletleri Teknik Servisi</v>
      </c>
      <c r="J406" t="str">
        <f t="shared" si="27"/>
        <v>10D</v>
      </c>
    </row>
    <row r="407" spans="1:10" x14ac:dyDescent="0.25">
      <c r="A407" s="3">
        <v>29978185076</v>
      </c>
      <c r="B407" s="3" t="s">
        <v>474</v>
      </c>
      <c r="C407" s="3" t="s">
        <v>12</v>
      </c>
      <c r="D407" s="3" t="s">
        <v>79</v>
      </c>
      <c r="E407" s="3">
        <v>10</v>
      </c>
      <c r="F407" s="3" t="s">
        <v>92</v>
      </c>
      <c r="G407" s="4" t="str">
        <f t="shared" si="24"/>
        <v>85076</v>
      </c>
      <c r="H407" t="str">
        <f t="shared" si="25"/>
        <v>Kerimcan AÇIKGÖZ</v>
      </c>
      <c r="I407" t="str">
        <f t="shared" si="26"/>
        <v>10E Elektrikli Ev Aletleri Teknik Servisi</v>
      </c>
      <c r="J407" t="str">
        <f t="shared" si="27"/>
        <v>10E</v>
      </c>
    </row>
    <row r="408" spans="1:10" x14ac:dyDescent="0.25">
      <c r="A408" s="3">
        <v>22454804560</v>
      </c>
      <c r="B408" s="3" t="s">
        <v>475</v>
      </c>
      <c r="C408" s="3" t="s">
        <v>12</v>
      </c>
      <c r="D408" s="3" t="s">
        <v>79</v>
      </c>
      <c r="E408" s="3">
        <v>10</v>
      </c>
      <c r="F408" s="3" t="s">
        <v>14</v>
      </c>
      <c r="G408" s="4" t="str">
        <f t="shared" si="24"/>
        <v>04560</v>
      </c>
      <c r="H408" t="str">
        <f t="shared" si="25"/>
        <v>Mustafa Bekir AKAR</v>
      </c>
      <c r="I408" t="str">
        <f t="shared" si="26"/>
        <v>10D Elektrikli Ev Aletleri Teknik Servisi</v>
      </c>
      <c r="J408" t="str">
        <f t="shared" si="27"/>
        <v>10D</v>
      </c>
    </row>
    <row r="409" spans="1:10" x14ac:dyDescent="0.25">
      <c r="A409" s="3">
        <v>42037782924</v>
      </c>
      <c r="B409" s="3" t="s">
        <v>476</v>
      </c>
      <c r="C409" s="3" t="s">
        <v>12</v>
      </c>
      <c r="D409" s="3" t="s">
        <v>79</v>
      </c>
      <c r="E409" s="3">
        <v>10</v>
      </c>
      <c r="F409" s="3" t="s">
        <v>14</v>
      </c>
      <c r="G409" s="4" t="str">
        <f t="shared" si="24"/>
        <v>82924</v>
      </c>
      <c r="H409" t="str">
        <f t="shared" si="25"/>
        <v>Mustafa Efe ÇETİZ</v>
      </c>
      <c r="I409" t="str">
        <f t="shared" si="26"/>
        <v>10D Elektrikli Ev Aletleri Teknik Servisi</v>
      </c>
      <c r="J409" t="str">
        <f t="shared" si="27"/>
        <v>10D</v>
      </c>
    </row>
    <row r="410" spans="1:10" x14ac:dyDescent="0.25">
      <c r="A410" s="3">
        <v>43849721750</v>
      </c>
      <c r="B410" s="3" t="s">
        <v>477</v>
      </c>
      <c r="C410" s="3" t="s">
        <v>12</v>
      </c>
      <c r="D410" s="3" t="s">
        <v>79</v>
      </c>
      <c r="E410" s="3">
        <v>10</v>
      </c>
      <c r="F410" s="3" t="s">
        <v>92</v>
      </c>
      <c r="G410" s="4" t="str">
        <f t="shared" si="24"/>
        <v>21750</v>
      </c>
      <c r="H410" t="str">
        <f t="shared" si="25"/>
        <v>Ogün SAĞDIÇ</v>
      </c>
      <c r="I410" t="str">
        <f t="shared" si="26"/>
        <v>10E Elektrikli Ev Aletleri Teknik Servisi</v>
      </c>
      <c r="J410" t="str">
        <f t="shared" si="27"/>
        <v>10E</v>
      </c>
    </row>
    <row r="411" spans="1:10" x14ac:dyDescent="0.25">
      <c r="A411" s="3">
        <v>25193344304</v>
      </c>
      <c r="B411" s="3" t="s">
        <v>478</v>
      </c>
      <c r="C411" s="3" t="s">
        <v>12</v>
      </c>
      <c r="D411" s="3" t="s">
        <v>79</v>
      </c>
      <c r="E411" s="3">
        <v>10</v>
      </c>
      <c r="F411" s="3" t="s">
        <v>92</v>
      </c>
      <c r="G411" s="4" t="str">
        <f t="shared" si="24"/>
        <v>44304</v>
      </c>
      <c r="H411" t="str">
        <f t="shared" si="25"/>
        <v>Olgun Can YILMAZ</v>
      </c>
      <c r="I411" t="str">
        <f t="shared" si="26"/>
        <v>10E Elektrikli Ev Aletleri Teknik Servisi</v>
      </c>
      <c r="J411" t="str">
        <f t="shared" si="27"/>
        <v>10E</v>
      </c>
    </row>
    <row r="412" spans="1:10" x14ac:dyDescent="0.25">
      <c r="A412" s="3">
        <v>21512466580</v>
      </c>
      <c r="B412" s="3" t="s">
        <v>479</v>
      </c>
      <c r="C412" s="3" t="s">
        <v>12</v>
      </c>
      <c r="D412" s="3" t="s">
        <v>79</v>
      </c>
      <c r="E412" s="3">
        <v>10</v>
      </c>
      <c r="F412" s="3" t="s">
        <v>92</v>
      </c>
      <c r="G412" s="4" t="str">
        <f t="shared" si="24"/>
        <v>66580</v>
      </c>
      <c r="H412" t="str">
        <f t="shared" si="25"/>
        <v>Yusuf Salih ATMAN</v>
      </c>
      <c r="I412" t="str">
        <f t="shared" si="26"/>
        <v>10E Elektrikli Ev Aletleri Teknik Servisi</v>
      </c>
      <c r="J412" t="str">
        <f t="shared" si="27"/>
        <v>10E</v>
      </c>
    </row>
    <row r="413" spans="1:10" x14ac:dyDescent="0.25">
      <c r="A413" s="3">
        <v>61936487396</v>
      </c>
      <c r="B413" s="3" t="s">
        <v>480</v>
      </c>
      <c r="C413" s="3" t="s">
        <v>12</v>
      </c>
      <c r="D413" s="3" t="s">
        <v>83</v>
      </c>
      <c r="E413" s="3">
        <v>10</v>
      </c>
      <c r="F413" s="3" t="s">
        <v>92</v>
      </c>
      <c r="G413" s="4" t="str">
        <f t="shared" si="24"/>
        <v>87396</v>
      </c>
      <c r="H413" t="str">
        <f t="shared" si="25"/>
        <v>Ata Can SILDIR</v>
      </c>
      <c r="I413" t="str">
        <f t="shared" si="26"/>
        <v>10E Endüstriyel Bakım Onarım</v>
      </c>
      <c r="J413" t="str">
        <f t="shared" si="27"/>
        <v>10E</v>
      </c>
    </row>
    <row r="414" spans="1:10" x14ac:dyDescent="0.25">
      <c r="A414" s="3">
        <v>26921286590</v>
      </c>
      <c r="B414" s="3" t="s">
        <v>481</v>
      </c>
      <c r="C414" s="3" t="s">
        <v>12</v>
      </c>
      <c r="D414" s="3" t="s">
        <v>83</v>
      </c>
      <c r="E414" s="3">
        <v>10</v>
      </c>
      <c r="F414" s="3" t="s">
        <v>92</v>
      </c>
      <c r="G414" s="4" t="str">
        <f t="shared" si="24"/>
        <v>86590</v>
      </c>
      <c r="H414" t="str">
        <f t="shared" si="25"/>
        <v>Göktuğ Zülkar ZÜLKEROĞLU</v>
      </c>
      <c r="I414" t="str">
        <f t="shared" si="26"/>
        <v>10E Endüstriyel Bakım Onarım</v>
      </c>
      <c r="J414" t="str">
        <f t="shared" si="27"/>
        <v>10E</v>
      </c>
    </row>
    <row r="415" spans="1:10" x14ac:dyDescent="0.25">
      <c r="A415" s="3">
        <v>51226562032</v>
      </c>
      <c r="B415" s="3" t="s">
        <v>482</v>
      </c>
      <c r="C415" s="3" t="s">
        <v>12</v>
      </c>
      <c r="D415" s="3" t="s">
        <v>483</v>
      </c>
      <c r="E415" s="3">
        <v>10</v>
      </c>
      <c r="F415" s="3" t="s">
        <v>402</v>
      </c>
      <c r="G415" s="4" t="str">
        <f t="shared" si="24"/>
        <v>62032</v>
      </c>
      <c r="H415" t="str">
        <f t="shared" si="25"/>
        <v>Bedirhan BAKAR</v>
      </c>
      <c r="I415" t="str">
        <f t="shared" si="26"/>
        <v>10L Endüstriyel Kalıp</v>
      </c>
      <c r="J415" t="str">
        <f t="shared" si="27"/>
        <v>10L</v>
      </c>
    </row>
    <row r="416" spans="1:10" x14ac:dyDescent="0.25">
      <c r="A416" s="3">
        <v>47248274558</v>
      </c>
      <c r="B416" s="3" t="s">
        <v>484</v>
      </c>
      <c r="C416" s="3" t="s">
        <v>12</v>
      </c>
      <c r="D416" s="3" t="s">
        <v>86</v>
      </c>
      <c r="E416" s="3">
        <v>10</v>
      </c>
      <c r="F416" s="3" t="s">
        <v>485</v>
      </c>
      <c r="G416" s="4" t="str">
        <f t="shared" si="24"/>
        <v>74558</v>
      </c>
      <c r="H416" t="str">
        <f t="shared" si="25"/>
        <v>Ali TAŞGIN</v>
      </c>
      <c r="I416" t="str">
        <f t="shared" si="26"/>
        <v>10E2 Endüstriyel Kontrol</v>
      </c>
      <c r="J416" t="str">
        <f t="shared" si="27"/>
        <v>10E</v>
      </c>
    </row>
    <row r="417" spans="1:10" x14ac:dyDescent="0.25">
      <c r="A417" s="3">
        <v>35486000916</v>
      </c>
      <c r="B417" s="3" t="s">
        <v>486</v>
      </c>
      <c r="C417" s="3" t="s">
        <v>12</v>
      </c>
      <c r="D417" s="3" t="s">
        <v>86</v>
      </c>
      <c r="E417" s="3">
        <v>10</v>
      </c>
      <c r="F417" s="3" t="s">
        <v>485</v>
      </c>
      <c r="G417" s="4" t="str">
        <f t="shared" si="24"/>
        <v>00916</v>
      </c>
      <c r="H417" t="str">
        <f t="shared" si="25"/>
        <v>Muhammet Mustafa BAŞ</v>
      </c>
      <c r="I417" t="str">
        <f t="shared" si="26"/>
        <v>10E2 Endüstriyel Kontrol</v>
      </c>
      <c r="J417" t="str">
        <f t="shared" si="27"/>
        <v>10E</v>
      </c>
    </row>
    <row r="418" spans="1:10" x14ac:dyDescent="0.25">
      <c r="A418" s="3">
        <v>59356204846</v>
      </c>
      <c r="B418" s="3" t="s">
        <v>487</v>
      </c>
      <c r="C418" s="3" t="s">
        <v>12</v>
      </c>
      <c r="D418" s="3" t="s">
        <v>91</v>
      </c>
      <c r="E418" s="3">
        <v>10</v>
      </c>
      <c r="F418" s="3" t="s">
        <v>58</v>
      </c>
      <c r="G418" s="4" t="str">
        <f t="shared" si="24"/>
        <v>04846</v>
      </c>
      <c r="H418" t="str">
        <f t="shared" si="25"/>
        <v>Abdülbaki ARSLAN</v>
      </c>
      <c r="I418" t="str">
        <f t="shared" si="26"/>
        <v>10B Erkek Kuaförlüğü</v>
      </c>
      <c r="J418" t="str">
        <f t="shared" si="27"/>
        <v>10B</v>
      </c>
    </row>
    <row r="419" spans="1:10" x14ac:dyDescent="0.25">
      <c r="A419" s="3">
        <v>32573097736</v>
      </c>
      <c r="B419" s="3" t="s">
        <v>488</v>
      </c>
      <c r="C419" s="3" t="s">
        <v>12</v>
      </c>
      <c r="D419" s="3" t="s">
        <v>91</v>
      </c>
      <c r="E419" s="3">
        <v>10</v>
      </c>
      <c r="F419" s="2"/>
      <c r="G419" s="4" t="str">
        <f t="shared" si="24"/>
        <v>97736</v>
      </c>
      <c r="H419" t="str">
        <f t="shared" si="25"/>
        <v>Abdüssamed ÇUKADAR</v>
      </c>
      <c r="I419" t="str">
        <f t="shared" si="26"/>
        <v>10 Erkek Kuaförlüğü</v>
      </c>
      <c r="J419" t="str">
        <f t="shared" si="27"/>
        <v xml:space="preserve">10 </v>
      </c>
    </row>
    <row r="420" spans="1:10" x14ac:dyDescent="0.25">
      <c r="A420" s="3">
        <v>28583231406</v>
      </c>
      <c r="B420" s="3" t="s">
        <v>489</v>
      </c>
      <c r="C420" s="3" t="s">
        <v>12</v>
      </c>
      <c r="D420" s="3" t="s">
        <v>91</v>
      </c>
      <c r="E420" s="3">
        <v>10</v>
      </c>
      <c r="F420" s="3" t="s">
        <v>164</v>
      </c>
      <c r="G420" s="4" t="str">
        <f t="shared" si="24"/>
        <v>31406</v>
      </c>
      <c r="H420" t="str">
        <f t="shared" si="25"/>
        <v>Alperen TAKIM</v>
      </c>
      <c r="I420" t="str">
        <f t="shared" si="26"/>
        <v>10C Erkek Kuaförlüğü</v>
      </c>
      <c r="J420" t="str">
        <f t="shared" si="27"/>
        <v>10C</v>
      </c>
    </row>
    <row r="421" spans="1:10" x14ac:dyDescent="0.25">
      <c r="A421" s="3">
        <v>57556265124</v>
      </c>
      <c r="B421" s="3" t="s">
        <v>490</v>
      </c>
      <c r="C421" s="3" t="s">
        <v>12</v>
      </c>
      <c r="D421" s="3" t="s">
        <v>91</v>
      </c>
      <c r="E421" s="3">
        <v>10</v>
      </c>
      <c r="F421" s="3" t="s">
        <v>164</v>
      </c>
      <c r="G421" s="4" t="str">
        <f t="shared" si="24"/>
        <v>65124</v>
      </c>
      <c r="H421" t="str">
        <f t="shared" si="25"/>
        <v>Arda YILMAZ</v>
      </c>
      <c r="I421" t="str">
        <f t="shared" si="26"/>
        <v>10C Erkek Kuaförlüğü</v>
      </c>
      <c r="J421" t="str">
        <f t="shared" si="27"/>
        <v>10C</v>
      </c>
    </row>
    <row r="422" spans="1:10" x14ac:dyDescent="0.25">
      <c r="A422" s="3">
        <v>27767591374</v>
      </c>
      <c r="B422" s="3" t="s">
        <v>491</v>
      </c>
      <c r="C422" s="3" t="s">
        <v>12</v>
      </c>
      <c r="D422" s="3" t="s">
        <v>91</v>
      </c>
      <c r="E422" s="3">
        <v>10</v>
      </c>
      <c r="F422" s="3" t="s">
        <v>164</v>
      </c>
      <c r="G422" s="4" t="str">
        <f t="shared" si="24"/>
        <v>91374</v>
      </c>
      <c r="H422" t="str">
        <f t="shared" si="25"/>
        <v>Azad AYNA</v>
      </c>
      <c r="I422" t="str">
        <f t="shared" si="26"/>
        <v>10C Erkek Kuaförlüğü</v>
      </c>
      <c r="J422" t="str">
        <f t="shared" si="27"/>
        <v>10C</v>
      </c>
    </row>
    <row r="423" spans="1:10" x14ac:dyDescent="0.25">
      <c r="A423" s="3">
        <v>66055352440</v>
      </c>
      <c r="B423" s="3" t="s">
        <v>492</v>
      </c>
      <c r="C423" s="3" t="s">
        <v>12</v>
      </c>
      <c r="D423" s="3" t="s">
        <v>91</v>
      </c>
      <c r="E423" s="3">
        <v>10</v>
      </c>
      <c r="F423" s="3" t="s">
        <v>164</v>
      </c>
      <c r="G423" s="4" t="str">
        <f t="shared" si="24"/>
        <v>52440</v>
      </c>
      <c r="H423" t="str">
        <f t="shared" si="25"/>
        <v>Azat Ensar KORDAĞLI</v>
      </c>
      <c r="I423" t="str">
        <f t="shared" si="26"/>
        <v>10C Erkek Kuaförlüğü</v>
      </c>
      <c r="J423" t="str">
        <f t="shared" si="27"/>
        <v>10C</v>
      </c>
    </row>
    <row r="424" spans="1:10" x14ac:dyDescent="0.25">
      <c r="A424" s="3">
        <v>47935840820</v>
      </c>
      <c r="B424" s="3" t="s">
        <v>493</v>
      </c>
      <c r="C424" s="3" t="s">
        <v>12</v>
      </c>
      <c r="D424" s="3" t="s">
        <v>91</v>
      </c>
      <c r="E424" s="3">
        <v>10</v>
      </c>
      <c r="F424" s="3" t="s">
        <v>164</v>
      </c>
      <c r="G424" s="4" t="str">
        <f t="shared" si="24"/>
        <v>40820</v>
      </c>
      <c r="H424" t="str">
        <f t="shared" si="25"/>
        <v>Barış AKGÜN</v>
      </c>
      <c r="I424" t="str">
        <f t="shared" si="26"/>
        <v>10C Erkek Kuaförlüğü</v>
      </c>
      <c r="J424" t="str">
        <f t="shared" si="27"/>
        <v>10C</v>
      </c>
    </row>
    <row r="425" spans="1:10" x14ac:dyDescent="0.25">
      <c r="A425" s="3">
        <v>51511466908</v>
      </c>
      <c r="B425" s="3" t="s">
        <v>494</v>
      </c>
      <c r="C425" s="3" t="s">
        <v>12</v>
      </c>
      <c r="D425" s="3" t="s">
        <v>91</v>
      </c>
      <c r="E425" s="3">
        <v>10</v>
      </c>
      <c r="F425" s="3" t="s">
        <v>164</v>
      </c>
      <c r="G425" s="4" t="str">
        <f t="shared" si="24"/>
        <v>66908</v>
      </c>
      <c r="H425" t="str">
        <f t="shared" si="25"/>
        <v>Barış Özgür SEVGİOĞLU</v>
      </c>
      <c r="I425" t="str">
        <f t="shared" si="26"/>
        <v>10C Erkek Kuaförlüğü</v>
      </c>
      <c r="J425" t="str">
        <f t="shared" si="27"/>
        <v>10C</v>
      </c>
    </row>
    <row r="426" spans="1:10" x14ac:dyDescent="0.25">
      <c r="A426" s="3">
        <v>52627430098</v>
      </c>
      <c r="B426" s="3" t="s">
        <v>495</v>
      </c>
      <c r="C426" s="3" t="s">
        <v>12</v>
      </c>
      <c r="D426" s="3" t="s">
        <v>91</v>
      </c>
      <c r="E426" s="3">
        <v>10</v>
      </c>
      <c r="F426" s="3" t="s">
        <v>164</v>
      </c>
      <c r="G426" s="4" t="str">
        <f t="shared" si="24"/>
        <v>30098</v>
      </c>
      <c r="H426" t="str">
        <f t="shared" si="25"/>
        <v>Batın Mert GÜNDOĞDU</v>
      </c>
      <c r="I426" t="str">
        <f t="shared" si="26"/>
        <v>10C Erkek Kuaförlüğü</v>
      </c>
      <c r="J426" t="str">
        <f t="shared" si="27"/>
        <v>10C</v>
      </c>
    </row>
    <row r="427" spans="1:10" x14ac:dyDescent="0.25">
      <c r="A427" s="3">
        <v>18151977560</v>
      </c>
      <c r="B427" s="3" t="s">
        <v>496</v>
      </c>
      <c r="C427" s="3" t="s">
        <v>12</v>
      </c>
      <c r="D427" s="3" t="s">
        <v>91</v>
      </c>
      <c r="E427" s="3">
        <v>10</v>
      </c>
      <c r="F427" s="3" t="s">
        <v>164</v>
      </c>
      <c r="G427" s="4" t="str">
        <f t="shared" si="24"/>
        <v>77560</v>
      </c>
      <c r="H427" t="str">
        <f t="shared" si="25"/>
        <v>Batuhan TEKİN</v>
      </c>
      <c r="I427" t="str">
        <f t="shared" si="26"/>
        <v>10C Erkek Kuaförlüğü</v>
      </c>
      <c r="J427" t="str">
        <f t="shared" si="27"/>
        <v>10C</v>
      </c>
    </row>
    <row r="428" spans="1:10" x14ac:dyDescent="0.25">
      <c r="A428" s="3">
        <v>49189543700</v>
      </c>
      <c r="B428" s="3" t="s">
        <v>497</v>
      </c>
      <c r="C428" s="3" t="s">
        <v>12</v>
      </c>
      <c r="D428" s="3" t="s">
        <v>91</v>
      </c>
      <c r="E428" s="3">
        <v>10</v>
      </c>
      <c r="F428" s="3" t="s">
        <v>58</v>
      </c>
      <c r="G428" s="4" t="str">
        <f t="shared" si="24"/>
        <v>43700</v>
      </c>
      <c r="H428" t="str">
        <f t="shared" si="25"/>
        <v>Berat YAMAN</v>
      </c>
      <c r="I428" t="str">
        <f t="shared" si="26"/>
        <v>10B Erkek Kuaförlüğü</v>
      </c>
      <c r="J428" t="str">
        <f t="shared" si="27"/>
        <v>10B</v>
      </c>
    </row>
    <row r="429" spans="1:10" x14ac:dyDescent="0.25">
      <c r="A429" s="3">
        <v>17642596044</v>
      </c>
      <c r="B429" s="3" t="s">
        <v>498</v>
      </c>
      <c r="C429" s="3" t="s">
        <v>12</v>
      </c>
      <c r="D429" s="3" t="s">
        <v>91</v>
      </c>
      <c r="E429" s="3">
        <v>10</v>
      </c>
      <c r="F429" s="3" t="s">
        <v>164</v>
      </c>
      <c r="G429" s="4" t="str">
        <f t="shared" si="24"/>
        <v>96044</v>
      </c>
      <c r="H429" t="str">
        <f t="shared" si="25"/>
        <v>Bilal KAYA</v>
      </c>
      <c r="I429" t="str">
        <f t="shared" si="26"/>
        <v>10C Erkek Kuaförlüğü</v>
      </c>
      <c r="J429" t="str">
        <f t="shared" si="27"/>
        <v>10C</v>
      </c>
    </row>
    <row r="430" spans="1:10" x14ac:dyDescent="0.25">
      <c r="A430" s="3">
        <v>12643530790</v>
      </c>
      <c r="B430" s="3" t="s">
        <v>499</v>
      </c>
      <c r="C430" s="3" t="s">
        <v>12</v>
      </c>
      <c r="D430" s="3" t="s">
        <v>91</v>
      </c>
      <c r="E430" s="3">
        <v>10</v>
      </c>
      <c r="F430" s="3" t="s">
        <v>94</v>
      </c>
      <c r="G430" s="4" t="str">
        <f t="shared" si="24"/>
        <v>30790</v>
      </c>
      <c r="H430" t="str">
        <f t="shared" si="25"/>
        <v>Bilal TAHTALI</v>
      </c>
      <c r="I430" t="str">
        <f t="shared" si="26"/>
        <v>10A Erkek Kuaförlüğü</v>
      </c>
      <c r="J430" t="str">
        <f t="shared" si="27"/>
        <v>10A</v>
      </c>
    </row>
    <row r="431" spans="1:10" x14ac:dyDescent="0.25">
      <c r="A431" s="3">
        <v>52429436656</v>
      </c>
      <c r="B431" s="3" t="s">
        <v>500</v>
      </c>
      <c r="C431" s="3" t="s">
        <v>12</v>
      </c>
      <c r="D431" s="3" t="s">
        <v>91</v>
      </c>
      <c r="E431" s="3">
        <v>10</v>
      </c>
      <c r="F431" s="3" t="s">
        <v>164</v>
      </c>
      <c r="G431" s="4" t="str">
        <f t="shared" si="24"/>
        <v>36656</v>
      </c>
      <c r="H431" t="str">
        <f t="shared" si="25"/>
        <v>Bünyamin ÇOLAK</v>
      </c>
      <c r="I431" t="str">
        <f t="shared" si="26"/>
        <v>10C Erkek Kuaförlüğü</v>
      </c>
      <c r="J431" t="str">
        <f t="shared" si="27"/>
        <v>10C</v>
      </c>
    </row>
    <row r="432" spans="1:10" x14ac:dyDescent="0.25">
      <c r="A432" s="3">
        <v>37777643734</v>
      </c>
      <c r="B432" s="3" t="s">
        <v>501</v>
      </c>
      <c r="C432" s="3" t="s">
        <v>12</v>
      </c>
      <c r="D432" s="3" t="s">
        <v>91</v>
      </c>
      <c r="E432" s="3">
        <v>10</v>
      </c>
      <c r="F432" s="3" t="s">
        <v>58</v>
      </c>
      <c r="G432" s="4" t="str">
        <f t="shared" si="24"/>
        <v>43734</v>
      </c>
      <c r="H432" t="str">
        <f t="shared" si="25"/>
        <v>Celil ÖZKAN</v>
      </c>
      <c r="I432" t="str">
        <f t="shared" si="26"/>
        <v>10B Erkek Kuaförlüğü</v>
      </c>
      <c r="J432" t="str">
        <f t="shared" si="27"/>
        <v>10B</v>
      </c>
    </row>
    <row r="433" spans="1:10" x14ac:dyDescent="0.25">
      <c r="A433" s="3">
        <v>30929152450</v>
      </c>
      <c r="B433" s="3" t="s">
        <v>502</v>
      </c>
      <c r="C433" s="3" t="s">
        <v>12</v>
      </c>
      <c r="D433" s="3" t="s">
        <v>91</v>
      </c>
      <c r="E433" s="3">
        <v>10</v>
      </c>
      <c r="F433" s="3" t="s">
        <v>164</v>
      </c>
      <c r="G433" s="4" t="str">
        <f t="shared" si="24"/>
        <v>52450</v>
      </c>
      <c r="H433" t="str">
        <f t="shared" si="25"/>
        <v>Cihangir BULUR</v>
      </c>
      <c r="I433" t="str">
        <f t="shared" si="26"/>
        <v>10C Erkek Kuaförlüğü</v>
      </c>
      <c r="J433" t="str">
        <f t="shared" si="27"/>
        <v>10C</v>
      </c>
    </row>
    <row r="434" spans="1:10" x14ac:dyDescent="0.25">
      <c r="A434" s="3">
        <v>30244961638</v>
      </c>
      <c r="B434" s="3" t="s">
        <v>503</v>
      </c>
      <c r="C434" s="3" t="s">
        <v>12</v>
      </c>
      <c r="D434" s="3" t="s">
        <v>91</v>
      </c>
      <c r="E434" s="3">
        <v>10</v>
      </c>
      <c r="F434" s="3" t="s">
        <v>94</v>
      </c>
      <c r="G434" s="4" t="str">
        <f t="shared" si="24"/>
        <v>61638</v>
      </c>
      <c r="H434" t="str">
        <f t="shared" si="25"/>
        <v>Devrim TAŞ</v>
      </c>
      <c r="I434" t="str">
        <f t="shared" si="26"/>
        <v>10A Erkek Kuaförlüğü</v>
      </c>
      <c r="J434" t="str">
        <f t="shared" si="27"/>
        <v>10A</v>
      </c>
    </row>
    <row r="435" spans="1:10" x14ac:dyDescent="0.25">
      <c r="A435" s="3">
        <v>71551166552</v>
      </c>
      <c r="B435" s="3" t="s">
        <v>504</v>
      </c>
      <c r="C435" s="3" t="s">
        <v>12</v>
      </c>
      <c r="D435" s="3" t="s">
        <v>91</v>
      </c>
      <c r="E435" s="3">
        <v>10</v>
      </c>
      <c r="F435" s="3" t="s">
        <v>164</v>
      </c>
      <c r="G435" s="4" t="str">
        <f t="shared" si="24"/>
        <v>66552</v>
      </c>
      <c r="H435" t="str">
        <f t="shared" si="25"/>
        <v>Durdu Eren ŞAHİN</v>
      </c>
      <c r="I435" t="str">
        <f t="shared" si="26"/>
        <v>10C Erkek Kuaförlüğü</v>
      </c>
      <c r="J435" t="str">
        <f t="shared" si="27"/>
        <v>10C</v>
      </c>
    </row>
    <row r="436" spans="1:10" x14ac:dyDescent="0.25">
      <c r="A436" s="3">
        <v>19475534132</v>
      </c>
      <c r="B436" s="3" t="s">
        <v>505</v>
      </c>
      <c r="C436" s="3" t="s">
        <v>12</v>
      </c>
      <c r="D436" s="3" t="s">
        <v>91</v>
      </c>
      <c r="E436" s="3">
        <v>10</v>
      </c>
      <c r="F436" s="3" t="s">
        <v>164</v>
      </c>
      <c r="G436" s="4" t="str">
        <f t="shared" si="24"/>
        <v>34132</v>
      </c>
      <c r="H436" t="str">
        <f t="shared" si="25"/>
        <v>Efe GENÇ</v>
      </c>
      <c r="I436" t="str">
        <f t="shared" si="26"/>
        <v>10C Erkek Kuaförlüğü</v>
      </c>
      <c r="J436" t="str">
        <f t="shared" si="27"/>
        <v>10C</v>
      </c>
    </row>
    <row r="437" spans="1:10" x14ac:dyDescent="0.25">
      <c r="A437" s="3">
        <v>45952652570</v>
      </c>
      <c r="B437" s="3" t="s">
        <v>506</v>
      </c>
      <c r="C437" s="3" t="s">
        <v>12</v>
      </c>
      <c r="D437" s="3" t="s">
        <v>91</v>
      </c>
      <c r="E437" s="3">
        <v>10</v>
      </c>
      <c r="F437" s="3" t="s">
        <v>164</v>
      </c>
      <c r="G437" s="4" t="str">
        <f t="shared" si="24"/>
        <v>52570</v>
      </c>
      <c r="H437" t="str">
        <f t="shared" si="25"/>
        <v>Ege KARAÇOBAN</v>
      </c>
      <c r="I437" t="str">
        <f t="shared" si="26"/>
        <v>10C Erkek Kuaförlüğü</v>
      </c>
      <c r="J437" t="str">
        <f t="shared" si="27"/>
        <v>10C</v>
      </c>
    </row>
    <row r="438" spans="1:10" x14ac:dyDescent="0.25">
      <c r="A438" s="3">
        <v>16466694462</v>
      </c>
      <c r="B438" s="3" t="s">
        <v>507</v>
      </c>
      <c r="C438" s="3" t="s">
        <v>12</v>
      </c>
      <c r="D438" s="3" t="s">
        <v>91</v>
      </c>
      <c r="E438" s="3">
        <v>10</v>
      </c>
      <c r="F438" s="3" t="s">
        <v>164</v>
      </c>
      <c r="G438" s="4" t="str">
        <f t="shared" si="24"/>
        <v>94462</v>
      </c>
      <c r="H438" t="str">
        <f t="shared" si="25"/>
        <v>Emir YADIŞ</v>
      </c>
      <c r="I438" t="str">
        <f t="shared" si="26"/>
        <v>10C Erkek Kuaförlüğü</v>
      </c>
      <c r="J438" t="str">
        <f t="shared" si="27"/>
        <v>10C</v>
      </c>
    </row>
    <row r="439" spans="1:10" x14ac:dyDescent="0.25">
      <c r="A439" s="3">
        <v>37978917382</v>
      </c>
      <c r="B439" s="3" t="s">
        <v>508</v>
      </c>
      <c r="C439" s="3" t="s">
        <v>12</v>
      </c>
      <c r="D439" s="3" t="s">
        <v>91</v>
      </c>
      <c r="E439" s="3">
        <v>10</v>
      </c>
      <c r="F439" s="3" t="s">
        <v>58</v>
      </c>
      <c r="G439" s="4" t="str">
        <f t="shared" si="24"/>
        <v>17382</v>
      </c>
      <c r="H439" t="str">
        <f t="shared" si="25"/>
        <v>Emirhan AKCAL</v>
      </c>
      <c r="I439" t="str">
        <f t="shared" si="26"/>
        <v>10B Erkek Kuaförlüğü</v>
      </c>
      <c r="J439" t="str">
        <f t="shared" si="27"/>
        <v>10B</v>
      </c>
    </row>
    <row r="440" spans="1:10" x14ac:dyDescent="0.25">
      <c r="A440" s="3">
        <v>35003017526</v>
      </c>
      <c r="B440" s="3" t="s">
        <v>509</v>
      </c>
      <c r="C440" s="3" t="s">
        <v>12</v>
      </c>
      <c r="D440" s="3" t="s">
        <v>91</v>
      </c>
      <c r="E440" s="3">
        <v>10</v>
      </c>
      <c r="F440" s="3" t="s">
        <v>94</v>
      </c>
      <c r="G440" s="4" t="str">
        <f t="shared" si="24"/>
        <v>17526</v>
      </c>
      <c r="H440" t="str">
        <f t="shared" si="25"/>
        <v>Emirhan GÜNGÖR</v>
      </c>
      <c r="I440" t="str">
        <f t="shared" si="26"/>
        <v>10A Erkek Kuaförlüğü</v>
      </c>
      <c r="J440" t="str">
        <f t="shared" si="27"/>
        <v>10A</v>
      </c>
    </row>
    <row r="441" spans="1:10" x14ac:dyDescent="0.25">
      <c r="A441" s="3">
        <v>45988650892</v>
      </c>
      <c r="B441" s="3" t="s">
        <v>510</v>
      </c>
      <c r="C441" s="3" t="s">
        <v>12</v>
      </c>
      <c r="D441" s="3" t="s">
        <v>91</v>
      </c>
      <c r="E441" s="3">
        <v>10</v>
      </c>
      <c r="F441" s="3" t="s">
        <v>164</v>
      </c>
      <c r="G441" s="4" t="str">
        <f t="shared" si="24"/>
        <v>50892</v>
      </c>
      <c r="H441" t="str">
        <f t="shared" si="25"/>
        <v>Eren Can AKKAYA</v>
      </c>
      <c r="I441" t="str">
        <f t="shared" si="26"/>
        <v>10C Erkek Kuaförlüğü</v>
      </c>
      <c r="J441" t="str">
        <f t="shared" si="27"/>
        <v>10C</v>
      </c>
    </row>
    <row r="442" spans="1:10" x14ac:dyDescent="0.25">
      <c r="A442" s="3">
        <v>47497227664</v>
      </c>
      <c r="B442" s="3" t="s">
        <v>511</v>
      </c>
      <c r="C442" s="3" t="s">
        <v>12</v>
      </c>
      <c r="D442" s="3" t="s">
        <v>91</v>
      </c>
      <c r="E442" s="3">
        <v>10</v>
      </c>
      <c r="F442" s="3" t="s">
        <v>58</v>
      </c>
      <c r="G442" s="4" t="str">
        <f t="shared" si="24"/>
        <v>27664</v>
      </c>
      <c r="H442" t="str">
        <f t="shared" si="25"/>
        <v>Eser YENİYILDIZ</v>
      </c>
      <c r="I442" t="str">
        <f t="shared" si="26"/>
        <v>10B Erkek Kuaförlüğü</v>
      </c>
      <c r="J442" t="str">
        <f t="shared" si="27"/>
        <v>10B</v>
      </c>
    </row>
    <row r="443" spans="1:10" x14ac:dyDescent="0.25">
      <c r="A443" s="3">
        <v>49684316090</v>
      </c>
      <c r="B443" s="3" t="s">
        <v>512</v>
      </c>
      <c r="C443" s="3" t="s">
        <v>12</v>
      </c>
      <c r="D443" s="3" t="s">
        <v>91</v>
      </c>
      <c r="E443" s="3">
        <v>10</v>
      </c>
      <c r="F443" s="3" t="s">
        <v>58</v>
      </c>
      <c r="G443" s="4" t="str">
        <f t="shared" si="24"/>
        <v>16090</v>
      </c>
      <c r="H443" t="str">
        <f t="shared" si="25"/>
        <v>Fatih ÇETİNKAYA</v>
      </c>
      <c r="I443" t="str">
        <f t="shared" si="26"/>
        <v>10B Erkek Kuaförlüğü</v>
      </c>
      <c r="J443" t="str">
        <f t="shared" si="27"/>
        <v>10B</v>
      </c>
    </row>
    <row r="444" spans="1:10" x14ac:dyDescent="0.25">
      <c r="A444" s="3">
        <v>43597730424</v>
      </c>
      <c r="B444" s="3" t="s">
        <v>513</v>
      </c>
      <c r="C444" s="3" t="s">
        <v>12</v>
      </c>
      <c r="D444" s="3" t="s">
        <v>91</v>
      </c>
      <c r="E444" s="3">
        <v>10</v>
      </c>
      <c r="F444" s="3" t="s">
        <v>164</v>
      </c>
      <c r="G444" s="4" t="str">
        <f t="shared" si="24"/>
        <v>30424</v>
      </c>
      <c r="H444" t="str">
        <f t="shared" si="25"/>
        <v>Göktuğ Okan GİZİR</v>
      </c>
      <c r="I444" t="str">
        <f t="shared" si="26"/>
        <v>10C Erkek Kuaförlüğü</v>
      </c>
      <c r="J444" t="str">
        <f t="shared" si="27"/>
        <v>10C</v>
      </c>
    </row>
    <row r="445" spans="1:10" x14ac:dyDescent="0.25">
      <c r="A445" s="3">
        <v>62968085284</v>
      </c>
      <c r="B445" s="3" t="s">
        <v>514</v>
      </c>
      <c r="C445" s="3" t="s">
        <v>12</v>
      </c>
      <c r="D445" s="3" t="s">
        <v>91</v>
      </c>
      <c r="E445" s="3">
        <v>10</v>
      </c>
      <c r="F445" s="3" t="s">
        <v>164</v>
      </c>
      <c r="G445" s="4" t="str">
        <f t="shared" si="24"/>
        <v>85284</v>
      </c>
      <c r="H445" t="str">
        <f t="shared" si="25"/>
        <v>Görkem Yiğit YALDIZ</v>
      </c>
      <c r="I445" t="str">
        <f t="shared" si="26"/>
        <v>10C Erkek Kuaförlüğü</v>
      </c>
      <c r="J445" t="str">
        <f t="shared" si="27"/>
        <v>10C</v>
      </c>
    </row>
    <row r="446" spans="1:10" x14ac:dyDescent="0.25">
      <c r="A446" s="3">
        <v>25025349538</v>
      </c>
      <c r="B446" s="3" t="s">
        <v>515</v>
      </c>
      <c r="C446" s="3" t="s">
        <v>12</v>
      </c>
      <c r="D446" s="3" t="s">
        <v>91</v>
      </c>
      <c r="E446" s="3">
        <v>10</v>
      </c>
      <c r="F446" s="3" t="s">
        <v>58</v>
      </c>
      <c r="G446" s="4" t="str">
        <f t="shared" si="24"/>
        <v>49538</v>
      </c>
      <c r="H446" t="str">
        <f t="shared" si="25"/>
        <v>Halis YILMAZ</v>
      </c>
      <c r="I446" t="str">
        <f t="shared" si="26"/>
        <v>10B Erkek Kuaförlüğü</v>
      </c>
      <c r="J446" t="str">
        <f t="shared" si="27"/>
        <v>10B</v>
      </c>
    </row>
    <row r="447" spans="1:10" x14ac:dyDescent="0.25">
      <c r="A447" s="3">
        <v>13704058918</v>
      </c>
      <c r="B447" s="3" t="s">
        <v>516</v>
      </c>
      <c r="C447" s="3" t="s">
        <v>12</v>
      </c>
      <c r="D447" s="3" t="s">
        <v>91</v>
      </c>
      <c r="E447" s="3">
        <v>10</v>
      </c>
      <c r="F447" s="3" t="s">
        <v>164</v>
      </c>
      <c r="G447" s="4" t="str">
        <f t="shared" si="24"/>
        <v>58918</v>
      </c>
      <c r="H447" t="str">
        <f t="shared" si="25"/>
        <v>Harun DOĞRU</v>
      </c>
      <c r="I447" t="str">
        <f t="shared" si="26"/>
        <v>10C Erkek Kuaförlüğü</v>
      </c>
      <c r="J447" t="str">
        <f t="shared" si="27"/>
        <v>10C</v>
      </c>
    </row>
    <row r="448" spans="1:10" x14ac:dyDescent="0.25">
      <c r="A448" s="3">
        <v>39598863506</v>
      </c>
      <c r="B448" s="3" t="s">
        <v>517</v>
      </c>
      <c r="C448" s="3" t="s">
        <v>12</v>
      </c>
      <c r="D448" s="3" t="s">
        <v>91</v>
      </c>
      <c r="E448" s="3">
        <v>10</v>
      </c>
      <c r="F448" s="3" t="s">
        <v>164</v>
      </c>
      <c r="G448" s="4" t="str">
        <f t="shared" si="24"/>
        <v>63506</v>
      </c>
      <c r="H448" t="str">
        <f t="shared" si="25"/>
        <v>Hüseyin Berk KORKMAZ</v>
      </c>
      <c r="I448" t="str">
        <f t="shared" si="26"/>
        <v>10C Erkek Kuaförlüğü</v>
      </c>
      <c r="J448" t="str">
        <f t="shared" si="27"/>
        <v>10C</v>
      </c>
    </row>
    <row r="449" spans="1:10" x14ac:dyDescent="0.25">
      <c r="A449" s="3">
        <v>21509096158</v>
      </c>
      <c r="B449" s="3" t="s">
        <v>518</v>
      </c>
      <c r="C449" s="3" t="s">
        <v>12</v>
      </c>
      <c r="D449" s="3" t="s">
        <v>91</v>
      </c>
      <c r="E449" s="3">
        <v>10</v>
      </c>
      <c r="F449" s="3" t="s">
        <v>164</v>
      </c>
      <c r="G449" s="4" t="str">
        <f t="shared" si="24"/>
        <v>96158</v>
      </c>
      <c r="H449" t="str">
        <f t="shared" si="25"/>
        <v>İdris Efe TORUN</v>
      </c>
      <c r="I449" t="str">
        <f t="shared" si="26"/>
        <v>10C Erkek Kuaförlüğü</v>
      </c>
      <c r="J449" t="str">
        <f t="shared" si="27"/>
        <v>10C</v>
      </c>
    </row>
    <row r="450" spans="1:10" x14ac:dyDescent="0.25">
      <c r="A450" s="3">
        <v>19991885268</v>
      </c>
      <c r="B450" s="3" t="s">
        <v>519</v>
      </c>
      <c r="C450" s="3" t="s">
        <v>12</v>
      </c>
      <c r="D450" s="3" t="s">
        <v>91</v>
      </c>
      <c r="E450" s="3">
        <v>10</v>
      </c>
      <c r="F450" s="3" t="s">
        <v>94</v>
      </c>
      <c r="G450" s="4" t="str">
        <f t="shared" si="24"/>
        <v>85268</v>
      </c>
      <c r="H450" t="str">
        <f t="shared" si="25"/>
        <v>Kaan UZUN</v>
      </c>
      <c r="I450" t="str">
        <f t="shared" si="26"/>
        <v>10A Erkek Kuaförlüğü</v>
      </c>
      <c r="J450" t="str">
        <f t="shared" si="27"/>
        <v>10A</v>
      </c>
    </row>
    <row r="451" spans="1:10" x14ac:dyDescent="0.25">
      <c r="A451" s="3">
        <v>57571448236</v>
      </c>
      <c r="B451" s="3" t="s">
        <v>520</v>
      </c>
      <c r="C451" s="3" t="s">
        <v>12</v>
      </c>
      <c r="D451" s="3" t="s">
        <v>91</v>
      </c>
      <c r="E451" s="3">
        <v>10</v>
      </c>
      <c r="F451" s="3" t="s">
        <v>58</v>
      </c>
      <c r="G451" s="4" t="str">
        <f t="shared" si="24"/>
        <v>48236</v>
      </c>
      <c r="H451" t="str">
        <f t="shared" si="25"/>
        <v>Muhammed Orhan KAYMAK</v>
      </c>
      <c r="I451" t="str">
        <f t="shared" si="26"/>
        <v>10B Erkek Kuaförlüğü</v>
      </c>
      <c r="J451" t="str">
        <f t="shared" si="27"/>
        <v>10B</v>
      </c>
    </row>
    <row r="452" spans="1:10" x14ac:dyDescent="0.25">
      <c r="A452" s="3">
        <v>59191578140</v>
      </c>
      <c r="B452" s="3" t="s">
        <v>521</v>
      </c>
      <c r="C452" s="3" t="s">
        <v>12</v>
      </c>
      <c r="D452" s="3" t="s">
        <v>91</v>
      </c>
      <c r="E452" s="3">
        <v>10</v>
      </c>
      <c r="F452" s="3" t="s">
        <v>164</v>
      </c>
      <c r="G452" s="4" t="str">
        <f t="shared" si="24"/>
        <v>78140</v>
      </c>
      <c r="H452" t="str">
        <f t="shared" si="25"/>
        <v>Muhammet Alperen SÜRBAHANLI</v>
      </c>
      <c r="I452" t="str">
        <f t="shared" si="26"/>
        <v>10C Erkek Kuaförlüğü</v>
      </c>
      <c r="J452" t="str">
        <f t="shared" si="27"/>
        <v>10C</v>
      </c>
    </row>
    <row r="453" spans="1:10" x14ac:dyDescent="0.25">
      <c r="A453" s="3">
        <v>49120546326</v>
      </c>
      <c r="B453" s="3" t="s">
        <v>522</v>
      </c>
      <c r="C453" s="3" t="s">
        <v>12</v>
      </c>
      <c r="D453" s="3" t="s">
        <v>91</v>
      </c>
      <c r="E453" s="3">
        <v>10</v>
      </c>
      <c r="F453" s="3" t="s">
        <v>164</v>
      </c>
      <c r="G453" s="4" t="str">
        <f t="shared" ref="G453:G516" si="28">RIGHT(A453,5)</f>
        <v>46326</v>
      </c>
      <c r="H453" t="str">
        <f t="shared" ref="H453:H516" si="29">B453</f>
        <v>Mustafa KARATAŞ</v>
      </c>
      <c r="I453" t="str">
        <f t="shared" ref="I453:I516" si="30">CONCATENATE(E453,F453," ",D453)</f>
        <v>10C Erkek Kuaförlüğü</v>
      </c>
      <c r="J453" t="str">
        <f t="shared" ref="J453:J516" si="31">LEFT(I453,3)</f>
        <v>10C</v>
      </c>
    </row>
    <row r="454" spans="1:10" x14ac:dyDescent="0.25">
      <c r="A454" s="3">
        <v>21359471518</v>
      </c>
      <c r="B454" s="3" t="s">
        <v>523</v>
      </c>
      <c r="C454" s="3" t="s">
        <v>12</v>
      </c>
      <c r="D454" s="3" t="s">
        <v>91</v>
      </c>
      <c r="E454" s="3">
        <v>10</v>
      </c>
      <c r="F454" s="3" t="s">
        <v>164</v>
      </c>
      <c r="G454" s="4" t="str">
        <f t="shared" si="28"/>
        <v>71518</v>
      </c>
      <c r="H454" t="str">
        <f t="shared" si="29"/>
        <v>Mustafa SADE</v>
      </c>
      <c r="I454" t="str">
        <f t="shared" si="30"/>
        <v>10C Erkek Kuaförlüğü</v>
      </c>
      <c r="J454" t="str">
        <f t="shared" si="31"/>
        <v>10C</v>
      </c>
    </row>
    <row r="455" spans="1:10" x14ac:dyDescent="0.25">
      <c r="A455" s="3">
        <v>48706646696</v>
      </c>
      <c r="B455" s="3" t="s">
        <v>524</v>
      </c>
      <c r="C455" s="3" t="s">
        <v>12</v>
      </c>
      <c r="D455" s="3" t="s">
        <v>91</v>
      </c>
      <c r="E455" s="3">
        <v>10</v>
      </c>
      <c r="F455" s="3" t="s">
        <v>164</v>
      </c>
      <c r="G455" s="4" t="str">
        <f t="shared" si="28"/>
        <v>46696</v>
      </c>
      <c r="H455" t="str">
        <f t="shared" si="29"/>
        <v>Nurullah CAZIR</v>
      </c>
      <c r="I455" t="str">
        <f t="shared" si="30"/>
        <v>10C Erkek Kuaförlüğü</v>
      </c>
      <c r="J455" t="str">
        <f t="shared" si="31"/>
        <v>10C</v>
      </c>
    </row>
    <row r="456" spans="1:10" x14ac:dyDescent="0.25">
      <c r="A456" s="3">
        <v>14350464344</v>
      </c>
      <c r="B456" s="3" t="s">
        <v>525</v>
      </c>
      <c r="C456" s="3" t="s">
        <v>12</v>
      </c>
      <c r="D456" s="3" t="s">
        <v>91</v>
      </c>
      <c r="E456" s="3">
        <v>10</v>
      </c>
      <c r="F456" s="3" t="s">
        <v>164</v>
      </c>
      <c r="G456" s="4" t="str">
        <f t="shared" si="28"/>
        <v>64344</v>
      </c>
      <c r="H456" t="str">
        <f t="shared" si="29"/>
        <v>Ozan AKDOĞAN</v>
      </c>
      <c r="I456" t="str">
        <f t="shared" si="30"/>
        <v>10C Erkek Kuaförlüğü</v>
      </c>
      <c r="J456" t="str">
        <f t="shared" si="31"/>
        <v>10C</v>
      </c>
    </row>
    <row r="457" spans="1:10" x14ac:dyDescent="0.25">
      <c r="A457" s="3">
        <v>39298873638</v>
      </c>
      <c r="B457" s="3" t="s">
        <v>526</v>
      </c>
      <c r="C457" s="3" t="s">
        <v>12</v>
      </c>
      <c r="D457" s="3" t="s">
        <v>91</v>
      </c>
      <c r="E457" s="3">
        <v>10</v>
      </c>
      <c r="F457" s="3" t="s">
        <v>164</v>
      </c>
      <c r="G457" s="4" t="str">
        <f t="shared" si="28"/>
        <v>73638</v>
      </c>
      <c r="H457" t="str">
        <f t="shared" si="29"/>
        <v>Özer DEMİR</v>
      </c>
      <c r="I457" t="str">
        <f t="shared" si="30"/>
        <v>10C Erkek Kuaförlüğü</v>
      </c>
      <c r="J457" t="str">
        <f t="shared" si="31"/>
        <v>10C</v>
      </c>
    </row>
    <row r="458" spans="1:10" x14ac:dyDescent="0.25">
      <c r="A458" s="3">
        <v>64933177796</v>
      </c>
      <c r="B458" s="3" t="s">
        <v>527</v>
      </c>
      <c r="C458" s="3" t="s">
        <v>12</v>
      </c>
      <c r="D458" s="3" t="s">
        <v>91</v>
      </c>
      <c r="E458" s="3">
        <v>10</v>
      </c>
      <c r="F458" s="3" t="s">
        <v>94</v>
      </c>
      <c r="G458" s="4" t="str">
        <f t="shared" si="28"/>
        <v>77796</v>
      </c>
      <c r="H458" t="str">
        <f t="shared" si="29"/>
        <v>Ramazan Talha MUSLU</v>
      </c>
      <c r="I458" t="str">
        <f t="shared" si="30"/>
        <v>10A Erkek Kuaförlüğü</v>
      </c>
      <c r="J458" t="str">
        <f t="shared" si="31"/>
        <v>10A</v>
      </c>
    </row>
    <row r="459" spans="1:10" x14ac:dyDescent="0.25">
      <c r="A459" s="3">
        <v>22771041464</v>
      </c>
      <c r="B459" s="3" t="s">
        <v>528</v>
      </c>
      <c r="C459" s="3" t="s">
        <v>12</v>
      </c>
      <c r="D459" s="3" t="s">
        <v>91</v>
      </c>
      <c r="E459" s="3">
        <v>10</v>
      </c>
      <c r="F459" s="3" t="s">
        <v>164</v>
      </c>
      <c r="G459" s="4" t="str">
        <f t="shared" si="28"/>
        <v>41464</v>
      </c>
      <c r="H459" t="str">
        <f t="shared" si="29"/>
        <v>Samet ÇELİK</v>
      </c>
      <c r="I459" t="str">
        <f t="shared" si="30"/>
        <v>10C Erkek Kuaförlüğü</v>
      </c>
      <c r="J459" t="str">
        <f t="shared" si="31"/>
        <v>10C</v>
      </c>
    </row>
    <row r="460" spans="1:10" x14ac:dyDescent="0.25">
      <c r="A460" s="3">
        <v>19970517784</v>
      </c>
      <c r="B460" s="3" t="s">
        <v>529</v>
      </c>
      <c r="C460" s="3" t="s">
        <v>12</v>
      </c>
      <c r="D460" s="3" t="s">
        <v>91</v>
      </c>
      <c r="E460" s="3">
        <v>10</v>
      </c>
      <c r="F460" s="3" t="s">
        <v>94</v>
      </c>
      <c r="G460" s="4" t="str">
        <f t="shared" si="28"/>
        <v>17784</v>
      </c>
      <c r="H460" t="str">
        <f t="shared" si="29"/>
        <v>Selami AKBIYIK</v>
      </c>
      <c r="I460" t="str">
        <f t="shared" si="30"/>
        <v>10A Erkek Kuaförlüğü</v>
      </c>
      <c r="J460" t="str">
        <f t="shared" si="31"/>
        <v>10A</v>
      </c>
    </row>
    <row r="461" spans="1:10" x14ac:dyDescent="0.25">
      <c r="A461" s="3">
        <v>12880510050</v>
      </c>
      <c r="B461" s="3" t="s">
        <v>530</v>
      </c>
      <c r="C461" s="3" t="s">
        <v>12</v>
      </c>
      <c r="D461" s="3" t="s">
        <v>91</v>
      </c>
      <c r="E461" s="3">
        <v>10</v>
      </c>
      <c r="F461" s="3" t="s">
        <v>164</v>
      </c>
      <c r="G461" s="4" t="str">
        <f t="shared" si="28"/>
        <v>10050</v>
      </c>
      <c r="H461" t="str">
        <f t="shared" si="29"/>
        <v>Serhat ÖRS</v>
      </c>
      <c r="I461" t="str">
        <f t="shared" si="30"/>
        <v>10C Erkek Kuaförlüğü</v>
      </c>
      <c r="J461" t="str">
        <f t="shared" si="31"/>
        <v>10C</v>
      </c>
    </row>
    <row r="462" spans="1:10" x14ac:dyDescent="0.25">
      <c r="A462" s="3">
        <v>32167568154</v>
      </c>
      <c r="B462" s="3" t="s">
        <v>531</v>
      </c>
      <c r="C462" s="3" t="s">
        <v>12</v>
      </c>
      <c r="D462" s="3" t="s">
        <v>91</v>
      </c>
      <c r="E462" s="3">
        <v>10</v>
      </c>
      <c r="F462" s="3" t="s">
        <v>58</v>
      </c>
      <c r="G462" s="4" t="str">
        <f t="shared" si="28"/>
        <v>68154</v>
      </c>
      <c r="H462" t="str">
        <f t="shared" si="29"/>
        <v>Sinan DAĞCI</v>
      </c>
      <c r="I462" t="str">
        <f t="shared" si="30"/>
        <v>10B Erkek Kuaförlüğü</v>
      </c>
      <c r="J462" t="str">
        <f t="shared" si="31"/>
        <v>10B</v>
      </c>
    </row>
    <row r="463" spans="1:10" x14ac:dyDescent="0.25">
      <c r="A463" s="3">
        <v>46069648036</v>
      </c>
      <c r="B463" s="3" t="s">
        <v>532</v>
      </c>
      <c r="C463" s="3" t="s">
        <v>12</v>
      </c>
      <c r="D463" s="3" t="s">
        <v>91</v>
      </c>
      <c r="E463" s="3">
        <v>10</v>
      </c>
      <c r="F463" s="3" t="s">
        <v>164</v>
      </c>
      <c r="G463" s="4" t="str">
        <f t="shared" si="28"/>
        <v>48036</v>
      </c>
      <c r="H463" t="str">
        <f t="shared" si="29"/>
        <v>Soykan KARADENİZ</v>
      </c>
      <c r="I463" t="str">
        <f t="shared" si="30"/>
        <v>10C Erkek Kuaförlüğü</v>
      </c>
      <c r="J463" t="str">
        <f t="shared" si="31"/>
        <v>10C</v>
      </c>
    </row>
    <row r="464" spans="1:10" x14ac:dyDescent="0.25">
      <c r="A464" s="3">
        <v>19313539992</v>
      </c>
      <c r="B464" s="3" t="s">
        <v>533</v>
      </c>
      <c r="C464" s="3" t="s">
        <v>12</v>
      </c>
      <c r="D464" s="3" t="s">
        <v>91</v>
      </c>
      <c r="E464" s="3">
        <v>10</v>
      </c>
      <c r="F464" s="3" t="s">
        <v>94</v>
      </c>
      <c r="G464" s="4" t="str">
        <f t="shared" si="28"/>
        <v>39992</v>
      </c>
      <c r="H464" t="str">
        <f t="shared" si="29"/>
        <v>Taner LAÇIN</v>
      </c>
      <c r="I464" t="str">
        <f t="shared" si="30"/>
        <v>10A Erkek Kuaförlüğü</v>
      </c>
      <c r="J464" t="str">
        <f t="shared" si="31"/>
        <v>10A</v>
      </c>
    </row>
    <row r="465" spans="1:10" x14ac:dyDescent="0.25">
      <c r="A465" s="3">
        <v>51484467896</v>
      </c>
      <c r="B465" s="3" t="s">
        <v>534</v>
      </c>
      <c r="C465" s="3" t="s">
        <v>12</v>
      </c>
      <c r="D465" s="3" t="s">
        <v>91</v>
      </c>
      <c r="E465" s="3">
        <v>10</v>
      </c>
      <c r="F465" s="3" t="s">
        <v>164</v>
      </c>
      <c r="G465" s="4" t="str">
        <f t="shared" si="28"/>
        <v>67896</v>
      </c>
      <c r="H465" t="str">
        <f t="shared" si="29"/>
        <v>Utku Miraç AKÇA</v>
      </c>
      <c r="I465" t="str">
        <f t="shared" si="30"/>
        <v>10C Erkek Kuaförlüğü</v>
      </c>
      <c r="J465" t="str">
        <f t="shared" si="31"/>
        <v>10C</v>
      </c>
    </row>
    <row r="466" spans="1:10" x14ac:dyDescent="0.25">
      <c r="A466" s="3">
        <v>15845843446</v>
      </c>
      <c r="B466" s="3" t="s">
        <v>535</v>
      </c>
      <c r="C466" s="3" t="s">
        <v>12</v>
      </c>
      <c r="D466" s="3" t="s">
        <v>91</v>
      </c>
      <c r="E466" s="3">
        <v>10</v>
      </c>
      <c r="F466" s="3" t="s">
        <v>164</v>
      </c>
      <c r="G466" s="4" t="str">
        <f t="shared" si="28"/>
        <v>43446</v>
      </c>
      <c r="H466" t="str">
        <f t="shared" si="29"/>
        <v>Utku SARIKAYA</v>
      </c>
      <c r="I466" t="str">
        <f t="shared" si="30"/>
        <v>10C Erkek Kuaförlüğü</v>
      </c>
      <c r="J466" t="str">
        <f t="shared" si="31"/>
        <v>10C</v>
      </c>
    </row>
    <row r="467" spans="1:10" x14ac:dyDescent="0.25">
      <c r="A467" s="3">
        <v>45535665560</v>
      </c>
      <c r="B467" s="3" t="s">
        <v>536</v>
      </c>
      <c r="C467" s="3" t="s">
        <v>12</v>
      </c>
      <c r="D467" s="3" t="s">
        <v>91</v>
      </c>
      <c r="E467" s="3">
        <v>10</v>
      </c>
      <c r="F467" s="3" t="s">
        <v>164</v>
      </c>
      <c r="G467" s="4" t="str">
        <f t="shared" si="28"/>
        <v>65560</v>
      </c>
      <c r="H467" t="str">
        <f t="shared" si="29"/>
        <v>Yiğit Efe TUFAN</v>
      </c>
      <c r="I467" t="str">
        <f t="shared" si="30"/>
        <v>10C Erkek Kuaförlüğü</v>
      </c>
      <c r="J467" t="str">
        <f t="shared" si="31"/>
        <v>10C</v>
      </c>
    </row>
    <row r="468" spans="1:10" x14ac:dyDescent="0.25">
      <c r="A468" s="3">
        <v>43621729554</v>
      </c>
      <c r="B468" s="3" t="s">
        <v>537</v>
      </c>
      <c r="C468" s="3" t="s">
        <v>12</v>
      </c>
      <c r="D468" s="3" t="s">
        <v>91</v>
      </c>
      <c r="E468" s="3">
        <v>10</v>
      </c>
      <c r="F468" s="3" t="s">
        <v>164</v>
      </c>
      <c r="G468" s="4" t="str">
        <f t="shared" si="28"/>
        <v>29554</v>
      </c>
      <c r="H468" t="str">
        <f t="shared" si="29"/>
        <v>Yiğit Kaan ÇANDAR</v>
      </c>
      <c r="I468" t="str">
        <f t="shared" si="30"/>
        <v>10C Erkek Kuaförlüğü</v>
      </c>
      <c r="J468" t="str">
        <f t="shared" si="31"/>
        <v>10C</v>
      </c>
    </row>
    <row r="469" spans="1:10" x14ac:dyDescent="0.25">
      <c r="A469" s="3">
        <v>64399037382</v>
      </c>
      <c r="B469" s="3" t="s">
        <v>538</v>
      </c>
      <c r="C469" s="3" t="s">
        <v>12</v>
      </c>
      <c r="D469" s="3" t="s">
        <v>91</v>
      </c>
      <c r="E469" s="3">
        <v>10</v>
      </c>
      <c r="F469" s="3" t="s">
        <v>164</v>
      </c>
      <c r="G469" s="4" t="str">
        <f t="shared" si="28"/>
        <v>37382</v>
      </c>
      <c r="H469" t="str">
        <f t="shared" si="29"/>
        <v>Yiğit ŞAHİN</v>
      </c>
      <c r="I469" t="str">
        <f t="shared" si="30"/>
        <v>10C Erkek Kuaförlüğü</v>
      </c>
      <c r="J469" t="str">
        <f t="shared" si="31"/>
        <v>10C</v>
      </c>
    </row>
    <row r="470" spans="1:10" x14ac:dyDescent="0.25">
      <c r="A470" s="3">
        <v>48865554566</v>
      </c>
      <c r="B470" s="3" t="s">
        <v>539</v>
      </c>
      <c r="C470" s="3" t="s">
        <v>12</v>
      </c>
      <c r="D470" s="3" t="s">
        <v>91</v>
      </c>
      <c r="E470" s="3">
        <v>10</v>
      </c>
      <c r="F470" s="3" t="s">
        <v>58</v>
      </c>
      <c r="G470" s="4" t="str">
        <f t="shared" si="28"/>
        <v>54566</v>
      </c>
      <c r="H470" t="str">
        <f t="shared" si="29"/>
        <v>Yunus Emre TEKİN</v>
      </c>
      <c r="I470" t="str">
        <f t="shared" si="30"/>
        <v>10B Erkek Kuaförlüğü</v>
      </c>
      <c r="J470" t="str">
        <f t="shared" si="31"/>
        <v>10B</v>
      </c>
    </row>
    <row r="471" spans="1:10" x14ac:dyDescent="0.25">
      <c r="A471" s="3">
        <v>36421844732</v>
      </c>
      <c r="B471" s="3" t="s">
        <v>540</v>
      </c>
      <c r="C471" s="3" t="s">
        <v>12</v>
      </c>
      <c r="D471" s="3" t="s">
        <v>91</v>
      </c>
      <c r="E471" s="3">
        <v>10</v>
      </c>
      <c r="F471" s="3" t="s">
        <v>164</v>
      </c>
      <c r="G471" s="4" t="str">
        <f t="shared" si="28"/>
        <v>44732</v>
      </c>
      <c r="H471" t="str">
        <f t="shared" si="29"/>
        <v>Yunus Emre UÇAK</v>
      </c>
      <c r="I471" t="str">
        <f t="shared" si="30"/>
        <v>10C Erkek Kuaförlüğü</v>
      </c>
      <c r="J471" t="str">
        <f t="shared" si="31"/>
        <v>10C</v>
      </c>
    </row>
    <row r="472" spans="1:10" x14ac:dyDescent="0.25">
      <c r="A472" s="3">
        <v>60070181542</v>
      </c>
      <c r="B472" s="3" t="s">
        <v>541</v>
      </c>
      <c r="C472" s="3" t="s">
        <v>12</v>
      </c>
      <c r="D472" s="3" t="s">
        <v>91</v>
      </c>
      <c r="E472" s="3">
        <v>10</v>
      </c>
      <c r="F472" s="3" t="s">
        <v>94</v>
      </c>
      <c r="G472" s="4" t="str">
        <f t="shared" si="28"/>
        <v>81542</v>
      </c>
      <c r="H472" t="str">
        <f t="shared" si="29"/>
        <v>Yusuf Ziya AKÇİL</v>
      </c>
      <c r="I472" t="str">
        <f t="shared" si="30"/>
        <v>10A Erkek Kuaförlüğü</v>
      </c>
      <c r="J472" t="str">
        <f t="shared" si="31"/>
        <v>10A</v>
      </c>
    </row>
    <row r="473" spans="1:10" x14ac:dyDescent="0.25">
      <c r="A473" s="3">
        <v>18523053816</v>
      </c>
      <c r="B473" s="3" t="s">
        <v>542</v>
      </c>
      <c r="C473" s="3" t="s">
        <v>12</v>
      </c>
      <c r="D473" s="3" t="s">
        <v>91</v>
      </c>
      <c r="E473" s="3">
        <v>10</v>
      </c>
      <c r="F473" s="3" t="s">
        <v>164</v>
      </c>
      <c r="G473" s="4" t="str">
        <f t="shared" si="28"/>
        <v>53816</v>
      </c>
      <c r="H473" t="str">
        <f t="shared" si="29"/>
        <v>Yüksel ET</v>
      </c>
      <c r="I473" t="str">
        <f t="shared" si="30"/>
        <v>10C Erkek Kuaförlüğü</v>
      </c>
      <c r="J473" t="str">
        <f t="shared" si="31"/>
        <v>10C</v>
      </c>
    </row>
    <row r="474" spans="1:10" x14ac:dyDescent="0.25">
      <c r="A474" s="3">
        <v>40201844294</v>
      </c>
      <c r="B474" s="3" t="s">
        <v>543</v>
      </c>
      <c r="C474" s="3" t="s">
        <v>12</v>
      </c>
      <c r="D474" s="3" t="s">
        <v>138</v>
      </c>
      <c r="E474" s="3">
        <v>10</v>
      </c>
      <c r="F474" s="3" t="s">
        <v>219</v>
      </c>
      <c r="G474" s="4" t="str">
        <f t="shared" si="28"/>
        <v>44294</v>
      </c>
      <c r="H474" t="str">
        <f t="shared" si="29"/>
        <v>İlker SEÇGİN</v>
      </c>
      <c r="I474" t="str">
        <f t="shared" si="30"/>
        <v>10A1 Fotoğraf</v>
      </c>
      <c r="J474" t="str">
        <f t="shared" si="31"/>
        <v>10A</v>
      </c>
    </row>
    <row r="475" spans="1:10" x14ac:dyDescent="0.25">
      <c r="A475" s="3">
        <v>47773591328</v>
      </c>
      <c r="B475" s="3" t="s">
        <v>544</v>
      </c>
      <c r="C475" s="3" t="s">
        <v>12</v>
      </c>
      <c r="D475" s="3" t="s">
        <v>138</v>
      </c>
      <c r="E475" s="3">
        <v>10</v>
      </c>
      <c r="F475" s="3" t="s">
        <v>219</v>
      </c>
      <c r="G475" s="4" t="str">
        <f t="shared" si="28"/>
        <v>91328</v>
      </c>
      <c r="H475" t="str">
        <f t="shared" si="29"/>
        <v>İpek YILDIZ</v>
      </c>
      <c r="I475" t="str">
        <f t="shared" si="30"/>
        <v>10A1 Fotoğraf</v>
      </c>
      <c r="J475" t="str">
        <f t="shared" si="31"/>
        <v>10A</v>
      </c>
    </row>
    <row r="476" spans="1:10" x14ac:dyDescent="0.25">
      <c r="A476" s="3">
        <v>52789423808</v>
      </c>
      <c r="B476" s="3" t="s">
        <v>545</v>
      </c>
      <c r="C476" s="3" t="s">
        <v>12</v>
      </c>
      <c r="D476" s="3" t="s">
        <v>138</v>
      </c>
      <c r="E476" s="3">
        <v>10</v>
      </c>
      <c r="F476" s="3" t="s">
        <v>219</v>
      </c>
      <c r="G476" s="4" t="str">
        <f t="shared" si="28"/>
        <v>23808</v>
      </c>
      <c r="H476" t="str">
        <f t="shared" si="29"/>
        <v>Meryem EŞLİK</v>
      </c>
      <c r="I476" t="str">
        <f t="shared" si="30"/>
        <v>10A1 Fotoğraf</v>
      </c>
      <c r="J476" t="str">
        <f t="shared" si="31"/>
        <v>10A</v>
      </c>
    </row>
    <row r="477" spans="1:10" x14ac:dyDescent="0.25">
      <c r="A477" s="3">
        <v>35084014162</v>
      </c>
      <c r="B477" s="3" t="s">
        <v>546</v>
      </c>
      <c r="C477" s="3" t="s">
        <v>12</v>
      </c>
      <c r="D477" s="3" t="s">
        <v>138</v>
      </c>
      <c r="E477" s="3">
        <v>10</v>
      </c>
      <c r="F477" s="3" t="s">
        <v>219</v>
      </c>
      <c r="G477" s="4" t="str">
        <f t="shared" si="28"/>
        <v>14162</v>
      </c>
      <c r="H477" t="str">
        <f t="shared" si="29"/>
        <v>Polat GÜNDÜZ</v>
      </c>
      <c r="I477" t="str">
        <f t="shared" si="30"/>
        <v>10A1 Fotoğraf</v>
      </c>
      <c r="J477" t="str">
        <f t="shared" si="31"/>
        <v>10A</v>
      </c>
    </row>
    <row r="478" spans="1:10" x14ac:dyDescent="0.25">
      <c r="A478" s="3">
        <v>15842655882</v>
      </c>
      <c r="B478" s="3" t="s">
        <v>547</v>
      </c>
      <c r="C478" s="3" t="s">
        <v>12</v>
      </c>
      <c r="D478" s="3" t="s">
        <v>138</v>
      </c>
      <c r="E478" s="3">
        <v>10</v>
      </c>
      <c r="F478" s="3" t="s">
        <v>219</v>
      </c>
      <c r="G478" s="4" t="str">
        <f t="shared" si="28"/>
        <v>55882</v>
      </c>
      <c r="H478" t="str">
        <f t="shared" si="29"/>
        <v>Sümeyye UZUN</v>
      </c>
      <c r="I478" t="str">
        <f t="shared" si="30"/>
        <v>10A1 Fotoğraf</v>
      </c>
      <c r="J478" t="str">
        <f t="shared" si="31"/>
        <v>10A</v>
      </c>
    </row>
    <row r="479" spans="1:10" x14ac:dyDescent="0.25">
      <c r="A479" s="3">
        <v>45145679292</v>
      </c>
      <c r="B479" s="3" t="s">
        <v>548</v>
      </c>
      <c r="C479" s="3" t="s">
        <v>12</v>
      </c>
      <c r="D479" s="3" t="s">
        <v>138</v>
      </c>
      <c r="E479" s="3">
        <v>10</v>
      </c>
      <c r="F479" s="3" t="s">
        <v>219</v>
      </c>
      <c r="G479" s="4" t="str">
        <f t="shared" si="28"/>
        <v>79292</v>
      </c>
      <c r="H479" t="str">
        <f t="shared" si="29"/>
        <v>Yaren AKÇA</v>
      </c>
      <c r="I479" t="str">
        <f t="shared" si="30"/>
        <v>10A1 Fotoğraf</v>
      </c>
      <c r="J479" t="str">
        <f t="shared" si="31"/>
        <v>10A</v>
      </c>
    </row>
    <row r="480" spans="1:10" x14ac:dyDescent="0.25">
      <c r="A480" s="3">
        <v>15725659662</v>
      </c>
      <c r="B480" s="3" t="s">
        <v>549</v>
      </c>
      <c r="C480" s="3" t="s">
        <v>12</v>
      </c>
      <c r="D480" s="3" t="s">
        <v>138</v>
      </c>
      <c r="E480" s="3">
        <v>10</v>
      </c>
      <c r="F480" s="3" t="s">
        <v>219</v>
      </c>
      <c r="G480" s="4" t="str">
        <f t="shared" si="28"/>
        <v>59662</v>
      </c>
      <c r="H480" t="str">
        <f t="shared" si="29"/>
        <v>Yiğit PEKMEZ</v>
      </c>
      <c r="I480" t="str">
        <f t="shared" si="30"/>
        <v>10A1 Fotoğraf</v>
      </c>
      <c r="J480" t="str">
        <f t="shared" si="31"/>
        <v>10A</v>
      </c>
    </row>
    <row r="481" spans="1:10" x14ac:dyDescent="0.25">
      <c r="A481" s="3">
        <v>68923070050</v>
      </c>
      <c r="B481" s="3" t="s">
        <v>470</v>
      </c>
      <c r="C481" s="3" t="s">
        <v>12</v>
      </c>
      <c r="D481" s="3" t="s">
        <v>550</v>
      </c>
      <c r="E481" s="3">
        <v>10</v>
      </c>
      <c r="F481" s="3" t="s">
        <v>14</v>
      </c>
      <c r="G481" s="4" t="str">
        <f t="shared" si="28"/>
        <v>70050</v>
      </c>
      <c r="H481" t="str">
        <f t="shared" si="29"/>
        <v>Baran ÇETİN</v>
      </c>
      <c r="I481" t="str">
        <f t="shared" si="30"/>
        <v>10D Görüntü Ve Ses Sistemleri</v>
      </c>
      <c r="J481" t="str">
        <f t="shared" si="31"/>
        <v>10D</v>
      </c>
    </row>
    <row r="482" spans="1:10" x14ac:dyDescent="0.25">
      <c r="A482" s="3">
        <v>26318674726</v>
      </c>
      <c r="B482" s="3" t="s">
        <v>551</v>
      </c>
      <c r="C482" s="3" t="s">
        <v>12</v>
      </c>
      <c r="D482" s="3" t="s">
        <v>550</v>
      </c>
      <c r="E482" s="3">
        <v>10</v>
      </c>
      <c r="F482" s="3" t="s">
        <v>14</v>
      </c>
      <c r="G482" s="4" t="str">
        <f t="shared" si="28"/>
        <v>74726</v>
      </c>
      <c r="H482" t="str">
        <f t="shared" si="29"/>
        <v>Beytullah AYKUT</v>
      </c>
      <c r="I482" t="str">
        <f t="shared" si="30"/>
        <v>10D Görüntü Ve Ses Sistemleri</v>
      </c>
      <c r="J482" t="str">
        <f t="shared" si="31"/>
        <v>10D</v>
      </c>
    </row>
    <row r="483" spans="1:10" x14ac:dyDescent="0.25">
      <c r="A483" s="3">
        <v>50314506408</v>
      </c>
      <c r="B483" s="3" t="s">
        <v>552</v>
      </c>
      <c r="C483" s="3" t="s">
        <v>12</v>
      </c>
      <c r="D483" s="3" t="s">
        <v>550</v>
      </c>
      <c r="E483" s="3">
        <v>10</v>
      </c>
      <c r="F483" s="3" t="s">
        <v>92</v>
      </c>
      <c r="G483" s="4" t="str">
        <f t="shared" si="28"/>
        <v>06408</v>
      </c>
      <c r="H483" t="str">
        <f t="shared" si="29"/>
        <v>Erdem ÖGEDAY</v>
      </c>
      <c r="I483" t="str">
        <f t="shared" si="30"/>
        <v>10E Görüntü Ve Ses Sistemleri</v>
      </c>
      <c r="J483" t="str">
        <f t="shared" si="31"/>
        <v>10E</v>
      </c>
    </row>
    <row r="484" spans="1:10" x14ac:dyDescent="0.25">
      <c r="A484" s="3">
        <v>26288307310</v>
      </c>
      <c r="B484" s="3" t="s">
        <v>553</v>
      </c>
      <c r="C484" s="3" t="s">
        <v>12</v>
      </c>
      <c r="D484" s="3" t="s">
        <v>554</v>
      </c>
      <c r="E484" s="3">
        <v>10</v>
      </c>
      <c r="F484" s="3" t="s">
        <v>219</v>
      </c>
      <c r="G484" s="4" t="str">
        <f t="shared" si="28"/>
        <v>07310</v>
      </c>
      <c r="H484" t="str">
        <f t="shared" si="29"/>
        <v>Hamza EKİN</v>
      </c>
      <c r="I484" t="str">
        <f t="shared" si="30"/>
        <v>10A1 Grafik</v>
      </c>
      <c r="J484" t="str">
        <f t="shared" si="31"/>
        <v>10A</v>
      </c>
    </row>
    <row r="485" spans="1:10" x14ac:dyDescent="0.25">
      <c r="A485" s="3">
        <v>14078714530</v>
      </c>
      <c r="B485" s="3" t="s">
        <v>555</v>
      </c>
      <c r="C485" s="3" t="s">
        <v>12</v>
      </c>
      <c r="D485" s="3" t="s">
        <v>556</v>
      </c>
      <c r="E485" s="3">
        <v>10</v>
      </c>
      <c r="F485" s="3" t="s">
        <v>92</v>
      </c>
      <c r="G485" s="4" t="str">
        <f t="shared" si="28"/>
        <v>14530</v>
      </c>
      <c r="H485" t="str">
        <f t="shared" si="29"/>
        <v>Murat KAÇMAZ</v>
      </c>
      <c r="I485" t="str">
        <f t="shared" si="30"/>
        <v>10E Haberleşme Sistemleri</v>
      </c>
      <c r="J485" t="str">
        <f t="shared" si="31"/>
        <v>10E</v>
      </c>
    </row>
    <row r="486" spans="1:10" x14ac:dyDescent="0.25">
      <c r="A486" s="3">
        <v>59881187614</v>
      </c>
      <c r="B486" s="3" t="s">
        <v>557</v>
      </c>
      <c r="C486" s="3" t="s">
        <v>12</v>
      </c>
      <c r="D486" s="3" t="s">
        <v>151</v>
      </c>
      <c r="E486" s="3">
        <v>10</v>
      </c>
      <c r="F486" s="3" t="s">
        <v>558</v>
      </c>
      <c r="G486" s="4" t="str">
        <f t="shared" si="28"/>
        <v>87614</v>
      </c>
      <c r="H486" t="str">
        <f t="shared" si="29"/>
        <v>Abdulrezak AKTEKİN</v>
      </c>
      <c r="I486" t="str">
        <f t="shared" si="30"/>
        <v>10L1 Isıtma Ve Sıhhi Tesisat Sistemleri</v>
      </c>
      <c r="J486" t="str">
        <f t="shared" si="31"/>
        <v>10L</v>
      </c>
    </row>
    <row r="487" spans="1:10" x14ac:dyDescent="0.25">
      <c r="A487" s="3">
        <v>42097780434</v>
      </c>
      <c r="B487" s="3" t="s">
        <v>559</v>
      </c>
      <c r="C487" s="3" t="s">
        <v>12</v>
      </c>
      <c r="D487" s="3" t="s">
        <v>151</v>
      </c>
      <c r="E487" s="3">
        <v>10</v>
      </c>
      <c r="F487" s="3" t="s">
        <v>558</v>
      </c>
      <c r="G487" s="4" t="str">
        <f t="shared" si="28"/>
        <v>80434</v>
      </c>
      <c r="H487" t="str">
        <f t="shared" si="29"/>
        <v>Ahmet ÇAKIRKAYA</v>
      </c>
      <c r="I487" t="str">
        <f t="shared" si="30"/>
        <v>10L1 Isıtma Ve Sıhhi Tesisat Sistemleri</v>
      </c>
      <c r="J487" t="str">
        <f t="shared" si="31"/>
        <v>10L</v>
      </c>
    </row>
    <row r="488" spans="1:10" x14ac:dyDescent="0.25">
      <c r="A488" s="3">
        <v>15065682092</v>
      </c>
      <c r="B488" s="3" t="s">
        <v>560</v>
      </c>
      <c r="C488" s="3" t="s">
        <v>12</v>
      </c>
      <c r="D488" s="3" t="s">
        <v>151</v>
      </c>
      <c r="E488" s="3">
        <v>10</v>
      </c>
      <c r="F488" s="3" t="s">
        <v>558</v>
      </c>
      <c r="G488" s="4" t="str">
        <f t="shared" si="28"/>
        <v>82092</v>
      </c>
      <c r="H488" t="str">
        <f t="shared" si="29"/>
        <v>Ali Talha ASLAN</v>
      </c>
      <c r="I488" t="str">
        <f t="shared" si="30"/>
        <v>10L1 Isıtma Ve Sıhhi Tesisat Sistemleri</v>
      </c>
      <c r="J488" t="str">
        <f t="shared" si="31"/>
        <v>10L</v>
      </c>
    </row>
    <row r="489" spans="1:10" x14ac:dyDescent="0.25">
      <c r="A489" s="3">
        <v>36596334526</v>
      </c>
      <c r="B489" s="3" t="s">
        <v>561</v>
      </c>
      <c r="C489" s="3" t="s">
        <v>12</v>
      </c>
      <c r="D489" s="3" t="s">
        <v>151</v>
      </c>
      <c r="E489" s="3">
        <v>10</v>
      </c>
      <c r="F489" s="3" t="s">
        <v>558</v>
      </c>
      <c r="G489" s="4" t="str">
        <f t="shared" si="28"/>
        <v>34526</v>
      </c>
      <c r="H489" t="str">
        <f t="shared" si="29"/>
        <v>Ebubekir EROL</v>
      </c>
      <c r="I489" t="str">
        <f t="shared" si="30"/>
        <v>10L1 Isıtma Ve Sıhhi Tesisat Sistemleri</v>
      </c>
      <c r="J489" t="str">
        <f t="shared" si="31"/>
        <v>10L</v>
      </c>
    </row>
    <row r="490" spans="1:10" x14ac:dyDescent="0.25">
      <c r="A490" s="3">
        <v>61372137954</v>
      </c>
      <c r="B490" s="3" t="s">
        <v>562</v>
      </c>
      <c r="C490" s="3" t="s">
        <v>12</v>
      </c>
      <c r="D490" s="3" t="s">
        <v>151</v>
      </c>
      <c r="E490" s="3">
        <v>10</v>
      </c>
      <c r="F490" s="3" t="s">
        <v>558</v>
      </c>
      <c r="G490" s="4" t="str">
        <f t="shared" si="28"/>
        <v>37954</v>
      </c>
      <c r="H490" t="str">
        <f t="shared" si="29"/>
        <v>Eren DEMİR</v>
      </c>
      <c r="I490" t="str">
        <f t="shared" si="30"/>
        <v>10L1 Isıtma Ve Sıhhi Tesisat Sistemleri</v>
      </c>
      <c r="J490" t="str">
        <f t="shared" si="31"/>
        <v>10L</v>
      </c>
    </row>
    <row r="491" spans="1:10" x14ac:dyDescent="0.25">
      <c r="A491" s="3">
        <v>42301773276</v>
      </c>
      <c r="B491" s="3" t="s">
        <v>563</v>
      </c>
      <c r="C491" s="3" t="s">
        <v>12</v>
      </c>
      <c r="D491" s="3" t="s">
        <v>151</v>
      </c>
      <c r="E491" s="3">
        <v>10</v>
      </c>
      <c r="F491" s="3" t="s">
        <v>558</v>
      </c>
      <c r="G491" s="4" t="str">
        <f t="shared" si="28"/>
        <v>73276</v>
      </c>
      <c r="H491" t="str">
        <f t="shared" si="29"/>
        <v>Fehim ŞAŞMAZ</v>
      </c>
      <c r="I491" t="str">
        <f t="shared" si="30"/>
        <v>10L1 Isıtma Ve Sıhhi Tesisat Sistemleri</v>
      </c>
      <c r="J491" t="str">
        <f t="shared" si="31"/>
        <v>10L</v>
      </c>
    </row>
    <row r="492" spans="1:10" x14ac:dyDescent="0.25">
      <c r="A492" s="3">
        <v>15098680096</v>
      </c>
      <c r="B492" s="3" t="s">
        <v>564</v>
      </c>
      <c r="C492" s="3" t="s">
        <v>12</v>
      </c>
      <c r="D492" s="3" t="s">
        <v>151</v>
      </c>
      <c r="E492" s="3">
        <v>10</v>
      </c>
      <c r="F492" s="3" t="s">
        <v>558</v>
      </c>
      <c r="G492" s="4" t="str">
        <f t="shared" si="28"/>
        <v>80096</v>
      </c>
      <c r="H492" t="str">
        <f t="shared" si="29"/>
        <v>Ömer Fırat KIVRAK</v>
      </c>
      <c r="I492" t="str">
        <f t="shared" si="30"/>
        <v>10L1 Isıtma Ve Sıhhi Tesisat Sistemleri</v>
      </c>
      <c r="J492" t="str">
        <f t="shared" si="31"/>
        <v>10L</v>
      </c>
    </row>
    <row r="493" spans="1:10" x14ac:dyDescent="0.25">
      <c r="A493" s="3">
        <v>38038916154</v>
      </c>
      <c r="B493" s="3" t="s">
        <v>565</v>
      </c>
      <c r="C493" s="3" t="s">
        <v>12</v>
      </c>
      <c r="D493" s="3" t="s">
        <v>151</v>
      </c>
      <c r="E493" s="3">
        <v>10</v>
      </c>
      <c r="F493" s="3" t="s">
        <v>558</v>
      </c>
      <c r="G493" s="4" t="str">
        <f t="shared" si="28"/>
        <v>16154</v>
      </c>
      <c r="H493" t="str">
        <f t="shared" si="29"/>
        <v>Özgür Can AFŞAR</v>
      </c>
      <c r="I493" t="str">
        <f t="shared" si="30"/>
        <v>10L1 Isıtma Ve Sıhhi Tesisat Sistemleri</v>
      </c>
      <c r="J493" t="str">
        <f t="shared" si="31"/>
        <v>10L</v>
      </c>
    </row>
    <row r="494" spans="1:10" x14ac:dyDescent="0.25">
      <c r="A494" s="3">
        <v>51361471558</v>
      </c>
      <c r="B494" s="3" t="s">
        <v>566</v>
      </c>
      <c r="C494" s="3" t="s">
        <v>12</v>
      </c>
      <c r="D494" s="3" t="s">
        <v>151</v>
      </c>
      <c r="E494" s="3">
        <v>10</v>
      </c>
      <c r="F494" s="3" t="s">
        <v>558</v>
      </c>
      <c r="G494" s="4" t="str">
        <f t="shared" si="28"/>
        <v>71558</v>
      </c>
      <c r="H494" t="str">
        <f t="shared" si="29"/>
        <v>Şerzan Hasan EREN</v>
      </c>
      <c r="I494" t="str">
        <f t="shared" si="30"/>
        <v>10L1 Isıtma Ve Sıhhi Tesisat Sistemleri</v>
      </c>
      <c r="J494" t="str">
        <f t="shared" si="31"/>
        <v>10L</v>
      </c>
    </row>
    <row r="495" spans="1:10" x14ac:dyDescent="0.25">
      <c r="A495" s="3">
        <v>36775957492</v>
      </c>
      <c r="B495" s="3" t="s">
        <v>567</v>
      </c>
      <c r="C495" s="3" t="s">
        <v>12</v>
      </c>
      <c r="D495" s="3" t="s">
        <v>151</v>
      </c>
      <c r="E495" s="3">
        <v>10</v>
      </c>
      <c r="F495" s="3" t="s">
        <v>558</v>
      </c>
      <c r="G495" s="4" t="str">
        <f t="shared" si="28"/>
        <v>57492</v>
      </c>
      <c r="H495" t="str">
        <f t="shared" si="29"/>
        <v>Umut KIRCA</v>
      </c>
      <c r="I495" t="str">
        <f t="shared" si="30"/>
        <v>10L1 Isıtma Ve Sıhhi Tesisat Sistemleri</v>
      </c>
      <c r="J495" t="str">
        <f t="shared" si="31"/>
        <v>10L</v>
      </c>
    </row>
    <row r="496" spans="1:10" x14ac:dyDescent="0.25">
      <c r="A496" s="3">
        <v>43213301298</v>
      </c>
      <c r="B496" s="3" t="s">
        <v>568</v>
      </c>
      <c r="C496" s="3" t="s">
        <v>12</v>
      </c>
      <c r="D496" s="3" t="s">
        <v>151</v>
      </c>
      <c r="E496" s="3">
        <v>10</v>
      </c>
      <c r="F496" s="3" t="s">
        <v>558</v>
      </c>
      <c r="G496" s="4" t="str">
        <f t="shared" si="28"/>
        <v>01298</v>
      </c>
      <c r="H496" t="str">
        <f t="shared" si="29"/>
        <v>Yiğit YORULMAZ</v>
      </c>
      <c r="I496" t="str">
        <f t="shared" si="30"/>
        <v>10L1 Isıtma Ve Sıhhi Tesisat Sistemleri</v>
      </c>
      <c r="J496" t="str">
        <f t="shared" si="31"/>
        <v>10L</v>
      </c>
    </row>
    <row r="497" spans="1:10" x14ac:dyDescent="0.25">
      <c r="A497" s="3">
        <v>27632322928</v>
      </c>
      <c r="B497" s="3" t="s">
        <v>569</v>
      </c>
      <c r="C497" s="3" t="s">
        <v>12</v>
      </c>
      <c r="D497" s="3" t="s">
        <v>151</v>
      </c>
      <c r="E497" s="3">
        <v>10</v>
      </c>
      <c r="F497" s="3" t="s">
        <v>558</v>
      </c>
      <c r="G497" s="4" t="str">
        <f t="shared" si="28"/>
        <v>22928</v>
      </c>
      <c r="H497" t="str">
        <f t="shared" si="29"/>
        <v>Yoldaş GEDİK</v>
      </c>
      <c r="I497" t="str">
        <f t="shared" si="30"/>
        <v>10L1 Isıtma Ve Sıhhi Tesisat Sistemleri</v>
      </c>
      <c r="J497" t="str">
        <f t="shared" si="31"/>
        <v>10L</v>
      </c>
    </row>
    <row r="498" spans="1:10" x14ac:dyDescent="0.25">
      <c r="A498" s="3">
        <v>36241975456</v>
      </c>
      <c r="B498" s="3" t="s">
        <v>570</v>
      </c>
      <c r="C498" s="3" t="s">
        <v>12</v>
      </c>
      <c r="D498" s="3" t="s">
        <v>156</v>
      </c>
      <c r="E498" s="3">
        <v>10</v>
      </c>
      <c r="F498" s="3" t="s">
        <v>363</v>
      </c>
      <c r="G498" s="4" t="str">
        <f t="shared" si="28"/>
        <v>75456</v>
      </c>
      <c r="H498" t="str">
        <f t="shared" si="29"/>
        <v>Abdülsamet GÜLTEKİN</v>
      </c>
      <c r="I498" t="str">
        <f t="shared" si="30"/>
        <v>10D1 İç Mekân Ve Mobilya Teknolojisi</v>
      </c>
      <c r="J498" t="str">
        <f t="shared" si="31"/>
        <v>10D</v>
      </c>
    </row>
    <row r="499" spans="1:10" x14ac:dyDescent="0.25">
      <c r="A499" s="3">
        <v>58918220386</v>
      </c>
      <c r="B499" s="3" t="s">
        <v>571</v>
      </c>
      <c r="C499" s="3" t="s">
        <v>12</v>
      </c>
      <c r="D499" s="3" t="s">
        <v>156</v>
      </c>
      <c r="E499" s="3">
        <v>10</v>
      </c>
      <c r="F499" s="3" t="s">
        <v>363</v>
      </c>
      <c r="G499" s="4" t="str">
        <f t="shared" si="28"/>
        <v>20386</v>
      </c>
      <c r="H499" t="str">
        <f t="shared" si="29"/>
        <v>Berat KARAMAN</v>
      </c>
      <c r="I499" t="str">
        <f t="shared" si="30"/>
        <v>10D1 İç Mekân Ve Mobilya Teknolojisi</v>
      </c>
      <c r="J499" t="str">
        <f t="shared" si="31"/>
        <v>10D</v>
      </c>
    </row>
    <row r="500" spans="1:10" x14ac:dyDescent="0.25">
      <c r="A500" s="3">
        <v>18131946272</v>
      </c>
      <c r="B500" s="3" t="s">
        <v>572</v>
      </c>
      <c r="C500" s="3" t="s">
        <v>12</v>
      </c>
      <c r="D500" s="3" t="s">
        <v>156</v>
      </c>
      <c r="E500" s="3">
        <v>10</v>
      </c>
      <c r="F500" s="3" t="s">
        <v>363</v>
      </c>
      <c r="G500" s="4" t="str">
        <f t="shared" si="28"/>
        <v>46272</v>
      </c>
      <c r="H500" t="str">
        <f t="shared" si="29"/>
        <v>Muhammed Ali İZSİZ</v>
      </c>
      <c r="I500" t="str">
        <f t="shared" si="30"/>
        <v>10D1 İç Mekân Ve Mobilya Teknolojisi</v>
      </c>
      <c r="J500" t="str">
        <f t="shared" si="31"/>
        <v>10D</v>
      </c>
    </row>
    <row r="501" spans="1:10" x14ac:dyDescent="0.25">
      <c r="A501" s="3">
        <v>18635562602</v>
      </c>
      <c r="B501" s="3" t="s">
        <v>573</v>
      </c>
      <c r="C501" s="3" t="s">
        <v>12</v>
      </c>
      <c r="D501" s="3" t="s">
        <v>159</v>
      </c>
      <c r="E501" s="3">
        <v>10</v>
      </c>
      <c r="F501" s="3" t="s">
        <v>558</v>
      </c>
      <c r="G501" s="4" t="str">
        <f t="shared" si="28"/>
        <v>62602</v>
      </c>
      <c r="H501" t="str">
        <f t="shared" si="29"/>
        <v>Gökhan BAYDAR</v>
      </c>
      <c r="I501" t="str">
        <f t="shared" si="30"/>
        <v>10L1 İklimlendirme Sistemleri</v>
      </c>
      <c r="J501" t="str">
        <f t="shared" si="31"/>
        <v>10L</v>
      </c>
    </row>
    <row r="502" spans="1:10" x14ac:dyDescent="0.25">
      <c r="A502" s="3">
        <v>51124479340</v>
      </c>
      <c r="B502" s="3" t="s">
        <v>574</v>
      </c>
      <c r="C502" s="3" t="s">
        <v>12</v>
      </c>
      <c r="D502" s="3" t="s">
        <v>162</v>
      </c>
      <c r="E502" s="3">
        <v>10</v>
      </c>
      <c r="F502" s="3" t="s">
        <v>55</v>
      </c>
      <c r="G502" s="4" t="str">
        <f t="shared" si="28"/>
        <v>79340</v>
      </c>
      <c r="H502" t="str">
        <f t="shared" si="29"/>
        <v>Uğur UÇAR</v>
      </c>
      <c r="I502" t="str">
        <f t="shared" si="30"/>
        <v>10G İş Makineleri</v>
      </c>
      <c r="J502" t="str">
        <f t="shared" si="31"/>
        <v>10G</v>
      </c>
    </row>
    <row r="503" spans="1:10" x14ac:dyDescent="0.25">
      <c r="A503" s="3">
        <v>28328239018</v>
      </c>
      <c r="B503" s="3" t="s">
        <v>575</v>
      </c>
      <c r="C503" s="3" t="s">
        <v>12</v>
      </c>
      <c r="D503" s="3" t="s">
        <v>168</v>
      </c>
      <c r="E503" s="3">
        <v>10</v>
      </c>
      <c r="F503" s="3" t="s">
        <v>58</v>
      </c>
      <c r="G503" s="4" t="str">
        <f t="shared" si="28"/>
        <v>39018</v>
      </c>
      <c r="H503" t="str">
        <f t="shared" si="29"/>
        <v>Ali Eren UYGUR</v>
      </c>
      <c r="I503" t="str">
        <f t="shared" si="30"/>
        <v>10B Kadın Kuaförlüğü</v>
      </c>
      <c r="J503" t="str">
        <f t="shared" si="31"/>
        <v>10B</v>
      </c>
    </row>
    <row r="504" spans="1:10" x14ac:dyDescent="0.25">
      <c r="A504" s="3">
        <v>32954085512</v>
      </c>
      <c r="B504" s="3" t="s">
        <v>576</v>
      </c>
      <c r="C504" s="3" t="s">
        <v>12</v>
      </c>
      <c r="D504" s="3" t="s">
        <v>168</v>
      </c>
      <c r="E504" s="3">
        <v>10</v>
      </c>
      <c r="F504" s="3" t="s">
        <v>94</v>
      </c>
      <c r="G504" s="4" t="str">
        <f t="shared" si="28"/>
        <v>85512</v>
      </c>
      <c r="H504" t="str">
        <f t="shared" si="29"/>
        <v>Aras KEPEKLİ</v>
      </c>
      <c r="I504" t="str">
        <f t="shared" si="30"/>
        <v>10A Kadın Kuaförlüğü</v>
      </c>
      <c r="J504" t="str">
        <f t="shared" si="31"/>
        <v>10A</v>
      </c>
    </row>
    <row r="505" spans="1:10" x14ac:dyDescent="0.25">
      <c r="A505" s="3">
        <v>40652103988</v>
      </c>
      <c r="B505" s="3" t="s">
        <v>577</v>
      </c>
      <c r="C505" s="3" t="s">
        <v>12</v>
      </c>
      <c r="D505" s="3" t="s">
        <v>168</v>
      </c>
      <c r="E505" s="3">
        <v>10</v>
      </c>
      <c r="F505" s="3" t="s">
        <v>94</v>
      </c>
      <c r="G505" s="4" t="str">
        <f t="shared" si="28"/>
        <v>03988</v>
      </c>
      <c r="H505" t="str">
        <f t="shared" si="29"/>
        <v>Asya Melin TEKİNALP</v>
      </c>
      <c r="I505" t="str">
        <f t="shared" si="30"/>
        <v>10A Kadın Kuaförlüğü</v>
      </c>
      <c r="J505" t="str">
        <f t="shared" si="31"/>
        <v>10A</v>
      </c>
    </row>
    <row r="506" spans="1:10" x14ac:dyDescent="0.25">
      <c r="A506" s="3">
        <v>16286641240</v>
      </c>
      <c r="B506" s="3" t="s">
        <v>578</v>
      </c>
      <c r="C506" s="3" t="s">
        <v>12</v>
      </c>
      <c r="D506" s="3" t="s">
        <v>168</v>
      </c>
      <c r="E506" s="3">
        <v>10</v>
      </c>
      <c r="F506" s="3" t="s">
        <v>58</v>
      </c>
      <c r="G506" s="4" t="str">
        <f t="shared" si="28"/>
        <v>41240</v>
      </c>
      <c r="H506" t="str">
        <f t="shared" si="29"/>
        <v>Aysun Ecrin BOZKURT</v>
      </c>
      <c r="I506" t="str">
        <f t="shared" si="30"/>
        <v>10B Kadın Kuaförlüğü</v>
      </c>
      <c r="J506" t="str">
        <f t="shared" si="31"/>
        <v>10B</v>
      </c>
    </row>
    <row r="507" spans="1:10" x14ac:dyDescent="0.25">
      <c r="A507" s="3">
        <v>16565979064</v>
      </c>
      <c r="B507" s="3" t="s">
        <v>579</v>
      </c>
      <c r="C507" s="3" t="s">
        <v>12</v>
      </c>
      <c r="D507" s="3" t="s">
        <v>168</v>
      </c>
      <c r="E507" s="3">
        <v>10</v>
      </c>
      <c r="F507" s="3" t="s">
        <v>58</v>
      </c>
      <c r="G507" s="4" t="str">
        <f t="shared" si="28"/>
        <v>79064</v>
      </c>
      <c r="H507" t="str">
        <f t="shared" si="29"/>
        <v>Bahadır AKKUL</v>
      </c>
      <c r="I507" t="str">
        <f t="shared" si="30"/>
        <v>10B Kadın Kuaförlüğü</v>
      </c>
      <c r="J507" t="str">
        <f t="shared" si="31"/>
        <v>10B</v>
      </c>
    </row>
    <row r="508" spans="1:10" x14ac:dyDescent="0.25">
      <c r="A508" s="3">
        <v>43192873816</v>
      </c>
      <c r="B508" s="3" t="s">
        <v>580</v>
      </c>
      <c r="C508" s="3" t="s">
        <v>12</v>
      </c>
      <c r="D508" s="3" t="s">
        <v>168</v>
      </c>
      <c r="E508" s="3">
        <v>10</v>
      </c>
      <c r="F508" s="3" t="s">
        <v>94</v>
      </c>
      <c r="G508" s="4" t="str">
        <f t="shared" si="28"/>
        <v>73816</v>
      </c>
      <c r="H508" t="str">
        <f t="shared" si="29"/>
        <v>Berra KOÇ</v>
      </c>
      <c r="I508" t="str">
        <f t="shared" si="30"/>
        <v>10A Kadın Kuaförlüğü</v>
      </c>
      <c r="J508" t="str">
        <f t="shared" si="31"/>
        <v>10A</v>
      </c>
    </row>
    <row r="509" spans="1:10" x14ac:dyDescent="0.25">
      <c r="A509" s="3">
        <v>27178977828</v>
      </c>
      <c r="B509" s="3" t="s">
        <v>581</v>
      </c>
      <c r="C509" s="3" t="s">
        <v>12</v>
      </c>
      <c r="D509" s="3" t="s">
        <v>168</v>
      </c>
      <c r="E509" s="3">
        <v>10</v>
      </c>
      <c r="F509" s="3" t="s">
        <v>94</v>
      </c>
      <c r="G509" s="4" t="str">
        <f t="shared" si="28"/>
        <v>77828</v>
      </c>
      <c r="H509" t="str">
        <f t="shared" si="29"/>
        <v>Berru Hira KÖKSAL</v>
      </c>
      <c r="I509" t="str">
        <f t="shared" si="30"/>
        <v>10A Kadın Kuaförlüğü</v>
      </c>
      <c r="J509" t="str">
        <f t="shared" si="31"/>
        <v>10A</v>
      </c>
    </row>
    <row r="510" spans="1:10" x14ac:dyDescent="0.25">
      <c r="A510" s="3">
        <v>56629296072</v>
      </c>
      <c r="B510" s="3" t="s">
        <v>582</v>
      </c>
      <c r="C510" s="3" t="s">
        <v>12</v>
      </c>
      <c r="D510" s="3" t="s">
        <v>168</v>
      </c>
      <c r="E510" s="3">
        <v>10</v>
      </c>
      <c r="F510" s="3" t="s">
        <v>58</v>
      </c>
      <c r="G510" s="4" t="str">
        <f t="shared" si="28"/>
        <v>96072</v>
      </c>
      <c r="H510" t="str">
        <f t="shared" si="29"/>
        <v>Cansu VURAL</v>
      </c>
      <c r="I510" t="str">
        <f t="shared" si="30"/>
        <v>10B Kadın Kuaförlüğü</v>
      </c>
      <c r="J510" t="str">
        <f t="shared" si="31"/>
        <v>10B</v>
      </c>
    </row>
    <row r="511" spans="1:10" x14ac:dyDescent="0.25">
      <c r="A511" s="3">
        <v>45199931810</v>
      </c>
      <c r="B511" s="3" t="s">
        <v>583</v>
      </c>
      <c r="C511" s="3" t="s">
        <v>12</v>
      </c>
      <c r="D511" s="3" t="s">
        <v>168</v>
      </c>
      <c r="E511" s="3">
        <v>10</v>
      </c>
      <c r="F511" s="3" t="s">
        <v>58</v>
      </c>
      <c r="G511" s="4" t="str">
        <f t="shared" si="28"/>
        <v>31810</v>
      </c>
      <c r="H511" t="str">
        <f t="shared" si="29"/>
        <v>Cemile PEKTAŞ</v>
      </c>
      <c r="I511" t="str">
        <f t="shared" si="30"/>
        <v>10B Kadın Kuaförlüğü</v>
      </c>
      <c r="J511" t="str">
        <f t="shared" si="31"/>
        <v>10B</v>
      </c>
    </row>
    <row r="512" spans="1:10" x14ac:dyDescent="0.25">
      <c r="A512" s="3">
        <v>27851254970</v>
      </c>
      <c r="B512" s="3" t="s">
        <v>584</v>
      </c>
      <c r="C512" s="3" t="s">
        <v>12</v>
      </c>
      <c r="D512" s="3" t="s">
        <v>168</v>
      </c>
      <c r="E512" s="3">
        <v>10</v>
      </c>
      <c r="F512" s="3" t="s">
        <v>58</v>
      </c>
      <c r="G512" s="4" t="str">
        <f t="shared" si="28"/>
        <v>54970</v>
      </c>
      <c r="H512" t="str">
        <f t="shared" si="29"/>
        <v>Duru KAYA</v>
      </c>
      <c r="I512" t="str">
        <f t="shared" si="30"/>
        <v>10B Kadın Kuaförlüğü</v>
      </c>
      <c r="J512" t="str">
        <f t="shared" si="31"/>
        <v>10B</v>
      </c>
    </row>
    <row r="513" spans="1:10" x14ac:dyDescent="0.25">
      <c r="A513" s="3">
        <v>99928524378</v>
      </c>
      <c r="B513" s="3" t="s">
        <v>585</v>
      </c>
      <c r="C513" s="3" t="s">
        <v>12</v>
      </c>
      <c r="D513" s="3" t="s">
        <v>168</v>
      </c>
      <c r="E513" s="3">
        <v>10</v>
      </c>
      <c r="F513" s="3" t="s">
        <v>58</v>
      </c>
      <c r="G513" s="4" t="str">
        <f t="shared" si="28"/>
        <v>24378</v>
      </c>
      <c r="H513" t="str">
        <f t="shared" si="29"/>
        <v>Edam MUHARREM</v>
      </c>
      <c r="I513" t="str">
        <f t="shared" si="30"/>
        <v>10B Kadın Kuaförlüğü</v>
      </c>
      <c r="J513" t="str">
        <f t="shared" si="31"/>
        <v>10B</v>
      </c>
    </row>
    <row r="514" spans="1:10" x14ac:dyDescent="0.25">
      <c r="A514" s="3">
        <v>20174211446</v>
      </c>
      <c r="B514" s="3" t="s">
        <v>586</v>
      </c>
      <c r="C514" s="3" t="s">
        <v>12</v>
      </c>
      <c r="D514" s="3" t="s">
        <v>168</v>
      </c>
      <c r="E514" s="3">
        <v>10</v>
      </c>
      <c r="F514" s="3" t="s">
        <v>94</v>
      </c>
      <c r="G514" s="4" t="str">
        <f t="shared" si="28"/>
        <v>11446</v>
      </c>
      <c r="H514" t="str">
        <f t="shared" si="29"/>
        <v>Elifnur PEKER</v>
      </c>
      <c r="I514" t="str">
        <f t="shared" si="30"/>
        <v>10A Kadın Kuaförlüğü</v>
      </c>
      <c r="J514" t="str">
        <f t="shared" si="31"/>
        <v>10A</v>
      </c>
    </row>
    <row r="515" spans="1:10" x14ac:dyDescent="0.25">
      <c r="A515" s="3">
        <v>23108413046</v>
      </c>
      <c r="B515" s="3" t="s">
        <v>587</v>
      </c>
      <c r="C515" s="3" t="s">
        <v>12</v>
      </c>
      <c r="D515" s="3" t="s">
        <v>168</v>
      </c>
      <c r="E515" s="3">
        <v>10</v>
      </c>
      <c r="F515" s="3" t="s">
        <v>58</v>
      </c>
      <c r="G515" s="4" t="str">
        <f t="shared" si="28"/>
        <v>13046</v>
      </c>
      <c r="H515" t="str">
        <f t="shared" si="29"/>
        <v>Emine Berna TAŞ</v>
      </c>
      <c r="I515" t="str">
        <f t="shared" si="30"/>
        <v>10B Kadın Kuaförlüğü</v>
      </c>
      <c r="J515" t="str">
        <f t="shared" si="31"/>
        <v>10B</v>
      </c>
    </row>
    <row r="516" spans="1:10" x14ac:dyDescent="0.25">
      <c r="A516" s="3">
        <v>22019449618</v>
      </c>
      <c r="B516" s="3" t="s">
        <v>588</v>
      </c>
      <c r="C516" s="3" t="s">
        <v>12</v>
      </c>
      <c r="D516" s="3" t="s">
        <v>168</v>
      </c>
      <c r="E516" s="3">
        <v>10</v>
      </c>
      <c r="F516" s="3" t="s">
        <v>58</v>
      </c>
      <c r="G516" s="4" t="str">
        <f t="shared" si="28"/>
        <v>49618</v>
      </c>
      <c r="H516" t="str">
        <f t="shared" si="29"/>
        <v>Emine KORKMAZ</v>
      </c>
      <c r="I516" t="str">
        <f t="shared" si="30"/>
        <v>10B Kadın Kuaförlüğü</v>
      </c>
      <c r="J516" t="str">
        <f t="shared" si="31"/>
        <v>10B</v>
      </c>
    </row>
    <row r="517" spans="1:10" x14ac:dyDescent="0.25">
      <c r="A517" s="3">
        <v>52051449246</v>
      </c>
      <c r="B517" s="3" t="s">
        <v>589</v>
      </c>
      <c r="C517" s="3" t="s">
        <v>12</v>
      </c>
      <c r="D517" s="3" t="s">
        <v>168</v>
      </c>
      <c r="E517" s="3">
        <v>10</v>
      </c>
      <c r="F517" s="3" t="s">
        <v>58</v>
      </c>
      <c r="G517" s="4" t="str">
        <f t="shared" ref="G517:G580" si="32">RIGHT(A517,5)</f>
        <v>49246</v>
      </c>
      <c r="H517" t="str">
        <f t="shared" ref="H517:H580" si="33">B517</f>
        <v>Eslem Nisa BAYCAN</v>
      </c>
      <c r="I517" t="str">
        <f t="shared" ref="I517:I580" si="34">CONCATENATE(E517,F517," ",D517)</f>
        <v>10B Kadın Kuaförlüğü</v>
      </c>
      <c r="J517" t="str">
        <f t="shared" ref="J517:J580" si="35">LEFT(I517,3)</f>
        <v>10B</v>
      </c>
    </row>
    <row r="518" spans="1:10" x14ac:dyDescent="0.25">
      <c r="A518" s="3">
        <v>52720426806</v>
      </c>
      <c r="B518" s="3" t="s">
        <v>590</v>
      </c>
      <c r="C518" s="3" t="s">
        <v>12</v>
      </c>
      <c r="D518" s="3" t="s">
        <v>168</v>
      </c>
      <c r="E518" s="3">
        <v>10</v>
      </c>
      <c r="F518" s="3" t="s">
        <v>94</v>
      </c>
      <c r="G518" s="4" t="str">
        <f t="shared" si="32"/>
        <v>26806</v>
      </c>
      <c r="H518" t="str">
        <f t="shared" si="33"/>
        <v>Eylem AYDOĞDU</v>
      </c>
      <c r="I518" t="str">
        <f t="shared" si="34"/>
        <v>10A Kadın Kuaförlüğü</v>
      </c>
      <c r="J518" t="str">
        <f t="shared" si="35"/>
        <v>10A</v>
      </c>
    </row>
    <row r="519" spans="1:10" x14ac:dyDescent="0.25">
      <c r="A519" s="3">
        <v>69397235532</v>
      </c>
      <c r="B519" s="3" t="s">
        <v>591</v>
      </c>
      <c r="C519" s="3" t="s">
        <v>12</v>
      </c>
      <c r="D519" s="3" t="s">
        <v>168</v>
      </c>
      <c r="E519" s="3">
        <v>10</v>
      </c>
      <c r="F519" s="3" t="s">
        <v>94</v>
      </c>
      <c r="G519" s="4" t="str">
        <f t="shared" si="32"/>
        <v>35532</v>
      </c>
      <c r="H519" t="str">
        <f t="shared" si="33"/>
        <v>Eylül Esra NURDOĞAN</v>
      </c>
      <c r="I519" t="str">
        <f t="shared" si="34"/>
        <v>10A Kadın Kuaförlüğü</v>
      </c>
      <c r="J519" t="str">
        <f t="shared" si="35"/>
        <v>10A</v>
      </c>
    </row>
    <row r="520" spans="1:10" x14ac:dyDescent="0.25">
      <c r="A520" s="3">
        <v>58780224826</v>
      </c>
      <c r="B520" s="3" t="s">
        <v>592</v>
      </c>
      <c r="C520" s="3" t="s">
        <v>12</v>
      </c>
      <c r="D520" s="3" t="s">
        <v>168</v>
      </c>
      <c r="E520" s="3">
        <v>10</v>
      </c>
      <c r="F520" s="3" t="s">
        <v>58</v>
      </c>
      <c r="G520" s="4" t="str">
        <f t="shared" si="32"/>
        <v>24826</v>
      </c>
      <c r="H520" t="str">
        <f t="shared" si="33"/>
        <v>Gizem ÖZTÜRK</v>
      </c>
      <c r="I520" t="str">
        <f t="shared" si="34"/>
        <v>10B Kadın Kuaförlüğü</v>
      </c>
      <c r="J520" t="str">
        <f t="shared" si="35"/>
        <v>10B</v>
      </c>
    </row>
    <row r="521" spans="1:10" x14ac:dyDescent="0.25">
      <c r="A521" s="3">
        <v>44611697198</v>
      </c>
      <c r="B521" s="3" t="s">
        <v>593</v>
      </c>
      <c r="C521" s="3" t="s">
        <v>12</v>
      </c>
      <c r="D521" s="3" t="s">
        <v>168</v>
      </c>
      <c r="E521" s="3">
        <v>10</v>
      </c>
      <c r="F521" s="3" t="s">
        <v>94</v>
      </c>
      <c r="G521" s="4" t="str">
        <f t="shared" si="32"/>
        <v>97198</v>
      </c>
      <c r="H521" t="str">
        <f t="shared" si="33"/>
        <v>Gözde MANGIRCI</v>
      </c>
      <c r="I521" t="str">
        <f t="shared" si="34"/>
        <v>10A Kadın Kuaförlüğü</v>
      </c>
      <c r="J521" t="str">
        <f t="shared" si="35"/>
        <v>10A</v>
      </c>
    </row>
    <row r="522" spans="1:10" x14ac:dyDescent="0.25">
      <c r="A522" s="3">
        <v>22385437318</v>
      </c>
      <c r="B522" s="3" t="s">
        <v>594</v>
      </c>
      <c r="C522" s="3" t="s">
        <v>12</v>
      </c>
      <c r="D522" s="3" t="s">
        <v>168</v>
      </c>
      <c r="E522" s="3">
        <v>10</v>
      </c>
      <c r="F522" s="3" t="s">
        <v>58</v>
      </c>
      <c r="G522" s="4" t="str">
        <f t="shared" si="32"/>
        <v>37318</v>
      </c>
      <c r="H522" t="str">
        <f t="shared" si="33"/>
        <v>Gül Suna BALCI</v>
      </c>
      <c r="I522" t="str">
        <f t="shared" si="34"/>
        <v>10B Kadın Kuaförlüğü</v>
      </c>
      <c r="J522" t="str">
        <f t="shared" si="35"/>
        <v>10B</v>
      </c>
    </row>
    <row r="523" spans="1:10" x14ac:dyDescent="0.25">
      <c r="A523" s="3">
        <v>13529860420</v>
      </c>
      <c r="B523" s="3" t="s">
        <v>595</v>
      </c>
      <c r="C523" s="3" t="s">
        <v>12</v>
      </c>
      <c r="D523" s="3" t="s">
        <v>168</v>
      </c>
      <c r="E523" s="3">
        <v>10</v>
      </c>
      <c r="F523" s="3" t="s">
        <v>58</v>
      </c>
      <c r="G523" s="4" t="str">
        <f t="shared" si="32"/>
        <v>60420</v>
      </c>
      <c r="H523" t="str">
        <f t="shared" si="33"/>
        <v>Hacer KAYA</v>
      </c>
      <c r="I523" t="str">
        <f t="shared" si="34"/>
        <v>10B Kadın Kuaförlüğü</v>
      </c>
      <c r="J523" t="str">
        <f t="shared" si="35"/>
        <v>10B</v>
      </c>
    </row>
    <row r="524" spans="1:10" x14ac:dyDescent="0.25">
      <c r="A524" s="3">
        <v>17282607384</v>
      </c>
      <c r="B524" s="3" t="s">
        <v>596</v>
      </c>
      <c r="C524" s="3" t="s">
        <v>12</v>
      </c>
      <c r="D524" s="3" t="s">
        <v>168</v>
      </c>
      <c r="E524" s="3">
        <v>10</v>
      </c>
      <c r="F524" s="3" t="s">
        <v>58</v>
      </c>
      <c r="G524" s="4" t="str">
        <f t="shared" si="32"/>
        <v>07384</v>
      </c>
      <c r="H524" t="str">
        <f t="shared" si="33"/>
        <v>Haktan AKKUŞ</v>
      </c>
      <c r="I524" t="str">
        <f t="shared" si="34"/>
        <v>10B Kadın Kuaförlüğü</v>
      </c>
      <c r="J524" t="str">
        <f t="shared" si="35"/>
        <v>10B</v>
      </c>
    </row>
    <row r="525" spans="1:10" x14ac:dyDescent="0.25">
      <c r="A525" s="3">
        <v>13698096484</v>
      </c>
      <c r="B525" s="3" t="s">
        <v>597</v>
      </c>
      <c r="C525" s="3" t="s">
        <v>12</v>
      </c>
      <c r="D525" s="3" t="s">
        <v>168</v>
      </c>
      <c r="E525" s="3">
        <v>10</v>
      </c>
      <c r="F525" s="3" t="s">
        <v>94</v>
      </c>
      <c r="G525" s="4" t="str">
        <f t="shared" si="32"/>
        <v>96484</v>
      </c>
      <c r="H525" t="str">
        <f t="shared" si="33"/>
        <v>Havvanur BEDELOV</v>
      </c>
      <c r="I525" t="str">
        <f t="shared" si="34"/>
        <v>10A Kadın Kuaförlüğü</v>
      </c>
      <c r="J525" t="str">
        <f t="shared" si="35"/>
        <v>10A</v>
      </c>
    </row>
    <row r="526" spans="1:10" x14ac:dyDescent="0.25">
      <c r="A526" s="3">
        <v>44920686234</v>
      </c>
      <c r="B526" s="3" t="s">
        <v>598</v>
      </c>
      <c r="C526" s="3" t="s">
        <v>12</v>
      </c>
      <c r="D526" s="3" t="s">
        <v>168</v>
      </c>
      <c r="E526" s="3">
        <v>10</v>
      </c>
      <c r="F526" s="3" t="s">
        <v>58</v>
      </c>
      <c r="G526" s="4" t="str">
        <f t="shared" si="32"/>
        <v>86234</v>
      </c>
      <c r="H526" t="str">
        <f t="shared" si="33"/>
        <v>Hira KILIÇ</v>
      </c>
      <c r="I526" t="str">
        <f t="shared" si="34"/>
        <v>10B Kadın Kuaförlüğü</v>
      </c>
      <c r="J526" t="str">
        <f t="shared" si="35"/>
        <v>10B</v>
      </c>
    </row>
    <row r="527" spans="1:10" x14ac:dyDescent="0.25">
      <c r="A527" s="3">
        <v>57985250562</v>
      </c>
      <c r="B527" s="3" t="s">
        <v>599</v>
      </c>
      <c r="C527" s="3" t="s">
        <v>12</v>
      </c>
      <c r="D527" s="3" t="s">
        <v>168</v>
      </c>
      <c r="E527" s="3">
        <v>10</v>
      </c>
      <c r="F527" s="3" t="s">
        <v>58</v>
      </c>
      <c r="G527" s="4" t="str">
        <f t="shared" si="32"/>
        <v>50562</v>
      </c>
      <c r="H527" t="str">
        <f t="shared" si="33"/>
        <v>Hiranur SİRİ</v>
      </c>
      <c r="I527" t="str">
        <f t="shared" si="34"/>
        <v>10B Kadın Kuaförlüğü</v>
      </c>
      <c r="J527" t="str">
        <f t="shared" si="35"/>
        <v>10B</v>
      </c>
    </row>
    <row r="528" spans="1:10" x14ac:dyDescent="0.25">
      <c r="A528" s="3">
        <v>65431002764</v>
      </c>
      <c r="B528" s="3" t="s">
        <v>600</v>
      </c>
      <c r="C528" s="3" t="s">
        <v>12</v>
      </c>
      <c r="D528" s="3" t="s">
        <v>168</v>
      </c>
      <c r="E528" s="3">
        <v>10</v>
      </c>
      <c r="F528" s="3" t="s">
        <v>94</v>
      </c>
      <c r="G528" s="4" t="str">
        <f t="shared" si="32"/>
        <v>02764</v>
      </c>
      <c r="H528" t="str">
        <f t="shared" si="33"/>
        <v>Hüseyin Kadir KARABULUT</v>
      </c>
      <c r="I528" t="str">
        <f t="shared" si="34"/>
        <v>10A Kadın Kuaförlüğü</v>
      </c>
      <c r="J528" t="str">
        <f t="shared" si="35"/>
        <v>10A</v>
      </c>
    </row>
    <row r="529" spans="1:10" x14ac:dyDescent="0.25">
      <c r="A529" s="3">
        <v>51550309334</v>
      </c>
      <c r="B529" s="3" t="s">
        <v>601</v>
      </c>
      <c r="C529" s="3" t="s">
        <v>12</v>
      </c>
      <c r="D529" s="3" t="s">
        <v>168</v>
      </c>
      <c r="E529" s="3">
        <v>10</v>
      </c>
      <c r="F529" s="3" t="s">
        <v>94</v>
      </c>
      <c r="G529" s="4" t="str">
        <f t="shared" si="32"/>
        <v>09334</v>
      </c>
      <c r="H529" t="str">
        <f t="shared" si="33"/>
        <v>Irmak ERYILMAZ</v>
      </c>
      <c r="I529" t="str">
        <f t="shared" si="34"/>
        <v>10A Kadın Kuaförlüğü</v>
      </c>
      <c r="J529" t="str">
        <f t="shared" si="35"/>
        <v>10A</v>
      </c>
    </row>
    <row r="530" spans="1:10" x14ac:dyDescent="0.25">
      <c r="A530" s="3">
        <v>32137075514</v>
      </c>
      <c r="B530" s="3" t="s">
        <v>602</v>
      </c>
      <c r="C530" s="3" t="s">
        <v>12</v>
      </c>
      <c r="D530" s="3" t="s">
        <v>168</v>
      </c>
      <c r="E530" s="3">
        <v>10</v>
      </c>
      <c r="F530" s="3" t="s">
        <v>58</v>
      </c>
      <c r="G530" s="4" t="str">
        <f t="shared" si="32"/>
        <v>75514</v>
      </c>
      <c r="H530" t="str">
        <f t="shared" si="33"/>
        <v>İlayda DEMİRÖZ</v>
      </c>
      <c r="I530" t="str">
        <f t="shared" si="34"/>
        <v>10B Kadın Kuaförlüğü</v>
      </c>
      <c r="J530" t="str">
        <f t="shared" si="35"/>
        <v>10B</v>
      </c>
    </row>
    <row r="531" spans="1:10" x14ac:dyDescent="0.25">
      <c r="A531" s="3">
        <v>43445103790</v>
      </c>
      <c r="B531" s="3" t="s">
        <v>603</v>
      </c>
      <c r="C531" s="3" t="s">
        <v>12</v>
      </c>
      <c r="D531" s="3" t="s">
        <v>168</v>
      </c>
      <c r="E531" s="3">
        <v>10</v>
      </c>
      <c r="F531" s="3" t="s">
        <v>58</v>
      </c>
      <c r="G531" s="4" t="str">
        <f t="shared" si="32"/>
        <v>03790</v>
      </c>
      <c r="H531" t="str">
        <f t="shared" si="33"/>
        <v>İlke Ebrar ERGÜL</v>
      </c>
      <c r="I531" t="str">
        <f t="shared" si="34"/>
        <v>10B Kadın Kuaförlüğü</v>
      </c>
      <c r="J531" t="str">
        <f t="shared" si="35"/>
        <v>10B</v>
      </c>
    </row>
    <row r="532" spans="1:10" x14ac:dyDescent="0.25">
      <c r="A532" s="3">
        <v>20935108176</v>
      </c>
      <c r="B532" s="3" t="s">
        <v>604</v>
      </c>
      <c r="C532" s="3" t="s">
        <v>12</v>
      </c>
      <c r="D532" s="3" t="s">
        <v>168</v>
      </c>
      <c r="E532" s="3">
        <v>10</v>
      </c>
      <c r="F532" s="3" t="s">
        <v>94</v>
      </c>
      <c r="G532" s="4" t="str">
        <f t="shared" si="32"/>
        <v>08176</v>
      </c>
      <c r="H532" t="str">
        <f t="shared" si="33"/>
        <v>Kardelen KARTUN</v>
      </c>
      <c r="I532" t="str">
        <f t="shared" si="34"/>
        <v>10A Kadın Kuaförlüğü</v>
      </c>
      <c r="J532" t="str">
        <f t="shared" si="35"/>
        <v>10A</v>
      </c>
    </row>
    <row r="533" spans="1:10" x14ac:dyDescent="0.25">
      <c r="A533" s="3">
        <v>48787535490</v>
      </c>
      <c r="B533" s="3" t="s">
        <v>605</v>
      </c>
      <c r="C533" s="3" t="s">
        <v>12</v>
      </c>
      <c r="D533" s="3" t="s">
        <v>168</v>
      </c>
      <c r="E533" s="3">
        <v>10</v>
      </c>
      <c r="F533" s="3" t="s">
        <v>58</v>
      </c>
      <c r="G533" s="4" t="str">
        <f t="shared" si="32"/>
        <v>35490</v>
      </c>
      <c r="H533" t="str">
        <f t="shared" si="33"/>
        <v>Kübra SARISU</v>
      </c>
      <c r="I533" t="str">
        <f t="shared" si="34"/>
        <v>10B Kadın Kuaförlüğü</v>
      </c>
      <c r="J533" t="str">
        <f t="shared" si="35"/>
        <v>10B</v>
      </c>
    </row>
    <row r="534" spans="1:10" x14ac:dyDescent="0.25">
      <c r="A534" s="3">
        <v>57085281152</v>
      </c>
      <c r="B534" s="3" t="s">
        <v>606</v>
      </c>
      <c r="C534" s="3" t="s">
        <v>12</v>
      </c>
      <c r="D534" s="3" t="s">
        <v>168</v>
      </c>
      <c r="E534" s="3">
        <v>10</v>
      </c>
      <c r="F534" s="3" t="s">
        <v>94</v>
      </c>
      <c r="G534" s="4" t="str">
        <f t="shared" si="32"/>
        <v>81152</v>
      </c>
      <c r="H534" t="str">
        <f t="shared" si="33"/>
        <v>Mehmet Ufuk KARAARSLAN</v>
      </c>
      <c r="I534" t="str">
        <f t="shared" si="34"/>
        <v>10A Kadın Kuaförlüğü</v>
      </c>
      <c r="J534" t="str">
        <f t="shared" si="35"/>
        <v>10A</v>
      </c>
    </row>
    <row r="535" spans="1:10" x14ac:dyDescent="0.25">
      <c r="A535" s="3">
        <v>25394337860</v>
      </c>
      <c r="B535" s="3" t="s">
        <v>607</v>
      </c>
      <c r="C535" s="3" t="s">
        <v>12</v>
      </c>
      <c r="D535" s="3" t="s">
        <v>168</v>
      </c>
      <c r="E535" s="3">
        <v>10</v>
      </c>
      <c r="F535" s="3" t="s">
        <v>94</v>
      </c>
      <c r="G535" s="4" t="str">
        <f t="shared" si="32"/>
        <v>37860</v>
      </c>
      <c r="H535" t="str">
        <f t="shared" si="33"/>
        <v>Melisa KARABIYIK</v>
      </c>
      <c r="I535" t="str">
        <f t="shared" si="34"/>
        <v>10A Kadın Kuaförlüğü</v>
      </c>
      <c r="J535" t="str">
        <f t="shared" si="35"/>
        <v>10A</v>
      </c>
    </row>
    <row r="536" spans="1:10" x14ac:dyDescent="0.25">
      <c r="A536" s="3">
        <v>50383689798</v>
      </c>
      <c r="B536" s="3" t="s">
        <v>608</v>
      </c>
      <c r="C536" s="3" t="s">
        <v>12</v>
      </c>
      <c r="D536" s="3" t="s">
        <v>168</v>
      </c>
      <c r="E536" s="3">
        <v>10</v>
      </c>
      <c r="F536" s="3" t="s">
        <v>58</v>
      </c>
      <c r="G536" s="4" t="str">
        <f t="shared" si="32"/>
        <v>89798</v>
      </c>
      <c r="H536" t="str">
        <f t="shared" si="33"/>
        <v>Merve ÜNLÜ</v>
      </c>
      <c r="I536" t="str">
        <f t="shared" si="34"/>
        <v>10B Kadın Kuaförlüğü</v>
      </c>
      <c r="J536" t="str">
        <f t="shared" si="35"/>
        <v>10B</v>
      </c>
    </row>
    <row r="537" spans="1:10" x14ac:dyDescent="0.25">
      <c r="A537" s="3">
        <v>63793057606</v>
      </c>
      <c r="B537" s="3" t="s">
        <v>609</v>
      </c>
      <c r="C537" s="3" t="s">
        <v>12</v>
      </c>
      <c r="D537" s="3" t="s">
        <v>168</v>
      </c>
      <c r="E537" s="3">
        <v>10</v>
      </c>
      <c r="F537" s="3" t="s">
        <v>58</v>
      </c>
      <c r="G537" s="4" t="str">
        <f t="shared" si="32"/>
        <v>57606</v>
      </c>
      <c r="H537" t="str">
        <f t="shared" si="33"/>
        <v>Merve YILMAZ</v>
      </c>
      <c r="I537" t="str">
        <f t="shared" si="34"/>
        <v>10B Kadın Kuaförlüğü</v>
      </c>
      <c r="J537" t="str">
        <f t="shared" si="35"/>
        <v>10B</v>
      </c>
    </row>
    <row r="538" spans="1:10" x14ac:dyDescent="0.25">
      <c r="A538" s="3">
        <v>36403978820</v>
      </c>
      <c r="B538" s="3" t="s">
        <v>610</v>
      </c>
      <c r="C538" s="3" t="s">
        <v>12</v>
      </c>
      <c r="D538" s="3" t="s">
        <v>168</v>
      </c>
      <c r="E538" s="3">
        <v>10</v>
      </c>
      <c r="F538" s="3" t="s">
        <v>94</v>
      </c>
      <c r="G538" s="4" t="str">
        <f t="shared" si="32"/>
        <v>78820</v>
      </c>
      <c r="H538" t="str">
        <f t="shared" si="33"/>
        <v>Muhammed Öner KAYA</v>
      </c>
      <c r="I538" t="str">
        <f t="shared" si="34"/>
        <v>10A Kadın Kuaförlüğü</v>
      </c>
      <c r="J538" t="str">
        <f t="shared" si="35"/>
        <v>10A</v>
      </c>
    </row>
    <row r="539" spans="1:10" x14ac:dyDescent="0.25">
      <c r="A539" s="3">
        <v>17528599084</v>
      </c>
      <c r="B539" s="3" t="s">
        <v>611</v>
      </c>
      <c r="C539" s="3" t="s">
        <v>12</v>
      </c>
      <c r="D539" s="3" t="s">
        <v>168</v>
      </c>
      <c r="E539" s="3">
        <v>10</v>
      </c>
      <c r="F539" s="3" t="s">
        <v>58</v>
      </c>
      <c r="G539" s="4" t="str">
        <f t="shared" si="32"/>
        <v>99084</v>
      </c>
      <c r="H539" t="str">
        <f t="shared" si="33"/>
        <v>Nisa Nur BAYCAN</v>
      </c>
      <c r="I539" t="str">
        <f t="shared" si="34"/>
        <v>10B Kadın Kuaförlüğü</v>
      </c>
      <c r="J539" t="str">
        <f t="shared" si="35"/>
        <v>10B</v>
      </c>
    </row>
    <row r="540" spans="1:10" x14ac:dyDescent="0.25">
      <c r="A540" s="3">
        <v>63124080082</v>
      </c>
      <c r="B540" s="3" t="s">
        <v>612</v>
      </c>
      <c r="C540" s="3" t="s">
        <v>12</v>
      </c>
      <c r="D540" s="3" t="s">
        <v>168</v>
      </c>
      <c r="E540" s="3">
        <v>10</v>
      </c>
      <c r="F540" s="3" t="s">
        <v>58</v>
      </c>
      <c r="G540" s="4" t="str">
        <f t="shared" si="32"/>
        <v>80082</v>
      </c>
      <c r="H540" t="str">
        <f t="shared" si="33"/>
        <v>Nisagül Şehri KALAYCI</v>
      </c>
      <c r="I540" t="str">
        <f t="shared" si="34"/>
        <v>10B Kadın Kuaförlüğü</v>
      </c>
      <c r="J540" t="str">
        <f t="shared" si="35"/>
        <v>10B</v>
      </c>
    </row>
    <row r="541" spans="1:10" x14ac:dyDescent="0.25">
      <c r="A541" s="3">
        <v>11352084082</v>
      </c>
      <c r="B541" s="3" t="s">
        <v>613</v>
      </c>
      <c r="C541" s="3" t="s">
        <v>12</v>
      </c>
      <c r="D541" s="3" t="s">
        <v>168</v>
      </c>
      <c r="E541" s="3">
        <v>10</v>
      </c>
      <c r="F541" s="3" t="s">
        <v>58</v>
      </c>
      <c r="G541" s="4" t="str">
        <f t="shared" si="32"/>
        <v>84082</v>
      </c>
      <c r="H541" t="str">
        <f t="shared" si="33"/>
        <v>Nisanur ÇOLAK</v>
      </c>
      <c r="I541" t="str">
        <f t="shared" si="34"/>
        <v>10B Kadın Kuaförlüğü</v>
      </c>
      <c r="J541" t="str">
        <f t="shared" si="35"/>
        <v>10B</v>
      </c>
    </row>
    <row r="542" spans="1:10" x14ac:dyDescent="0.25">
      <c r="A542" s="3">
        <v>36907953552</v>
      </c>
      <c r="B542" s="3" t="s">
        <v>614</v>
      </c>
      <c r="C542" s="3" t="s">
        <v>12</v>
      </c>
      <c r="D542" s="3" t="s">
        <v>168</v>
      </c>
      <c r="E542" s="3">
        <v>10</v>
      </c>
      <c r="F542" s="3" t="s">
        <v>58</v>
      </c>
      <c r="G542" s="4" t="str">
        <f t="shared" si="32"/>
        <v>53552</v>
      </c>
      <c r="H542" t="str">
        <f t="shared" si="33"/>
        <v>Pınar YENİYURT</v>
      </c>
      <c r="I542" t="str">
        <f t="shared" si="34"/>
        <v>10B Kadın Kuaförlüğü</v>
      </c>
      <c r="J542" t="str">
        <f t="shared" si="35"/>
        <v>10B</v>
      </c>
    </row>
    <row r="543" spans="1:10" x14ac:dyDescent="0.25">
      <c r="A543" s="3">
        <v>24968351592</v>
      </c>
      <c r="B543" s="3" t="s">
        <v>615</v>
      </c>
      <c r="C543" s="3" t="s">
        <v>12</v>
      </c>
      <c r="D543" s="3" t="s">
        <v>168</v>
      </c>
      <c r="E543" s="3">
        <v>10</v>
      </c>
      <c r="F543" s="3" t="s">
        <v>58</v>
      </c>
      <c r="G543" s="4" t="str">
        <f t="shared" si="32"/>
        <v>51592</v>
      </c>
      <c r="H543" t="str">
        <f t="shared" si="33"/>
        <v>Ramis HACIOĞLU</v>
      </c>
      <c r="I543" t="str">
        <f t="shared" si="34"/>
        <v>10B Kadın Kuaförlüğü</v>
      </c>
      <c r="J543" t="str">
        <f t="shared" si="35"/>
        <v>10B</v>
      </c>
    </row>
    <row r="544" spans="1:10" x14ac:dyDescent="0.25">
      <c r="A544" s="3">
        <v>35003175240</v>
      </c>
      <c r="B544" s="3" t="s">
        <v>616</v>
      </c>
      <c r="C544" s="3" t="s">
        <v>12</v>
      </c>
      <c r="D544" s="3" t="s">
        <v>168</v>
      </c>
      <c r="E544" s="3">
        <v>10</v>
      </c>
      <c r="F544" s="3" t="s">
        <v>94</v>
      </c>
      <c r="G544" s="4" t="str">
        <f t="shared" si="32"/>
        <v>75240</v>
      </c>
      <c r="H544" t="str">
        <f t="shared" si="33"/>
        <v>Sena ERDAL</v>
      </c>
      <c r="I544" t="str">
        <f t="shared" si="34"/>
        <v>10A Kadın Kuaförlüğü</v>
      </c>
      <c r="J544" t="str">
        <f t="shared" si="35"/>
        <v>10A</v>
      </c>
    </row>
    <row r="545" spans="1:10" x14ac:dyDescent="0.25">
      <c r="A545" s="3">
        <v>60415170576</v>
      </c>
      <c r="B545" s="3" t="s">
        <v>617</v>
      </c>
      <c r="C545" s="3" t="s">
        <v>12</v>
      </c>
      <c r="D545" s="3" t="s">
        <v>168</v>
      </c>
      <c r="E545" s="3">
        <v>10</v>
      </c>
      <c r="F545" s="3" t="s">
        <v>58</v>
      </c>
      <c r="G545" s="4" t="str">
        <f t="shared" si="32"/>
        <v>70576</v>
      </c>
      <c r="H545" t="str">
        <f t="shared" si="33"/>
        <v>Sıla ÜNSAL</v>
      </c>
      <c r="I545" t="str">
        <f t="shared" si="34"/>
        <v>10B Kadın Kuaförlüğü</v>
      </c>
      <c r="J545" t="str">
        <f t="shared" si="35"/>
        <v>10B</v>
      </c>
    </row>
    <row r="546" spans="1:10" x14ac:dyDescent="0.25">
      <c r="A546" s="3">
        <v>59752191740</v>
      </c>
      <c r="B546" s="3" t="s">
        <v>618</v>
      </c>
      <c r="C546" s="3" t="s">
        <v>12</v>
      </c>
      <c r="D546" s="3" t="s">
        <v>168</v>
      </c>
      <c r="E546" s="3">
        <v>10</v>
      </c>
      <c r="F546" s="3" t="s">
        <v>58</v>
      </c>
      <c r="G546" s="4" t="str">
        <f t="shared" si="32"/>
        <v>91740</v>
      </c>
      <c r="H546" t="str">
        <f t="shared" si="33"/>
        <v>Suden ERGİNSOY</v>
      </c>
      <c r="I546" t="str">
        <f t="shared" si="34"/>
        <v>10B Kadın Kuaförlüğü</v>
      </c>
      <c r="J546" t="str">
        <f t="shared" si="35"/>
        <v>10B</v>
      </c>
    </row>
    <row r="547" spans="1:10" x14ac:dyDescent="0.25">
      <c r="A547" s="3">
        <v>15875654708</v>
      </c>
      <c r="B547" s="3" t="s">
        <v>619</v>
      </c>
      <c r="C547" s="3" t="s">
        <v>12</v>
      </c>
      <c r="D547" s="3" t="s">
        <v>168</v>
      </c>
      <c r="E547" s="3">
        <v>10</v>
      </c>
      <c r="F547" s="3" t="s">
        <v>58</v>
      </c>
      <c r="G547" s="4" t="str">
        <f t="shared" si="32"/>
        <v>54708</v>
      </c>
      <c r="H547" t="str">
        <f t="shared" si="33"/>
        <v>Sudenaz KAVAK</v>
      </c>
      <c r="I547" t="str">
        <f t="shared" si="34"/>
        <v>10B Kadın Kuaförlüğü</v>
      </c>
      <c r="J547" t="str">
        <f t="shared" si="35"/>
        <v>10B</v>
      </c>
    </row>
    <row r="548" spans="1:10" x14ac:dyDescent="0.25">
      <c r="A548" s="3">
        <v>20014830424</v>
      </c>
      <c r="B548" s="3" t="s">
        <v>620</v>
      </c>
      <c r="C548" s="3" t="s">
        <v>12</v>
      </c>
      <c r="D548" s="3" t="s">
        <v>168</v>
      </c>
      <c r="E548" s="3">
        <v>10</v>
      </c>
      <c r="F548" s="3" t="s">
        <v>58</v>
      </c>
      <c r="G548" s="4" t="str">
        <f t="shared" si="32"/>
        <v>30424</v>
      </c>
      <c r="H548" t="str">
        <f t="shared" si="33"/>
        <v>Şevval AYBEK</v>
      </c>
      <c r="I548" t="str">
        <f t="shared" si="34"/>
        <v>10B Kadın Kuaförlüğü</v>
      </c>
      <c r="J548" t="str">
        <f t="shared" si="35"/>
        <v>10B</v>
      </c>
    </row>
    <row r="549" spans="1:10" x14ac:dyDescent="0.25">
      <c r="A549" s="3">
        <v>17831224772</v>
      </c>
      <c r="B549" s="3" t="s">
        <v>621</v>
      </c>
      <c r="C549" s="3" t="s">
        <v>12</v>
      </c>
      <c r="D549" s="3" t="s">
        <v>168</v>
      </c>
      <c r="E549" s="3">
        <v>10</v>
      </c>
      <c r="F549" s="3" t="s">
        <v>94</v>
      </c>
      <c r="G549" s="4" t="str">
        <f t="shared" si="32"/>
        <v>24772</v>
      </c>
      <c r="H549" t="str">
        <f t="shared" si="33"/>
        <v>Tuğba HAN</v>
      </c>
      <c r="I549" t="str">
        <f t="shared" si="34"/>
        <v>10A Kadın Kuaförlüğü</v>
      </c>
      <c r="J549" t="str">
        <f t="shared" si="35"/>
        <v>10A</v>
      </c>
    </row>
    <row r="550" spans="1:10" x14ac:dyDescent="0.25">
      <c r="A550" s="3">
        <v>58336239830</v>
      </c>
      <c r="B550" s="3" t="s">
        <v>622</v>
      </c>
      <c r="C550" s="3" t="s">
        <v>12</v>
      </c>
      <c r="D550" s="3" t="s">
        <v>168</v>
      </c>
      <c r="E550" s="3">
        <v>10</v>
      </c>
      <c r="F550" s="3" t="s">
        <v>58</v>
      </c>
      <c r="G550" s="4" t="str">
        <f t="shared" si="32"/>
        <v>39830</v>
      </c>
      <c r="H550" t="str">
        <f t="shared" si="33"/>
        <v>Yaprak Ahu AKIN</v>
      </c>
      <c r="I550" t="str">
        <f t="shared" si="34"/>
        <v>10B Kadın Kuaförlüğü</v>
      </c>
      <c r="J550" t="str">
        <f t="shared" si="35"/>
        <v>10B</v>
      </c>
    </row>
    <row r="551" spans="1:10" x14ac:dyDescent="0.25">
      <c r="A551" s="3">
        <v>61801363862</v>
      </c>
      <c r="B551" s="3" t="s">
        <v>623</v>
      </c>
      <c r="C551" s="3" t="s">
        <v>12</v>
      </c>
      <c r="D551" s="3" t="s">
        <v>168</v>
      </c>
      <c r="E551" s="3">
        <v>10</v>
      </c>
      <c r="F551" s="3" t="s">
        <v>94</v>
      </c>
      <c r="G551" s="4" t="str">
        <f t="shared" si="32"/>
        <v>63862</v>
      </c>
      <c r="H551" t="str">
        <f t="shared" si="33"/>
        <v>Yıldız ÇEVİK</v>
      </c>
      <c r="I551" t="str">
        <f t="shared" si="34"/>
        <v>10A Kadın Kuaförlüğü</v>
      </c>
      <c r="J551" t="str">
        <f t="shared" si="35"/>
        <v>10A</v>
      </c>
    </row>
    <row r="552" spans="1:10" x14ac:dyDescent="0.25">
      <c r="A552" s="3">
        <v>48745928838</v>
      </c>
      <c r="B552" s="3" t="s">
        <v>624</v>
      </c>
      <c r="C552" s="3" t="s">
        <v>12</v>
      </c>
      <c r="D552" s="3" t="s">
        <v>208</v>
      </c>
      <c r="E552" s="3">
        <v>10</v>
      </c>
      <c r="F552" s="3" t="s">
        <v>625</v>
      </c>
      <c r="G552" s="4" t="str">
        <f t="shared" si="32"/>
        <v>28838</v>
      </c>
      <c r="H552" t="str">
        <f t="shared" si="33"/>
        <v>Emir ERTÜRK</v>
      </c>
      <c r="I552" t="str">
        <f t="shared" si="34"/>
        <v>10C1 Kaynakçılık</v>
      </c>
      <c r="J552" t="str">
        <f t="shared" si="35"/>
        <v>10C</v>
      </c>
    </row>
    <row r="553" spans="1:10" x14ac:dyDescent="0.25">
      <c r="A553" s="3">
        <v>31201466418</v>
      </c>
      <c r="B553" s="3" t="s">
        <v>626</v>
      </c>
      <c r="C553" s="3" t="s">
        <v>12</v>
      </c>
      <c r="D553" s="3" t="s">
        <v>208</v>
      </c>
      <c r="E553" s="3">
        <v>10</v>
      </c>
      <c r="F553" s="3" t="s">
        <v>625</v>
      </c>
      <c r="G553" s="4" t="str">
        <f t="shared" si="32"/>
        <v>66418</v>
      </c>
      <c r="H553" t="str">
        <f t="shared" si="33"/>
        <v>Göktuğ ARICI</v>
      </c>
      <c r="I553" t="str">
        <f t="shared" si="34"/>
        <v>10C1 Kaynakçılık</v>
      </c>
      <c r="J553" t="str">
        <f t="shared" si="35"/>
        <v>10C</v>
      </c>
    </row>
    <row r="554" spans="1:10" x14ac:dyDescent="0.25">
      <c r="A554" s="3">
        <v>33278442418</v>
      </c>
      <c r="B554" s="3" t="s">
        <v>627</v>
      </c>
      <c r="C554" s="3" t="s">
        <v>12</v>
      </c>
      <c r="D554" s="3" t="s">
        <v>208</v>
      </c>
      <c r="E554" s="3">
        <v>10</v>
      </c>
      <c r="F554" s="3" t="s">
        <v>625</v>
      </c>
      <c r="G554" s="4" t="str">
        <f t="shared" si="32"/>
        <v>42418</v>
      </c>
      <c r="H554" t="str">
        <f t="shared" si="33"/>
        <v>Mustafa Efe MERAL</v>
      </c>
      <c r="I554" t="str">
        <f t="shared" si="34"/>
        <v>10C1 Kaynakçılık</v>
      </c>
      <c r="J554" t="str">
        <f t="shared" si="35"/>
        <v>10C</v>
      </c>
    </row>
    <row r="555" spans="1:10" x14ac:dyDescent="0.25">
      <c r="A555" s="3">
        <v>41776790832</v>
      </c>
      <c r="B555" s="3" t="s">
        <v>628</v>
      </c>
      <c r="C555" s="3" t="s">
        <v>12</v>
      </c>
      <c r="D555" s="3" t="s">
        <v>208</v>
      </c>
      <c r="E555" s="3">
        <v>10</v>
      </c>
      <c r="F555" s="3" t="s">
        <v>625</v>
      </c>
      <c r="G555" s="4" t="str">
        <f t="shared" si="32"/>
        <v>90832</v>
      </c>
      <c r="H555" t="str">
        <f t="shared" si="33"/>
        <v>Okan MEŞE</v>
      </c>
      <c r="I555" t="str">
        <f t="shared" si="34"/>
        <v>10C1 Kaynakçılık</v>
      </c>
      <c r="J555" t="str">
        <f t="shared" si="35"/>
        <v>10C</v>
      </c>
    </row>
    <row r="556" spans="1:10" x14ac:dyDescent="0.25">
      <c r="A556" s="3">
        <v>39976851132</v>
      </c>
      <c r="B556" s="3" t="s">
        <v>629</v>
      </c>
      <c r="C556" s="3" t="s">
        <v>12</v>
      </c>
      <c r="D556" s="3" t="s">
        <v>212</v>
      </c>
      <c r="E556" s="3">
        <v>10</v>
      </c>
      <c r="F556" s="3" t="s">
        <v>402</v>
      </c>
      <c r="G556" s="4" t="str">
        <f t="shared" si="32"/>
        <v>51132</v>
      </c>
      <c r="H556" t="str">
        <f t="shared" si="33"/>
        <v>Ataberk İLERİ</v>
      </c>
      <c r="I556" t="str">
        <f t="shared" si="34"/>
        <v>10L Makine Bakım Onarım</v>
      </c>
      <c r="J556" t="str">
        <f t="shared" si="35"/>
        <v>10L</v>
      </c>
    </row>
    <row r="557" spans="1:10" x14ac:dyDescent="0.25">
      <c r="A557" s="3">
        <v>35911986440</v>
      </c>
      <c r="B557" s="3" t="s">
        <v>630</v>
      </c>
      <c r="C557" s="3" t="s">
        <v>12</v>
      </c>
      <c r="D557" s="3" t="s">
        <v>212</v>
      </c>
      <c r="E557" s="3">
        <v>10</v>
      </c>
      <c r="F557" s="3" t="s">
        <v>402</v>
      </c>
      <c r="G557" s="4" t="str">
        <f t="shared" si="32"/>
        <v>86440</v>
      </c>
      <c r="H557" t="str">
        <f t="shared" si="33"/>
        <v>Hasan Hüseyin KAYA</v>
      </c>
      <c r="I557" t="str">
        <f t="shared" si="34"/>
        <v>10L Makine Bakım Onarım</v>
      </c>
      <c r="J557" t="str">
        <f t="shared" si="35"/>
        <v>10L</v>
      </c>
    </row>
    <row r="558" spans="1:10" x14ac:dyDescent="0.25">
      <c r="A558" s="3">
        <v>48703422538</v>
      </c>
      <c r="B558" s="3" t="s">
        <v>631</v>
      </c>
      <c r="C558" s="3" t="s">
        <v>12</v>
      </c>
      <c r="D558" s="3" t="s">
        <v>212</v>
      </c>
      <c r="E558" s="3">
        <v>10</v>
      </c>
      <c r="F558" s="3" t="s">
        <v>402</v>
      </c>
      <c r="G558" s="4" t="str">
        <f t="shared" si="32"/>
        <v>22538</v>
      </c>
      <c r="H558" t="str">
        <f t="shared" si="33"/>
        <v>Kasım ÇAKMAKÇI</v>
      </c>
      <c r="I558" t="str">
        <f t="shared" si="34"/>
        <v>10L Makine Bakım Onarım</v>
      </c>
      <c r="J558" t="str">
        <f t="shared" si="35"/>
        <v>10L</v>
      </c>
    </row>
    <row r="559" spans="1:10" x14ac:dyDescent="0.25">
      <c r="A559" s="3">
        <v>42802756914</v>
      </c>
      <c r="B559" s="3" t="s">
        <v>632</v>
      </c>
      <c r="C559" s="3" t="s">
        <v>12</v>
      </c>
      <c r="D559" s="3" t="s">
        <v>212</v>
      </c>
      <c r="E559" s="3">
        <v>10</v>
      </c>
      <c r="F559" s="3" t="s">
        <v>402</v>
      </c>
      <c r="G559" s="4" t="str">
        <f t="shared" si="32"/>
        <v>56914</v>
      </c>
      <c r="H559" t="str">
        <f t="shared" si="33"/>
        <v>Ömer ŞİMŞEK</v>
      </c>
      <c r="I559" t="str">
        <f t="shared" si="34"/>
        <v>10L Makine Bakım Onarım</v>
      </c>
      <c r="J559" t="str">
        <f t="shared" si="35"/>
        <v>10L</v>
      </c>
    </row>
    <row r="560" spans="1:10" x14ac:dyDescent="0.25">
      <c r="A560" s="3">
        <v>24071636234</v>
      </c>
      <c r="B560" s="3" t="s">
        <v>633</v>
      </c>
      <c r="C560" s="3" t="s">
        <v>12</v>
      </c>
      <c r="D560" s="3" t="s">
        <v>212</v>
      </c>
      <c r="E560" s="3">
        <v>10</v>
      </c>
      <c r="F560" s="3" t="s">
        <v>402</v>
      </c>
      <c r="G560" s="4" t="str">
        <f t="shared" si="32"/>
        <v>36234</v>
      </c>
      <c r="H560" t="str">
        <f t="shared" si="33"/>
        <v>Özgür ERGÜN</v>
      </c>
      <c r="I560" t="str">
        <f t="shared" si="34"/>
        <v>10L Makine Bakım Onarım</v>
      </c>
      <c r="J560" t="str">
        <f t="shared" si="35"/>
        <v>10L</v>
      </c>
    </row>
    <row r="561" spans="1:10" x14ac:dyDescent="0.25">
      <c r="A561" s="3">
        <v>42751916926</v>
      </c>
      <c r="B561" s="3" t="s">
        <v>634</v>
      </c>
      <c r="C561" s="3" t="s">
        <v>12</v>
      </c>
      <c r="D561" s="3" t="s">
        <v>212</v>
      </c>
      <c r="E561" s="3">
        <v>10</v>
      </c>
      <c r="F561" s="3" t="s">
        <v>402</v>
      </c>
      <c r="G561" s="4" t="str">
        <f t="shared" si="32"/>
        <v>16926</v>
      </c>
      <c r="H561" t="str">
        <f t="shared" si="33"/>
        <v>Serdar TEKDOĞAN</v>
      </c>
      <c r="I561" t="str">
        <f t="shared" si="34"/>
        <v>10L Makine Bakım Onarım</v>
      </c>
      <c r="J561" t="str">
        <f t="shared" si="35"/>
        <v>10L</v>
      </c>
    </row>
    <row r="562" spans="1:10" x14ac:dyDescent="0.25">
      <c r="A562" s="3">
        <v>22208443656</v>
      </c>
      <c r="B562" s="3" t="s">
        <v>635</v>
      </c>
      <c r="C562" s="3" t="s">
        <v>12</v>
      </c>
      <c r="D562" s="3" t="s">
        <v>212</v>
      </c>
      <c r="E562" s="3">
        <v>10</v>
      </c>
      <c r="F562" s="3" t="s">
        <v>402</v>
      </c>
      <c r="G562" s="4" t="str">
        <f t="shared" si="32"/>
        <v>43656</v>
      </c>
      <c r="H562" t="str">
        <f t="shared" si="33"/>
        <v>Yiğit KÜÇÜKBATUR</v>
      </c>
      <c r="I562" t="str">
        <f t="shared" si="34"/>
        <v>10L Makine Bakım Onarım</v>
      </c>
      <c r="J562" t="str">
        <f t="shared" si="35"/>
        <v>10L</v>
      </c>
    </row>
    <row r="563" spans="1:10" x14ac:dyDescent="0.25">
      <c r="A563" s="3">
        <v>38395903606</v>
      </c>
      <c r="B563" s="3" t="s">
        <v>636</v>
      </c>
      <c r="C563" s="3" t="s">
        <v>12</v>
      </c>
      <c r="D563" s="3" t="s">
        <v>218</v>
      </c>
      <c r="E563" s="3">
        <v>10</v>
      </c>
      <c r="F563" s="3" t="s">
        <v>637</v>
      </c>
      <c r="G563" s="4" t="str">
        <f t="shared" si="32"/>
        <v>03606</v>
      </c>
      <c r="H563" t="str">
        <f t="shared" si="33"/>
        <v>Defne Ela VARLAR</v>
      </c>
      <c r="I563" t="str">
        <f t="shared" si="34"/>
        <v>10C2 Muhasebe</v>
      </c>
      <c r="J563" t="str">
        <f t="shared" si="35"/>
        <v>10C</v>
      </c>
    </row>
    <row r="564" spans="1:10" x14ac:dyDescent="0.25">
      <c r="A564" s="3">
        <v>37384937486</v>
      </c>
      <c r="B564" s="3" t="s">
        <v>638</v>
      </c>
      <c r="C564" s="3" t="s">
        <v>12</v>
      </c>
      <c r="D564" s="3" t="s">
        <v>218</v>
      </c>
      <c r="E564" s="3">
        <v>10</v>
      </c>
      <c r="F564" s="3" t="s">
        <v>637</v>
      </c>
      <c r="G564" s="4" t="str">
        <f t="shared" si="32"/>
        <v>37486</v>
      </c>
      <c r="H564" t="str">
        <f t="shared" si="33"/>
        <v>Melisa ARSLAN</v>
      </c>
      <c r="I564" t="str">
        <f t="shared" si="34"/>
        <v>10C2 Muhasebe</v>
      </c>
      <c r="J564" t="str">
        <f t="shared" si="35"/>
        <v>10C</v>
      </c>
    </row>
    <row r="565" spans="1:10" x14ac:dyDescent="0.25">
      <c r="A565" s="3">
        <v>63907053272</v>
      </c>
      <c r="B565" s="3" t="s">
        <v>639</v>
      </c>
      <c r="C565" s="3" t="s">
        <v>12</v>
      </c>
      <c r="D565" s="3" t="s">
        <v>218</v>
      </c>
      <c r="E565" s="3">
        <v>10</v>
      </c>
      <c r="F565" s="3" t="s">
        <v>637</v>
      </c>
      <c r="G565" s="4" t="str">
        <f t="shared" si="32"/>
        <v>53272</v>
      </c>
      <c r="H565" t="str">
        <f t="shared" si="33"/>
        <v>Muhammed Ali SARIBUĞA</v>
      </c>
      <c r="I565" t="str">
        <f t="shared" si="34"/>
        <v>10C2 Muhasebe</v>
      </c>
      <c r="J565" t="str">
        <f t="shared" si="35"/>
        <v>10C</v>
      </c>
    </row>
    <row r="566" spans="1:10" x14ac:dyDescent="0.25">
      <c r="A566" s="3">
        <v>36233222070</v>
      </c>
      <c r="B566" s="3" t="s">
        <v>640</v>
      </c>
      <c r="C566" s="3" t="s">
        <v>12</v>
      </c>
      <c r="D566" s="3" t="s">
        <v>226</v>
      </c>
      <c r="E566" s="3">
        <v>10</v>
      </c>
      <c r="F566" s="3" t="s">
        <v>166</v>
      </c>
      <c r="G566" s="4" t="str">
        <f t="shared" si="32"/>
        <v>22070</v>
      </c>
      <c r="H566" t="str">
        <f t="shared" si="33"/>
        <v>Ali Furkan LEVENT</v>
      </c>
      <c r="I566" t="str">
        <f t="shared" si="34"/>
        <v>10F Otomotiv Boya</v>
      </c>
      <c r="J566" t="str">
        <f t="shared" si="35"/>
        <v>10F</v>
      </c>
    </row>
    <row r="567" spans="1:10" x14ac:dyDescent="0.25">
      <c r="A567" s="3">
        <v>60757412440</v>
      </c>
      <c r="B567" s="3" t="s">
        <v>641</v>
      </c>
      <c r="C567" s="3" t="s">
        <v>12</v>
      </c>
      <c r="D567" s="3" t="s">
        <v>226</v>
      </c>
      <c r="E567" s="3">
        <v>10</v>
      </c>
      <c r="F567" s="3" t="s">
        <v>642</v>
      </c>
      <c r="G567" s="4" t="str">
        <f t="shared" si="32"/>
        <v>12440</v>
      </c>
      <c r="H567" t="str">
        <f t="shared" si="33"/>
        <v>Aliyar YAVRUTÜRK</v>
      </c>
      <c r="I567" t="str">
        <f t="shared" si="34"/>
        <v>10İ Otomotiv Boya</v>
      </c>
      <c r="J567" t="str">
        <f t="shared" si="35"/>
        <v>10İ</v>
      </c>
    </row>
    <row r="568" spans="1:10" x14ac:dyDescent="0.25">
      <c r="A568" s="3">
        <v>50818117742</v>
      </c>
      <c r="B568" s="3" t="s">
        <v>643</v>
      </c>
      <c r="C568" s="3" t="s">
        <v>12</v>
      </c>
      <c r="D568" s="3" t="s">
        <v>226</v>
      </c>
      <c r="E568" s="3">
        <v>10</v>
      </c>
      <c r="F568" s="3" t="s">
        <v>434</v>
      </c>
      <c r="G568" s="4" t="str">
        <f t="shared" si="32"/>
        <v>17742</v>
      </c>
      <c r="H568" t="str">
        <f t="shared" si="33"/>
        <v>Arda TOPÇU</v>
      </c>
      <c r="I568" t="str">
        <f t="shared" si="34"/>
        <v>10K Otomotiv Boya</v>
      </c>
      <c r="J568" t="str">
        <f t="shared" si="35"/>
        <v>10K</v>
      </c>
    </row>
    <row r="569" spans="1:10" x14ac:dyDescent="0.25">
      <c r="A569" s="3">
        <v>48814359440</v>
      </c>
      <c r="B569" s="3" t="s">
        <v>644</v>
      </c>
      <c r="C569" s="3" t="s">
        <v>12</v>
      </c>
      <c r="D569" s="3" t="s">
        <v>226</v>
      </c>
      <c r="E569" s="3">
        <v>10</v>
      </c>
      <c r="F569" s="3" t="s">
        <v>434</v>
      </c>
      <c r="G569" s="4" t="str">
        <f t="shared" si="32"/>
        <v>59440</v>
      </c>
      <c r="H569" t="str">
        <f t="shared" si="33"/>
        <v>Bulut KARA</v>
      </c>
      <c r="I569" t="str">
        <f t="shared" si="34"/>
        <v>10K Otomotiv Boya</v>
      </c>
      <c r="J569" t="str">
        <f t="shared" si="35"/>
        <v>10K</v>
      </c>
    </row>
    <row r="570" spans="1:10" x14ac:dyDescent="0.25">
      <c r="A570" s="3">
        <v>56911654658</v>
      </c>
      <c r="B570" s="3" t="s">
        <v>645</v>
      </c>
      <c r="C570" s="3" t="s">
        <v>12</v>
      </c>
      <c r="D570" s="3" t="s">
        <v>226</v>
      </c>
      <c r="E570" s="3">
        <v>10</v>
      </c>
      <c r="F570" s="3" t="s">
        <v>55</v>
      </c>
      <c r="G570" s="4" t="str">
        <f t="shared" si="32"/>
        <v>54658</v>
      </c>
      <c r="H570" t="str">
        <f t="shared" si="33"/>
        <v>Diyar Amed TOPRAK</v>
      </c>
      <c r="I570" t="str">
        <f t="shared" si="34"/>
        <v>10G Otomotiv Boya</v>
      </c>
      <c r="J570" t="str">
        <f t="shared" si="35"/>
        <v>10G</v>
      </c>
    </row>
    <row r="571" spans="1:10" x14ac:dyDescent="0.25">
      <c r="A571" s="3">
        <v>52867421320</v>
      </c>
      <c r="B571" s="3" t="s">
        <v>646</v>
      </c>
      <c r="C571" s="3" t="s">
        <v>12</v>
      </c>
      <c r="D571" s="3" t="s">
        <v>226</v>
      </c>
      <c r="E571" s="3">
        <v>10</v>
      </c>
      <c r="F571" s="3" t="s">
        <v>55</v>
      </c>
      <c r="G571" s="4" t="str">
        <f t="shared" si="32"/>
        <v>21320</v>
      </c>
      <c r="H571" t="str">
        <f t="shared" si="33"/>
        <v>Kudret BAKADUR</v>
      </c>
      <c r="I571" t="str">
        <f t="shared" si="34"/>
        <v>10G Otomotiv Boya</v>
      </c>
      <c r="J571" t="str">
        <f t="shared" si="35"/>
        <v>10G</v>
      </c>
    </row>
    <row r="572" spans="1:10" x14ac:dyDescent="0.25">
      <c r="A572" s="3">
        <v>66811324438</v>
      </c>
      <c r="B572" s="3" t="s">
        <v>647</v>
      </c>
      <c r="C572" s="3" t="s">
        <v>12</v>
      </c>
      <c r="D572" s="3" t="s">
        <v>226</v>
      </c>
      <c r="E572" s="3">
        <v>10</v>
      </c>
      <c r="F572" s="3" t="s">
        <v>642</v>
      </c>
      <c r="G572" s="4" t="str">
        <f t="shared" si="32"/>
        <v>24438</v>
      </c>
      <c r="H572" t="str">
        <f t="shared" si="33"/>
        <v>Salih SÖYÜNCÜ</v>
      </c>
      <c r="I572" t="str">
        <f t="shared" si="34"/>
        <v>10İ Otomotiv Boya</v>
      </c>
      <c r="J572" t="str">
        <f t="shared" si="35"/>
        <v>10İ</v>
      </c>
    </row>
    <row r="573" spans="1:10" x14ac:dyDescent="0.25">
      <c r="A573" s="3">
        <v>47917586760</v>
      </c>
      <c r="B573" s="3" t="s">
        <v>648</v>
      </c>
      <c r="C573" s="3" t="s">
        <v>12</v>
      </c>
      <c r="D573" s="3" t="s">
        <v>226</v>
      </c>
      <c r="E573" s="3">
        <v>10</v>
      </c>
      <c r="F573" s="3" t="s">
        <v>642</v>
      </c>
      <c r="G573" s="4" t="str">
        <f t="shared" si="32"/>
        <v>86760</v>
      </c>
      <c r="H573" t="str">
        <f t="shared" si="33"/>
        <v>Tugay KARAMAN</v>
      </c>
      <c r="I573" t="str">
        <f t="shared" si="34"/>
        <v>10İ Otomotiv Boya</v>
      </c>
      <c r="J573" t="str">
        <f t="shared" si="35"/>
        <v>10İ</v>
      </c>
    </row>
    <row r="574" spans="1:10" x14ac:dyDescent="0.25">
      <c r="A574" s="3">
        <v>99191195374</v>
      </c>
      <c r="B574" s="3" t="s">
        <v>649</v>
      </c>
      <c r="C574" s="3" t="s">
        <v>12</v>
      </c>
      <c r="D574" s="3" t="s">
        <v>226</v>
      </c>
      <c r="E574" s="3">
        <v>10</v>
      </c>
      <c r="F574" s="3" t="s">
        <v>55</v>
      </c>
      <c r="G574" s="4" t="str">
        <f t="shared" si="32"/>
        <v>95374</v>
      </c>
      <c r="H574" t="str">
        <f t="shared" si="33"/>
        <v>Yusuf ELNASEN</v>
      </c>
      <c r="I574" t="str">
        <f t="shared" si="34"/>
        <v>10G Otomotiv Boya</v>
      </c>
      <c r="J574" t="str">
        <f t="shared" si="35"/>
        <v>10G</v>
      </c>
    </row>
    <row r="575" spans="1:10" x14ac:dyDescent="0.25">
      <c r="A575" s="3">
        <v>28991616338</v>
      </c>
      <c r="B575" s="3" t="s">
        <v>650</v>
      </c>
      <c r="C575" s="3" t="s">
        <v>12</v>
      </c>
      <c r="D575" s="3" t="s">
        <v>231</v>
      </c>
      <c r="E575" s="3">
        <v>10</v>
      </c>
      <c r="F575" s="3" t="s">
        <v>642</v>
      </c>
      <c r="G575" s="4" t="str">
        <f t="shared" si="32"/>
        <v>16338</v>
      </c>
      <c r="H575" t="str">
        <f t="shared" si="33"/>
        <v>Abdulbasit ELŞAVİ</v>
      </c>
      <c r="I575" t="str">
        <f t="shared" si="34"/>
        <v>10İ Otomotiv Elektrikçiliği</v>
      </c>
      <c r="J575" t="str">
        <f t="shared" si="35"/>
        <v>10İ</v>
      </c>
    </row>
    <row r="576" spans="1:10" x14ac:dyDescent="0.25">
      <c r="A576" s="3">
        <v>15842655332</v>
      </c>
      <c r="B576" s="3" t="s">
        <v>651</v>
      </c>
      <c r="C576" s="3" t="s">
        <v>12</v>
      </c>
      <c r="D576" s="3" t="s">
        <v>231</v>
      </c>
      <c r="E576" s="3">
        <v>10</v>
      </c>
      <c r="F576" s="3" t="s">
        <v>166</v>
      </c>
      <c r="G576" s="4" t="str">
        <f t="shared" si="32"/>
        <v>55332</v>
      </c>
      <c r="H576" t="str">
        <f t="shared" si="33"/>
        <v>Abdulkerim GÜÇLÜGİL</v>
      </c>
      <c r="I576" t="str">
        <f t="shared" si="34"/>
        <v>10F Otomotiv Elektrikçiliği</v>
      </c>
      <c r="J576" t="str">
        <f t="shared" si="35"/>
        <v>10F</v>
      </c>
    </row>
    <row r="577" spans="1:10" x14ac:dyDescent="0.25">
      <c r="A577" s="3">
        <v>22931419034</v>
      </c>
      <c r="B577" s="3" t="s">
        <v>652</v>
      </c>
      <c r="C577" s="3" t="s">
        <v>12</v>
      </c>
      <c r="D577" s="3" t="s">
        <v>231</v>
      </c>
      <c r="E577" s="3">
        <v>10</v>
      </c>
      <c r="F577" s="3" t="s">
        <v>166</v>
      </c>
      <c r="G577" s="4" t="str">
        <f t="shared" si="32"/>
        <v>19034</v>
      </c>
      <c r="H577" t="str">
        <f t="shared" si="33"/>
        <v>Bayram Ali TOPCU</v>
      </c>
      <c r="I577" t="str">
        <f t="shared" si="34"/>
        <v>10F Otomotiv Elektrikçiliği</v>
      </c>
      <c r="J577" t="str">
        <f t="shared" si="35"/>
        <v>10F</v>
      </c>
    </row>
    <row r="578" spans="1:10" x14ac:dyDescent="0.25">
      <c r="A578" s="3">
        <v>44665843268</v>
      </c>
      <c r="B578" s="3" t="s">
        <v>653</v>
      </c>
      <c r="C578" s="3" t="s">
        <v>12</v>
      </c>
      <c r="D578" s="3" t="s">
        <v>231</v>
      </c>
      <c r="E578" s="3">
        <v>10</v>
      </c>
      <c r="F578" s="3" t="s">
        <v>166</v>
      </c>
      <c r="G578" s="4" t="str">
        <f t="shared" si="32"/>
        <v>43268</v>
      </c>
      <c r="H578" t="str">
        <f t="shared" si="33"/>
        <v>Emirhan DANACIOĞLU</v>
      </c>
      <c r="I578" t="str">
        <f t="shared" si="34"/>
        <v>10F Otomotiv Elektrikçiliği</v>
      </c>
      <c r="J578" t="str">
        <f t="shared" si="35"/>
        <v>10F</v>
      </c>
    </row>
    <row r="579" spans="1:10" x14ac:dyDescent="0.25">
      <c r="A579" s="3">
        <v>36359130044</v>
      </c>
      <c r="B579" s="3" t="s">
        <v>654</v>
      </c>
      <c r="C579" s="3" t="s">
        <v>12</v>
      </c>
      <c r="D579" s="3" t="s">
        <v>231</v>
      </c>
      <c r="E579" s="3">
        <v>10</v>
      </c>
      <c r="F579" s="3" t="s">
        <v>438</v>
      </c>
      <c r="G579" s="4" t="str">
        <f t="shared" si="32"/>
        <v>30044</v>
      </c>
      <c r="H579" t="str">
        <f t="shared" si="33"/>
        <v>Eyüp KARTAL</v>
      </c>
      <c r="I579" t="str">
        <f t="shared" si="34"/>
        <v>10H Otomotiv Elektrikçiliği</v>
      </c>
      <c r="J579" t="str">
        <f t="shared" si="35"/>
        <v>10H</v>
      </c>
    </row>
    <row r="580" spans="1:10" x14ac:dyDescent="0.25">
      <c r="A580" s="3">
        <v>48697929778</v>
      </c>
      <c r="B580" s="3" t="s">
        <v>655</v>
      </c>
      <c r="C580" s="3" t="s">
        <v>12</v>
      </c>
      <c r="D580" s="3" t="s">
        <v>231</v>
      </c>
      <c r="E580" s="3">
        <v>10</v>
      </c>
      <c r="F580" s="3" t="s">
        <v>438</v>
      </c>
      <c r="G580" s="4" t="str">
        <f t="shared" si="32"/>
        <v>29778</v>
      </c>
      <c r="H580" t="str">
        <f t="shared" si="33"/>
        <v>Mehmet Fatih GÜMÜŞ</v>
      </c>
      <c r="I580" t="str">
        <f t="shared" si="34"/>
        <v>10H Otomotiv Elektrikçiliği</v>
      </c>
      <c r="J580" t="str">
        <f t="shared" si="35"/>
        <v>10H</v>
      </c>
    </row>
    <row r="581" spans="1:10" x14ac:dyDescent="0.25">
      <c r="A581" s="3">
        <v>29375205148</v>
      </c>
      <c r="B581" s="3" t="s">
        <v>656</v>
      </c>
      <c r="C581" s="3" t="s">
        <v>12</v>
      </c>
      <c r="D581" s="3" t="s">
        <v>231</v>
      </c>
      <c r="E581" s="3">
        <v>10</v>
      </c>
      <c r="F581" s="3" t="s">
        <v>438</v>
      </c>
      <c r="G581" s="4" t="str">
        <f t="shared" ref="G581:G644" si="36">RIGHT(A581,5)</f>
        <v>05148</v>
      </c>
      <c r="H581" t="str">
        <f t="shared" ref="H581:H644" si="37">B581</f>
        <v>Volkan BOZOĞLU</v>
      </c>
      <c r="I581" t="str">
        <f t="shared" ref="I581:I644" si="38">CONCATENATE(E581,F581," ",D581)</f>
        <v>10H Otomotiv Elektrikçiliği</v>
      </c>
      <c r="J581" t="str">
        <f t="shared" ref="J581:J644" si="39">LEFT(I581,3)</f>
        <v>10H</v>
      </c>
    </row>
    <row r="582" spans="1:10" x14ac:dyDescent="0.25">
      <c r="A582" s="3">
        <v>65374374256</v>
      </c>
      <c r="B582" s="3" t="s">
        <v>657</v>
      </c>
      <c r="C582" s="3" t="s">
        <v>12</v>
      </c>
      <c r="D582" s="3" t="s">
        <v>231</v>
      </c>
      <c r="E582" s="3">
        <v>10</v>
      </c>
      <c r="F582" s="3" t="s">
        <v>166</v>
      </c>
      <c r="G582" s="4" t="str">
        <f t="shared" si="36"/>
        <v>74256</v>
      </c>
      <c r="H582" t="str">
        <f t="shared" si="37"/>
        <v>Yağız Kemal UĞUN</v>
      </c>
      <c r="I582" t="str">
        <f t="shared" si="38"/>
        <v>10F Otomotiv Elektrikçiliği</v>
      </c>
      <c r="J582" t="str">
        <f t="shared" si="39"/>
        <v>10F</v>
      </c>
    </row>
    <row r="583" spans="1:10" x14ac:dyDescent="0.25">
      <c r="A583" s="3">
        <v>22126769982</v>
      </c>
      <c r="B583" s="3" t="s">
        <v>658</v>
      </c>
      <c r="C583" s="3" t="s">
        <v>12</v>
      </c>
      <c r="D583" s="3" t="s">
        <v>231</v>
      </c>
      <c r="E583" s="3">
        <v>10</v>
      </c>
      <c r="F583" s="3" t="s">
        <v>55</v>
      </c>
      <c r="G583" s="4" t="str">
        <f t="shared" si="36"/>
        <v>69982</v>
      </c>
      <c r="H583" t="str">
        <f t="shared" si="37"/>
        <v>Yusuf KÖYSÜ</v>
      </c>
      <c r="I583" t="str">
        <f t="shared" si="38"/>
        <v>10G Otomotiv Elektrikçiliği</v>
      </c>
      <c r="J583" t="str">
        <f t="shared" si="39"/>
        <v>10G</v>
      </c>
    </row>
    <row r="584" spans="1:10" x14ac:dyDescent="0.25">
      <c r="A584" s="3">
        <v>33659432038</v>
      </c>
      <c r="B584" s="3" t="s">
        <v>659</v>
      </c>
      <c r="C584" s="3" t="s">
        <v>12</v>
      </c>
      <c r="D584" s="3" t="s">
        <v>240</v>
      </c>
      <c r="E584" s="3">
        <v>10</v>
      </c>
      <c r="F584" s="3" t="s">
        <v>166</v>
      </c>
      <c r="G584" s="4" t="str">
        <f t="shared" si="36"/>
        <v>32038</v>
      </c>
      <c r="H584" t="str">
        <f t="shared" si="37"/>
        <v>Abdulsamet TEMEL</v>
      </c>
      <c r="I584" t="str">
        <f t="shared" si="38"/>
        <v>10F Otomotiv Elektromekanik</v>
      </c>
      <c r="J584" t="str">
        <f t="shared" si="39"/>
        <v>10F</v>
      </c>
    </row>
    <row r="585" spans="1:10" x14ac:dyDescent="0.25">
      <c r="A585" s="3">
        <v>37231943226</v>
      </c>
      <c r="B585" s="3" t="s">
        <v>660</v>
      </c>
      <c r="C585" s="3" t="s">
        <v>12</v>
      </c>
      <c r="D585" s="3" t="s">
        <v>240</v>
      </c>
      <c r="E585" s="3">
        <v>10</v>
      </c>
      <c r="F585" s="3" t="s">
        <v>434</v>
      </c>
      <c r="G585" s="4" t="str">
        <f t="shared" si="36"/>
        <v>43226</v>
      </c>
      <c r="H585" t="str">
        <f t="shared" si="37"/>
        <v>Abdurrahim KAYA</v>
      </c>
      <c r="I585" t="str">
        <f t="shared" si="38"/>
        <v>10K Otomotiv Elektromekanik</v>
      </c>
      <c r="J585" t="str">
        <f t="shared" si="39"/>
        <v>10K</v>
      </c>
    </row>
    <row r="586" spans="1:10" x14ac:dyDescent="0.25">
      <c r="A586" s="3">
        <v>44986683772</v>
      </c>
      <c r="B586" s="3" t="s">
        <v>661</v>
      </c>
      <c r="C586" s="3" t="s">
        <v>12</v>
      </c>
      <c r="D586" s="3" t="s">
        <v>240</v>
      </c>
      <c r="E586" s="3">
        <v>10</v>
      </c>
      <c r="F586" s="3" t="s">
        <v>434</v>
      </c>
      <c r="G586" s="4" t="str">
        <f t="shared" si="36"/>
        <v>83772</v>
      </c>
      <c r="H586" t="str">
        <f t="shared" si="37"/>
        <v>Abdül Samet ZORAVALİ</v>
      </c>
      <c r="I586" t="str">
        <f t="shared" si="38"/>
        <v>10K Otomotiv Elektromekanik</v>
      </c>
      <c r="J586" t="str">
        <f t="shared" si="39"/>
        <v>10K</v>
      </c>
    </row>
    <row r="587" spans="1:10" x14ac:dyDescent="0.25">
      <c r="A587" s="3">
        <v>16294075464</v>
      </c>
      <c r="B587" s="3" t="s">
        <v>662</v>
      </c>
      <c r="C587" s="3" t="s">
        <v>12</v>
      </c>
      <c r="D587" s="3" t="s">
        <v>240</v>
      </c>
      <c r="E587" s="3">
        <v>10</v>
      </c>
      <c r="F587" s="3" t="s">
        <v>55</v>
      </c>
      <c r="G587" s="4" t="str">
        <f t="shared" si="36"/>
        <v>75464</v>
      </c>
      <c r="H587" t="str">
        <f t="shared" si="37"/>
        <v>Ahmet YÜKSEL</v>
      </c>
      <c r="I587" t="str">
        <f t="shared" si="38"/>
        <v>10G Otomotiv Elektromekanik</v>
      </c>
      <c r="J587" t="str">
        <f t="shared" si="39"/>
        <v>10G</v>
      </c>
    </row>
    <row r="588" spans="1:10" x14ac:dyDescent="0.25">
      <c r="A588" s="3">
        <v>37900920268</v>
      </c>
      <c r="B588" s="3" t="s">
        <v>663</v>
      </c>
      <c r="C588" s="3" t="s">
        <v>12</v>
      </c>
      <c r="D588" s="3" t="s">
        <v>240</v>
      </c>
      <c r="E588" s="3">
        <v>10</v>
      </c>
      <c r="F588" s="3" t="s">
        <v>55</v>
      </c>
      <c r="G588" s="4" t="str">
        <f t="shared" si="36"/>
        <v>20268</v>
      </c>
      <c r="H588" t="str">
        <f t="shared" si="37"/>
        <v>Akın AYAN</v>
      </c>
      <c r="I588" t="str">
        <f t="shared" si="38"/>
        <v>10G Otomotiv Elektromekanik</v>
      </c>
      <c r="J588" t="str">
        <f t="shared" si="39"/>
        <v>10G</v>
      </c>
    </row>
    <row r="589" spans="1:10" x14ac:dyDescent="0.25">
      <c r="A589" s="3">
        <v>43697094822</v>
      </c>
      <c r="B589" s="3" t="s">
        <v>664</v>
      </c>
      <c r="C589" s="3" t="s">
        <v>12</v>
      </c>
      <c r="D589" s="3" t="s">
        <v>240</v>
      </c>
      <c r="E589" s="3">
        <v>10</v>
      </c>
      <c r="F589" s="3" t="s">
        <v>166</v>
      </c>
      <c r="G589" s="4" t="str">
        <f t="shared" si="36"/>
        <v>94822</v>
      </c>
      <c r="H589" t="str">
        <f t="shared" si="37"/>
        <v>Ali Haydar ALİBAY</v>
      </c>
      <c r="I589" t="str">
        <f t="shared" si="38"/>
        <v>10F Otomotiv Elektromekanik</v>
      </c>
      <c r="J589" t="str">
        <f t="shared" si="39"/>
        <v>10F</v>
      </c>
    </row>
    <row r="590" spans="1:10" x14ac:dyDescent="0.25">
      <c r="A590" s="3">
        <v>64483034136</v>
      </c>
      <c r="B590" s="3" t="s">
        <v>665</v>
      </c>
      <c r="C590" s="3" t="s">
        <v>12</v>
      </c>
      <c r="D590" s="3" t="s">
        <v>240</v>
      </c>
      <c r="E590" s="3">
        <v>10</v>
      </c>
      <c r="F590" s="3" t="s">
        <v>642</v>
      </c>
      <c r="G590" s="4" t="str">
        <f t="shared" si="36"/>
        <v>34136</v>
      </c>
      <c r="H590" t="str">
        <f t="shared" si="37"/>
        <v>Ali Osman KARADENİZ</v>
      </c>
      <c r="I590" t="str">
        <f t="shared" si="38"/>
        <v>10İ Otomotiv Elektromekanik</v>
      </c>
      <c r="J590" t="str">
        <f t="shared" si="39"/>
        <v>10İ</v>
      </c>
    </row>
    <row r="591" spans="1:10" x14ac:dyDescent="0.25">
      <c r="A591" s="3">
        <v>23588765284</v>
      </c>
      <c r="B591" s="3" t="s">
        <v>666</v>
      </c>
      <c r="C591" s="3" t="s">
        <v>12</v>
      </c>
      <c r="D591" s="3" t="s">
        <v>240</v>
      </c>
      <c r="E591" s="3">
        <v>10</v>
      </c>
      <c r="F591" s="3" t="s">
        <v>642</v>
      </c>
      <c r="G591" s="4" t="str">
        <f t="shared" si="36"/>
        <v>65284</v>
      </c>
      <c r="H591" t="str">
        <f t="shared" si="37"/>
        <v>Arda ÇELEBİ</v>
      </c>
      <c r="I591" t="str">
        <f t="shared" si="38"/>
        <v>10İ Otomotiv Elektromekanik</v>
      </c>
      <c r="J591" t="str">
        <f t="shared" si="39"/>
        <v>10İ</v>
      </c>
    </row>
    <row r="592" spans="1:10" x14ac:dyDescent="0.25">
      <c r="A592" s="3">
        <v>45604663756</v>
      </c>
      <c r="B592" s="3" t="s">
        <v>667</v>
      </c>
      <c r="C592" s="3" t="s">
        <v>12</v>
      </c>
      <c r="D592" s="3" t="s">
        <v>240</v>
      </c>
      <c r="E592" s="3">
        <v>10</v>
      </c>
      <c r="F592" s="3" t="s">
        <v>166</v>
      </c>
      <c r="G592" s="4" t="str">
        <f t="shared" si="36"/>
        <v>63756</v>
      </c>
      <c r="H592" t="str">
        <f t="shared" si="37"/>
        <v>Arif Hasan KARAOĞLU</v>
      </c>
      <c r="I592" t="str">
        <f t="shared" si="38"/>
        <v>10F Otomotiv Elektromekanik</v>
      </c>
      <c r="J592" t="str">
        <f t="shared" si="39"/>
        <v>10F</v>
      </c>
    </row>
    <row r="593" spans="1:10" x14ac:dyDescent="0.25">
      <c r="A593" s="3">
        <v>20513689622</v>
      </c>
      <c r="B593" s="3" t="s">
        <v>668</v>
      </c>
      <c r="C593" s="3" t="s">
        <v>12</v>
      </c>
      <c r="D593" s="3" t="s">
        <v>240</v>
      </c>
      <c r="E593" s="3">
        <v>10</v>
      </c>
      <c r="F593" s="3" t="s">
        <v>55</v>
      </c>
      <c r="G593" s="4" t="str">
        <f t="shared" si="36"/>
        <v>89622</v>
      </c>
      <c r="H593" t="str">
        <f t="shared" si="37"/>
        <v>Atakan SEVGİ</v>
      </c>
      <c r="I593" t="str">
        <f t="shared" si="38"/>
        <v>10G Otomotiv Elektromekanik</v>
      </c>
      <c r="J593" t="str">
        <f t="shared" si="39"/>
        <v>10G</v>
      </c>
    </row>
    <row r="594" spans="1:10" x14ac:dyDescent="0.25">
      <c r="A594" s="3">
        <v>17897312222</v>
      </c>
      <c r="B594" s="3" t="s">
        <v>669</v>
      </c>
      <c r="C594" s="3" t="s">
        <v>12</v>
      </c>
      <c r="D594" s="3" t="s">
        <v>240</v>
      </c>
      <c r="E594" s="3">
        <v>10</v>
      </c>
      <c r="F594" s="3" t="s">
        <v>434</v>
      </c>
      <c r="G594" s="4" t="str">
        <f t="shared" si="36"/>
        <v>12222</v>
      </c>
      <c r="H594" t="str">
        <f t="shared" si="37"/>
        <v>Aytuğ ÇETİN</v>
      </c>
      <c r="I594" t="str">
        <f t="shared" si="38"/>
        <v>10K Otomotiv Elektromekanik</v>
      </c>
      <c r="J594" t="str">
        <f t="shared" si="39"/>
        <v>10K</v>
      </c>
    </row>
    <row r="595" spans="1:10" x14ac:dyDescent="0.25">
      <c r="A595" s="3">
        <v>33212136304</v>
      </c>
      <c r="B595" s="3" t="s">
        <v>670</v>
      </c>
      <c r="C595" s="3" t="s">
        <v>12</v>
      </c>
      <c r="D595" s="3" t="s">
        <v>240</v>
      </c>
      <c r="E595" s="3">
        <v>10</v>
      </c>
      <c r="F595" s="3" t="s">
        <v>642</v>
      </c>
      <c r="G595" s="4" t="str">
        <f t="shared" si="36"/>
        <v>36304</v>
      </c>
      <c r="H595" t="str">
        <f t="shared" si="37"/>
        <v>Baran YILDIRIM</v>
      </c>
      <c r="I595" t="str">
        <f t="shared" si="38"/>
        <v>10İ Otomotiv Elektromekanik</v>
      </c>
      <c r="J595" t="str">
        <f t="shared" si="39"/>
        <v>10İ</v>
      </c>
    </row>
    <row r="596" spans="1:10" x14ac:dyDescent="0.25">
      <c r="A596" s="3">
        <v>54490367020</v>
      </c>
      <c r="B596" s="3" t="s">
        <v>671</v>
      </c>
      <c r="C596" s="3" t="s">
        <v>12</v>
      </c>
      <c r="D596" s="3" t="s">
        <v>240</v>
      </c>
      <c r="E596" s="3">
        <v>10</v>
      </c>
      <c r="F596" s="3" t="s">
        <v>55</v>
      </c>
      <c r="G596" s="4" t="str">
        <f t="shared" si="36"/>
        <v>67020</v>
      </c>
      <c r="H596" t="str">
        <f t="shared" si="37"/>
        <v>Berat GÖKÇE</v>
      </c>
      <c r="I596" t="str">
        <f t="shared" si="38"/>
        <v>10G Otomotiv Elektromekanik</v>
      </c>
      <c r="J596" t="str">
        <f t="shared" si="39"/>
        <v>10G</v>
      </c>
    </row>
    <row r="597" spans="1:10" x14ac:dyDescent="0.25">
      <c r="A597" s="3">
        <v>40783824646</v>
      </c>
      <c r="B597" s="3" t="s">
        <v>672</v>
      </c>
      <c r="C597" s="3" t="s">
        <v>12</v>
      </c>
      <c r="D597" s="3" t="s">
        <v>240</v>
      </c>
      <c r="E597" s="3">
        <v>10</v>
      </c>
      <c r="F597" s="3" t="s">
        <v>438</v>
      </c>
      <c r="G597" s="4" t="str">
        <f t="shared" si="36"/>
        <v>24646</v>
      </c>
      <c r="H597" t="str">
        <f t="shared" si="37"/>
        <v>Berat YEGİN</v>
      </c>
      <c r="I597" t="str">
        <f t="shared" si="38"/>
        <v>10H Otomotiv Elektromekanik</v>
      </c>
      <c r="J597" t="str">
        <f t="shared" si="39"/>
        <v>10H</v>
      </c>
    </row>
    <row r="598" spans="1:10" x14ac:dyDescent="0.25">
      <c r="A598" s="3">
        <v>44687061916</v>
      </c>
      <c r="B598" s="3" t="s">
        <v>673</v>
      </c>
      <c r="C598" s="3" t="s">
        <v>12</v>
      </c>
      <c r="D598" s="3" t="s">
        <v>240</v>
      </c>
      <c r="E598" s="3">
        <v>10</v>
      </c>
      <c r="F598" s="3" t="s">
        <v>434</v>
      </c>
      <c r="G598" s="4" t="str">
        <f t="shared" si="36"/>
        <v>61916</v>
      </c>
      <c r="H598" t="str">
        <f t="shared" si="37"/>
        <v>Bünyamin YAĞIZ</v>
      </c>
      <c r="I598" t="str">
        <f t="shared" si="38"/>
        <v>10K Otomotiv Elektromekanik</v>
      </c>
      <c r="J598" t="str">
        <f t="shared" si="39"/>
        <v>10K</v>
      </c>
    </row>
    <row r="599" spans="1:10" x14ac:dyDescent="0.25">
      <c r="A599" s="3">
        <v>59710193410</v>
      </c>
      <c r="B599" s="3" t="s">
        <v>674</v>
      </c>
      <c r="C599" s="3" t="s">
        <v>12</v>
      </c>
      <c r="D599" s="3" t="s">
        <v>240</v>
      </c>
      <c r="E599" s="3">
        <v>10</v>
      </c>
      <c r="F599" s="3" t="s">
        <v>55</v>
      </c>
      <c r="G599" s="4" t="str">
        <f t="shared" si="36"/>
        <v>93410</v>
      </c>
      <c r="H599" t="str">
        <f t="shared" si="37"/>
        <v>Çınar ŞAHİN</v>
      </c>
      <c r="I599" t="str">
        <f t="shared" si="38"/>
        <v>10G Otomotiv Elektromekanik</v>
      </c>
      <c r="J599" t="str">
        <f t="shared" si="39"/>
        <v>10G</v>
      </c>
    </row>
    <row r="600" spans="1:10" x14ac:dyDescent="0.25">
      <c r="A600" s="3">
        <v>38089550154</v>
      </c>
      <c r="B600" s="3" t="s">
        <v>675</v>
      </c>
      <c r="C600" s="3" t="s">
        <v>12</v>
      </c>
      <c r="D600" s="3" t="s">
        <v>240</v>
      </c>
      <c r="E600" s="3">
        <v>10</v>
      </c>
      <c r="F600" s="3" t="s">
        <v>434</v>
      </c>
      <c r="G600" s="4" t="str">
        <f t="shared" si="36"/>
        <v>50154</v>
      </c>
      <c r="H600" t="str">
        <f t="shared" si="37"/>
        <v>Efe ARSLAN</v>
      </c>
      <c r="I600" t="str">
        <f t="shared" si="38"/>
        <v>10K Otomotiv Elektromekanik</v>
      </c>
      <c r="J600" t="str">
        <f t="shared" si="39"/>
        <v>10K</v>
      </c>
    </row>
    <row r="601" spans="1:10" x14ac:dyDescent="0.25">
      <c r="A601" s="3">
        <v>26933567854</v>
      </c>
      <c r="B601" s="3" t="s">
        <v>676</v>
      </c>
      <c r="C601" s="3" t="s">
        <v>12</v>
      </c>
      <c r="D601" s="3" t="s">
        <v>240</v>
      </c>
      <c r="E601" s="3">
        <v>10</v>
      </c>
      <c r="F601" s="3" t="s">
        <v>642</v>
      </c>
      <c r="G601" s="4" t="str">
        <f t="shared" si="36"/>
        <v>67854</v>
      </c>
      <c r="H601" t="str">
        <f t="shared" si="37"/>
        <v>Efecan ERMİŞ</v>
      </c>
      <c r="I601" t="str">
        <f t="shared" si="38"/>
        <v>10İ Otomotiv Elektromekanik</v>
      </c>
      <c r="J601" t="str">
        <f t="shared" si="39"/>
        <v>10İ</v>
      </c>
    </row>
    <row r="602" spans="1:10" x14ac:dyDescent="0.25">
      <c r="A602" s="3">
        <v>39898853542</v>
      </c>
      <c r="B602" s="3" t="s">
        <v>677</v>
      </c>
      <c r="C602" s="3" t="s">
        <v>12</v>
      </c>
      <c r="D602" s="3" t="s">
        <v>240</v>
      </c>
      <c r="E602" s="3">
        <v>10</v>
      </c>
      <c r="F602" s="3" t="s">
        <v>438</v>
      </c>
      <c r="G602" s="4" t="str">
        <f t="shared" si="36"/>
        <v>53542</v>
      </c>
      <c r="H602" t="str">
        <f t="shared" si="37"/>
        <v>Ege MUTLU</v>
      </c>
      <c r="I602" t="str">
        <f t="shared" si="38"/>
        <v>10H Otomotiv Elektromekanik</v>
      </c>
      <c r="J602" t="str">
        <f t="shared" si="39"/>
        <v>10H</v>
      </c>
    </row>
    <row r="603" spans="1:10" x14ac:dyDescent="0.25">
      <c r="A603" s="3">
        <v>20570620798</v>
      </c>
      <c r="B603" s="3" t="s">
        <v>678</v>
      </c>
      <c r="C603" s="3" t="s">
        <v>12</v>
      </c>
      <c r="D603" s="3" t="s">
        <v>240</v>
      </c>
      <c r="E603" s="3">
        <v>10</v>
      </c>
      <c r="F603" s="3" t="s">
        <v>438</v>
      </c>
      <c r="G603" s="4" t="str">
        <f t="shared" si="36"/>
        <v>20798</v>
      </c>
      <c r="H603" t="str">
        <f t="shared" si="37"/>
        <v>Elyesa KILIÇ</v>
      </c>
      <c r="I603" t="str">
        <f t="shared" si="38"/>
        <v>10H Otomotiv Elektromekanik</v>
      </c>
      <c r="J603" t="str">
        <f t="shared" si="39"/>
        <v>10H</v>
      </c>
    </row>
    <row r="604" spans="1:10" x14ac:dyDescent="0.25">
      <c r="A604" s="3">
        <v>30947152326</v>
      </c>
      <c r="B604" s="3" t="s">
        <v>679</v>
      </c>
      <c r="C604" s="3" t="s">
        <v>12</v>
      </c>
      <c r="D604" s="3" t="s">
        <v>240</v>
      </c>
      <c r="E604" s="3">
        <v>10</v>
      </c>
      <c r="F604" s="3" t="s">
        <v>642</v>
      </c>
      <c r="G604" s="4" t="str">
        <f t="shared" si="36"/>
        <v>52326</v>
      </c>
      <c r="H604" t="str">
        <f t="shared" si="37"/>
        <v>Emir Efe ERDOĞMUŞ</v>
      </c>
      <c r="I604" t="str">
        <f t="shared" si="38"/>
        <v>10İ Otomotiv Elektromekanik</v>
      </c>
      <c r="J604" t="str">
        <f t="shared" si="39"/>
        <v>10İ</v>
      </c>
    </row>
    <row r="605" spans="1:10" x14ac:dyDescent="0.25">
      <c r="A605" s="3">
        <v>18407570248</v>
      </c>
      <c r="B605" s="3" t="s">
        <v>680</v>
      </c>
      <c r="C605" s="3" t="s">
        <v>12</v>
      </c>
      <c r="D605" s="3" t="s">
        <v>240</v>
      </c>
      <c r="E605" s="3">
        <v>10</v>
      </c>
      <c r="F605" s="3" t="s">
        <v>642</v>
      </c>
      <c r="G605" s="4" t="str">
        <f t="shared" si="36"/>
        <v>70248</v>
      </c>
      <c r="H605" t="str">
        <f t="shared" si="37"/>
        <v>Emir Nevzat ŞENKAN</v>
      </c>
      <c r="I605" t="str">
        <f t="shared" si="38"/>
        <v>10İ Otomotiv Elektromekanik</v>
      </c>
      <c r="J605" t="str">
        <f t="shared" si="39"/>
        <v>10İ</v>
      </c>
    </row>
    <row r="606" spans="1:10" x14ac:dyDescent="0.25">
      <c r="A606" s="3">
        <v>51376839350</v>
      </c>
      <c r="B606" s="3" t="s">
        <v>681</v>
      </c>
      <c r="C606" s="3" t="s">
        <v>12</v>
      </c>
      <c r="D606" s="3" t="s">
        <v>240</v>
      </c>
      <c r="E606" s="3">
        <v>10</v>
      </c>
      <c r="F606" s="3" t="s">
        <v>642</v>
      </c>
      <c r="G606" s="4" t="str">
        <f t="shared" si="36"/>
        <v>39350</v>
      </c>
      <c r="H606" t="str">
        <f t="shared" si="37"/>
        <v>Enes TÜRKAY</v>
      </c>
      <c r="I606" t="str">
        <f t="shared" si="38"/>
        <v>10İ Otomotiv Elektromekanik</v>
      </c>
      <c r="J606" t="str">
        <f t="shared" si="39"/>
        <v>10İ</v>
      </c>
    </row>
    <row r="607" spans="1:10" x14ac:dyDescent="0.25">
      <c r="A607" s="3">
        <v>40618829402</v>
      </c>
      <c r="B607" s="3" t="s">
        <v>682</v>
      </c>
      <c r="C607" s="3" t="s">
        <v>12</v>
      </c>
      <c r="D607" s="3" t="s">
        <v>240</v>
      </c>
      <c r="E607" s="3">
        <v>10</v>
      </c>
      <c r="F607" s="3" t="s">
        <v>55</v>
      </c>
      <c r="G607" s="4" t="str">
        <f t="shared" si="36"/>
        <v>29402</v>
      </c>
      <c r="H607" t="str">
        <f t="shared" si="37"/>
        <v>Eren AKBULUT</v>
      </c>
      <c r="I607" t="str">
        <f t="shared" si="38"/>
        <v>10G Otomotiv Elektromekanik</v>
      </c>
      <c r="J607" t="str">
        <f t="shared" si="39"/>
        <v>10G</v>
      </c>
    </row>
    <row r="608" spans="1:10" x14ac:dyDescent="0.25">
      <c r="A608" s="3">
        <v>53260778042</v>
      </c>
      <c r="B608" s="3" t="s">
        <v>683</v>
      </c>
      <c r="C608" s="3" t="s">
        <v>12</v>
      </c>
      <c r="D608" s="3" t="s">
        <v>240</v>
      </c>
      <c r="E608" s="3">
        <v>10</v>
      </c>
      <c r="F608" s="3" t="s">
        <v>438</v>
      </c>
      <c r="G608" s="4" t="str">
        <f t="shared" si="36"/>
        <v>78042</v>
      </c>
      <c r="H608" t="str">
        <f t="shared" si="37"/>
        <v>Eren KÖYLÜ</v>
      </c>
      <c r="I608" t="str">
        <f t="shared" si="38"/>
        <v>10H Otomotiv Elektromekanik</v>
      </c>
      <c r="J608" t="str">
        <f t="shared" si="39"/>
        <v>10H</v>
      </c>
    </row>
    <row r="609" spans="1:10" x14ac:dyDescent="0.25">
      <c r="A609" s="3">
        <v>61609130512</v>
      </c>
      <c r="B609" s="3" t="s">
        <v>684</v>
      </c>
      <c r="C609" s="3" t="s">
        <v>12</v>
      </c>
      <c r="D609" s="3" t="s">
        <v>240</v>
      </c>
      <c r="E609" s="3">
        <v>10</v>
      </c>
      <c r="F609" s="3" t="s">
        <v>166</v>
      </c>
      <c r="G609" s="4" t="str">
        <f t="shared" si="36"/>
        <v>30512</v>
      </c>
      <c r="H609" t="str">
        <f t="shared" si="37"/>
        <v>Eren ÖZTÜRK</v>
      </c>
      <c r="I609" t="str">
        <f t="shared" si="38"/>
        <v>10F Otomotiv Elektromekanik</v>
      </c>
      <c r="J609" t="str">
        <f t="shared" si="39"/>
        <v>10F</v>
      </c>
    </row>
    <row r="610" spans="1:10" x14ac:dyDescent="0.25">
      <c r="A610" s="3">
        <v>43849722290</v>
      </c>
      <c r="B610" s="3" t="s">
        <v>685</v>
      </c>
      <c r="C610" s="3" t="s">
        <v>12</v>
      </c>
      <c r="D610" s="3" t="s">
        <v>240</v>
      </c>
      <c r="E610" s="3">
        <v>10</v>
      </c>
      <c r="F610" s="3" t="s">
        <v>166</v>
      </c>
      <c r="G610" s="4" t="str">
        <f t="shared" si="36"/>
        <v>22290</v>
      </c>
      <c r="H610" t="str">
        <f t="shared" si="37"/>
        <v>Fatih ÇAKIR</v>
      </c>
      <c r="I610" t="str">
        <f t="shared" si="38"/>
        <v>10F Otomotiv Elektromekanik</v>
      </c>
      <c r="J610" t="str">
        <f t="shared" si="39"/>
        <v>10F</v>
      </c>
    </row>
    <row r="611" spans="1:10" x14ac:dyDescent="0.25">
      <c r="A611" s="3">
        <v>35351005282</v>
      </c>
      <c r="B611" s="3" t="s">
        <v>686</v>
      </c>
      <c r="C611" s="3" t="s">
        <v>12</v>
      </c>
      <c r="D611" s="3" t="s">
        <v>240</v>
      </c>
      <c r="E611" s="3">
        <v>10</v>
      </c>
      <c r="F611" s="3" t="s">
        <v>55</v>
      </c>
      <c r="G611" s="4" t="str">
        <f t="shared" si="36"/>
        <v>05282</v>
      </c>
      <c r="H611" t="str">
        <f t="shared" si="37"/>
        <v>Halil Burak KARA</v>
      </c>
      <c r="I611" t="str">
        <f t="shared" si="38"/>
        <v>10G Otomotiv Elektromekanik</v>
      </c>
      <c r="J611" t="str">
        <f t="shared" si="39"/>
        <v>10G</v>
      </c>
    </row>
    <row r="612" spans="1:10" x14ac:dyDescent="0.25">
      <c r="A612" s="3">
        <v>14263478308</v>
      </c>
      <c r="B612" s="3" t="s">
        <v>687</v>
      </c>
      <c r="C612" s="3" t="s">
        <v>12</v>
      </c>
      <c r="D612" s="3" t="s">
        <v>240</v>
      </c>
      <c r="E612" s="3">
        <v>10</v>
      </c>
      <c r="F612" s="3" t="s">
        <v>55</v>
      </c>
      <c r="G612" s="4" t="str">
        <f t="shared" si="36"/>
        <v>78308</v>
      </c>
      <c r="H612" t="str">
        <f t="shared" si="37"/>
        <v>Hüsamettin KILIÇ</v>
      </c>
      <c r="I612" t="str">
        <f t="shared" si="38"/>
        <v>10G Otomotiv Elektromekanik</v>
      </c>
      <c r="J612" t="str">
        <f t="shared" si="39"/>
        <v>10G</v>
      </c>
    </row>
    <row r="613" spans="1:10" x14ac:dyDescent="0.25">
      <c r="A613" s="3">
        <v>61723125838</v>
      </c>
      <c r="B613" s="3" t="s">
        <v>688</v>
      </c>
      <c r="C613" s="3" t="s">
        <v>12</v>
      </c>
      <c r="D613" s="3" t="s">
        <v>240</v>
      </c>
      <c r="E613" s="3">
        <v>10</v>
      </c>
      <c r="F613" s="3" t="s">
        <v>55</v>
      </c>
      <c r="G613" s="4" t="str">
        <f t="shared" si="36"/>
        <v>25838</v>
      </c>
      <c r="H613" t="str">
        <f t="shared" si="37"/>
        <v>Hüzeyfe GÖKKAYA</v>
      </c>
      <c r="I613" t="str">
        <f t="shared" si="38"/>
        <v>10G Otomotiv Elektromekanik</v>
      </c>
      <c r="J613" t="str">
        <f t="shared" si="39"/>
        <v>10G</v>
      </c>
    </row>
    <row r="614" spans="1:10" x14ac:dyDescent="0.25">
      <c r="A614" s="3">
        <v>54847355168</v>
      </c>
      <c r="B614" s="3" t="s">
        <v>689</v>
      </c>
      <c r="C614" s="3" t="s">
        <v>12</v>
      </c>
      <c r="D614" s="3" t="s">
        <v>240</v>
      </c>
      <c r="E614" s="3">
        <v>10</v>
      </c>
      <c r="F614" s="3" t="s">
        <v>166</v>
      </c>
      <c r="G614" s="4" t="str">
        <f t="shared" si="36"/>
        <v>55168</v>
      </c>
      <c r="H614" t="str">
        <f t="shared" si="37"/>
        <v>İbrahim Halil SEZİKLİ</v>
      </c>
      <c r="I614" t="str">
        <f t="shared" si="38"/>
        <v>10F Otomotiv Elektromekanik</v>
      </c>
      <c r="J614" t="str">
        <f t="shared" si="39"/>
        <v>10F</v>
      </c>
    </row>
    <row r="615" spans="1:10" x14ac:dyDescent="0.25">
      <c r="A615" s="3">
        <v>50863548010</v>
      </c>
      <c r="B615" s="3" t="s">
        <v>690</v>
      </c>
      <c r="C615" s="3" t="s">
        <v>12</v>
      </c>
      <c r="D615" s="3" t="s">
        <v>240</v>
      </c>
      <c r="E615" s="3">
        <v>10</v>
      </c>
      <c r="F615" s="3" t="s">
        <v>166</v>
      </c>
      <c r="G615" s="4" t="str">
        <f t="shared" si="36"/>
        <v>48010</v>
      </c>
      <c r="H615" t="str">
        <f t="shared" si="37"/>
        <v>İshak UĞUZ</v>
      </c>
      <c r="I615" t="str">
        <f t="shared" si="38"/>
        <v>10F Otomotiv Elektromekanik</v>
      </c>
      <c r="J615" t="str">
        <f t="shared" si="39"/>
        <v>10F</v>
      </c>
    </row>
    <row r="616" spans="1:10" x14ac:dyDescent="0.25">
      <c r="A616" s="3">
        <v>29789190320</v>
      </c>
      <c r="B616" s="3" t="s">
        <v>691</v>
      </c>
      <c r="C616" s="3" t="s">
        <v>12</v>
      </c>
      <c r="D616" s="3" t="s">
        <v>240</v>
      </c>
      <c r="E616" s="3">
        <v>10</v>
      </c>
      <c r="F616" s="3" t="s">
        <v>438</v>
      </c>
      <c r="G616" s="4" t="str">
        <f t="shared" si="36"/>
        <v>90320</v>
      </c>
      <c r="H616" t="str">
        <f t="shared" si="37"/>
        <v>Kaan TEZEL</v>
      </c>
      <c r="I616" t="str">
        <f t="shared" si="38"/>
        <v>10H Otomotiv Elektromekanik</v>
      </c>
      <c r="J616" t="str">
        <f t="shared" si="39"/>
        <v>10H</v>
      </c>
    </row>
    <row r="617" spans="1:10" x14ac:dyDescent="0.25">
      <c r="A617" s="3">
        <v>30716347786</v>
      </c>
      <c r="B617" s="3" t="s">
        <v>692</v>
      </c>
      <c r="C617" s="3" t="s">
        <v>12</v>
      </c>
      <c r="D617" s="3" t="s">
        <v>240</v>
      </c>
      <c r="E617" s="3">
        <v>10</v>
      </c>
      <c r="F617" s="3" t="s">
        <v>642</v>
      </c>
      <c r="G617" s="4" t="str">
        <f t="shared" si="36"/>
        <v>47786</v>
      </c>
      <c r="H617" t="str">
        <f t="shared" si="37"/>
        <v>Kaancan BAŞARAN</v>
      </c>
      <c r="I617" t="str">
        <f t="shared" si="38"/>
        <v>10İ Otomotiv Elektromekanik</v>
      </c>
      <c r="J617" t="str">
        <f t="shared" si="39"/>
        <v>10İ</v>
      </c>
    </row>
    <row r="618" spans="1:10" x14ac:dyDescent="0.25">
      <c r="A618" s="3">
        <v>52387437986</v>
      </c>
      <c r="B618" s="3" t="s">
        <v>693</v>
      </c>
      <c r="C618" s="3" t="s">
        <v>12</v>
      </c>
      <c r="D618" s="3" t="s">
        <v>240</v>
      </c>
      <c r="E618" s="3">
        <v>10</v>
      </c>
      <c r="F618" s="3" t="s">
        <v>438</v>
      </c>
      <c r="G618" s="4" t="str">
        <f t="shared" si="36"/>
        <v>37986</v>
      </c>
      <c r="H618" t="str">
        <f t="shared" si="37"/>
        <v>Kadir YAVUZ</v>
      </c>
      <c r="I618" t="str">
        <f t="shared" si="38"/>
        <v>10H Otomotiv Elektromekanik</v>
      </c>
      <c r="J618" t="str">
        <f t="shared" si="39"/>
        <v>10H</v>
      </c>
    </row>
    <row r="619" spans="1:10" x14ac:dyDescent="0.25">
      <c r="A619" s="3">
        <v>40609829794</v>
      </c>
      <c r="B619" s="3" t="s">
        <v>694</v>
      </c>
      <c r="C619" s="3" t="s">
        <v>12</v>
      </c>
      <c r="D619" s="3" t="s">
        <v>240</v>
      </c>
      <c r="E619" s="3">
        <v>10</v>
      </c>
      <c r="F619" s="3" t="s">
        <v>642</v>
      </c>
      <c r="G619" s="4" t="str">
        <f t="shared" si="36"/>
        <v>29794</v>
      </c>
      <c r="H619" t="str">
        <f t="shared" si="37"/>
        <v>Kenan KURT</v>
      </c>
      <c r="I619" t="str">
        <f t="shared" si="38"/>
        <v>10İ Otomotiv Elektromekanik</v>
      </c>
      <c r="J619" t="str">
        <f t="shared" si="39"/>
        <v>10İ</v>
      </c>
    </row>
    <row r="620" spans="1:10" x14ac:dyDescent="0.25">
      <c r="A620" s="3">
        <v>54322373694</v>
      </c>
      <c r="B620" s="3" t="s">
        <v>695</v>
      </c>
      <c r="C620" s="3" t="s">
        <v>12</v>
      </c>
      <c r="D620" s="3" t="s">
        <v>240</v>
      </c>
      <c r="E620" s="3">
        <v>10</v>
      </c>
      <c r="F620" s="3" t="s">
        <v>55</v>
      </c>
      <c r="G620" s="4" t="str">
        <f t="shared" si="36"/>
        <v>73694</v>
      </c>
      <c r="H620" t="str">
        <f t="shared" si="37"/>
        <v>Kerem KUĞUMCU</v>
      </c>
      <c r="I620" t="str">
        <f t="shared" si="38"/>
        <v>10G Otomotiv Elektromekanik</v>
      </c>
      <c r="J620" t="str">
        <f t="shared" si="39"/>
        <v>10G</v>
      </c>
    </row>
    <row r="621" spans="1:10" x14ac:dyDescent="0.25">
      <c r="A621" s="3">
        <v>43486846014</v>
      </c>
      <c r="B621" s="3" t="s">
        <v>696</v>
      </c>
      <c r="C621" s="3" t="s">
        <v>12</v>
      </c>
      <c r="D621" s="3" t="s">
        <v>240</v>
      </c>
      <c r="E621" s="3">
        <v>10</v>
      </c>
      <c r="F621" s="3" t="s">
        <v>55</v>
      </c>
      <c r="G621" s="4" t="str">
        <f t="shared" si="36"/>
        <v>46014</v>
      </c>
      <c r="H621" t="str">
        <f t="shared" si="37"/>
        <v>Kuzey BAYAR</v>
      </c>
      <c r="I621" t="str">
        <f t="shared" si="38"/>
        <v>10G Otomotiv Elektromekanik</v>
      </c>
      <c r="J621" t="str">
        <f t="shared" si="39"/>
        <v>10G</v>
      </c>
    </row>
    <row r="622" spans="1:10" x14ac:dyDescent="0.25">
      <c r="A622" s="3">
        <v>58687228118</v>
      </c>
      <c r="B622" s="3" t="s">
        <v>697</v>
      </c>
      <c r="C622" s="3" t="s">
        <v>12</v>
      </c>
      <c r="D622" s="3" t="s">
        <v>240</v>
      </c>
      <c r="E622" s="3">
        <v>10</v>
      </c>
      <c r="F622" s="3" t="s">
        <v>166</v>
      </c>
      <c r="G622" s="4" t="str">
        <f t="shared" si="36"/>
        <v>28118</v>
      </c>
      <c r="H622" t="str">
        <f t="shared" si="37"/>
        <v>Mehmet Can ŞAYIP</v>
      </c>
      <c r="I622" t="str">
        <f t="shared" si="38"/>
        <v>10F Otomotiv Elektromekanik</v>
      </c>
      <c r="J622" t="str">
        <f t="shared" si="39"/>
        <v>10F</v>
      </c>
    </row>
    <row r="623" spans="1:10" x14ac:dyDescent="0.25">
      <c r="A623" s="3">
        <v>33650430262</v>
      </c>
      <c r="B623" s="3" t="s">
        <v>698</v>
      </c>
      <c r="C623" s="3" t="s">
        <v>12</v>
      </c>
      <c r="D623" s="3" t="s">
        <v>240</v>
      </c>
      <c r="E623" s="3">
        <v>10</v>
      </c>
      <c r="F623" s="3" t="s">
        <v>166</v>
      </c>
      <c r="G623" s="4" t="str">
        <f t="shared" si="36"/>
        <v>30262</v>
      </c>
      <c r="H623" t="str">
        <f t="shared" si="37"/>
        <v>Mert Ali BAYLAN</v>
      </c>
      <c r="I623" t="str">
        <f t="shared" si="38"/>
        <v>10F Otomotiv Elektromekanik</v>
      </c>
      <c r="J623" t="str">
        <f t="shared" si="39"/>
        <v>10F</v>
      </c>
    </row>
    <row r="624" spans="1:10" x14ac:dyDescent="0.25">
      <c r="A624" s="3">
        <v>18338572052</v>
      </c>
      <c r="B624" s="3" t="s">
        <v>699</v>
      </c>
      <c r="C624" s="3" t="s">
        <v>12</v>
      </c>
      <c r="D624" s="3" t="s">
        <v>240</v>
      </c>
      <c r="E624" s="3">
        <v>10</v>
      </c>
      <c r="F624" s="3" t="s">
        <v>166</v>
      </c>
      <c r="G624" s="4" t="str">
        <f t="shared" si="36"/>
        <v>72052</v>
      </c>
      <c r="H624" t="str">
        <f t="shared" si="37"/>
        <v>Mert TAŞKIN</v>
      </c>
      <c r="I624" t="str">
        <f t="shared" si="38"/>
        <v>10F Otomotiv Elektromekanik</v>
      </c>
      <c r="J624" t="str">
        <f t="shared" si="39"/>
        <v>10F</v>
      </c>
    </row>
    <row r="625" spans="1:10" x14ac:dyDescent="0.25">
      <c r="A625" s="3">
        <v>39706860076</v>
      </c>
      <c r="B625" s="3" t="s">
        <v>700</v>
      </c>
      <c r="C625" s="3" t="s">
        <v>12</v>
      </c>
      <c r="D625" s="3" t="s">
        <v>240</v>
      </c>
      <c r="E625" s="3">
        <v>10</v>
      </c>
      <c r="F625" s="3" t="s">
        <v>642</v>
      </c>
      <c r="G625" s="4" t="str">
        <f t="shared" si="36"/>
        <v>60076</v>
      </c>
      <c r="H625" t="str">
        <f t="shared" si="37"/>
        <v>Metehan ÇİÇEK</v>
      </c>
      <c r="I625" t="str">
        <f t="shared" si="38"/>
        <v>10İ Otomotiv Elektromekanik</v>
      </c>
      <c r="J625" t="str">
        <f t="shared" si="39"/>
        <v>10İ</v>
      </c>
    </row>
    <row r="626" spans="1:10" x14ac:dyDescent="0.25">
      <c r="A626" s="3">
        <v>14981937552</v>
      </c>
      <c r="B626" s="3" t="s">
        <v>701</v>
      </c>
      <c r="C626" s="3" t="s">
        <v>12</v>
      </c>
      <c r="D626" s="3" t="s">
        <v>240</v>
      </c>
      <c r="E626" s="3">
        <v>10</v>
      </c>
      <c r="F626" s="3" t="s">
        <v>166</v>
      </c>
      <c r="G626" s="4" t="str">
        <f t="shared" si="36"/>
        <v>37552</v>
      </c>
      <c r="H626" t="str">
        <f t="shared" si="37"/>
        <v>Muhammed Berat EŞUT</v>
      </c>
      <c r="I626" t="str">
        <f t="shared" si="38"/>
        <v>10F Otomotiv Elektromekanik</v>
      </c>
      <c r="J626" t="str">
        <f t="shared" si="39"/>
        <v>10F</v>
      </c>
    </row>
    <row r="627" spans="1:10" x14ac:dyDescent="0.25">
      <c r="A627" s="3">
        <v>20107281348</v>
      </c>
      <c r="B627" s="3" t="s">
        <v>702</v>
      </c>
      <c r="C627" s="3" t="s">
        <v>12</v>
      </c>
      <c r="D627" s="3" t="s">
        <v>240</v>
      </c>
      <c r="E627" s="3">
        <v>10</v>
      </c>
      <c r="F627" s="3" t="s">
        <v>434</v>
      </c>
      <c r="G627" s="4" t="str">
        <f t="shared" si="36"/>
        <v>81348</v>
      </c>
      <c r="H627" t="str">
        <f t="shared" si="37"/>
        <v>Muhammed Emin BABAN</v>
      </c>
      <c r="I627" t="str">
        <f t="shared" si="38"/>
        <v>10K Otomotiv Elektromekanik</v>
      </c>
      <c r="J627" t="str">
        <f t="shared" si="39"/>
        <v>10K</v>
      </c>
    </row>
    <row r="628" spans="1:10" x14ac:dyDescent="0.25">
      <c r="A628" s="3">
        <v>26012567638</v>
      </c>
      <c r="B628" s="3" t="s">
        <v>703</v>
      </c>
      <c r="C628" s="3" t="s">
        <v>12</v>
      </c>
      <c r="D628" s="3" t="s">
        <v>240</v>
      </c>
      <c r="E628" s="3">
        <v>10</v>
      </c>
      <c r="F628" s="3" t="s">
        <v>166</v>
      </c>
      <c r="G628" s="4" t="str">
        <f t="shared" si="36"/>
        <v>67638</v>
      </c>
      <c r="H628" t="str">
        <f t="shared" si="37"/>
        <v>Muhammed Sait KAYA</v>
      </c>
      <c r="I628" t="str">
        <f t="shared" si="38"/>
        <v>10F Otomotiv Elektromekanik</v>
      </c>
      <c r="J628" t="str">
        <f t="shared" si="39"/>
        <v>10F</v>
      </c>
    </row>
    <row r="629" spans="1:10" x14ac:dyDescent="0.25">
      <c r="A629" s="3">
        <v>47911586810</v>
      </c>
      <c r="B629" s="3" t="s">
        <v>704</v>
      </c>
      <c r="C629" s="3" t="s">
        <v>12</v>
      </c>
      <c r="D629" s="3" t="s">
        <v>240</v>
      </c>
      <c r="E629" s="3">
        <v>10</v>
      </c>
      <c r="F629" s="3" t="s">
        <v>438</v>
      </c>
      <c r="G629" s="4" t="str">
        <f t="shared" si="36"/>
        <v>86810</v>
      </c>
      <c r="H629" t="str">
        <f t="shared" si="37"/>
        <v>Muhammed SIRÇANCI</v>
      </c>
      <c r="I629" t="str">
        <f t="shared" si="38"/>
        <v>10H Otomotiv Elektromekanik</v>
      </c>
      <c r="J629" t="str">
        <f t="shared" si="39"/>
        <v>10H</v>
      </c>
    </row>
    <row r="630" spans="1:10" x14ac:dyDescent="0.25">
      <c r="A630" s="3">
        <v>40891821148</v>
      </c>
      <c r="B630" s="3" t="s">
        <v>705</v>
      </c>
      <c r="C630" s="3" t="s">
        <v>12</v>
      </c>
      <c r="D630" s="3" t="s">
        <v>240</v>
      </c>
      <c r="E630" s="3">
        <v>10</v>
      </c>
      <c r="F630" s="3" t="s">
        <v>55</v>
      </c>
      <c r="G630" s="4" t="str">
        <f t="shared" si="36"/>
        <v>21148</v>
      </c>
      <c r="H630" t="str">
        <f t="shared" si="37"/>
        <v>Muhammet Emin GÖREN</v>
      </c>
      <c r="I630" t="str">
        <f t="shared" si="38"/>
        <v>10G Otomotiv Elektromekanik</v>
      </c>
      <c r="J630" t="str">
        <f t="shared" si="39"/>
        <v>10G</v>
      </c>
    </row>
    <row r="631" spans="1:10" x14ac:dyDescent="0.25">
      <c r="A631" s="3">
        <v>55864321532</v>
      </c>
      <c r="B631" s="3" t="s">
        <v>706</v>
      </c>
      <c r="C631" s="3" t="s">
        <v>12</v>
      </c>
      <c r="D631" s="3" t="s">
        <v>240</v>
      </c>
      <c r="E631" s="3">
        <v>10</v>
      </c>
      <c r="F631" s="3" t="s">
        <v>438</v>
      </c>
      <c r="G631" s="4" t="str">
        <f t="shared" si="36"/>
        <v>21532</v>
      </c>
      <c r="H631" t="str">
        <f t="shared" si="37"/>
        <v>Muhammet Hüseyin DEMİR</v>
      </c>
      <c r="I631" t="str">
        <f t="shared" si="38"/>
        <v>10H Otomotiv Elektromekanik</v>
      </c>
      <c r="J631" t="str">
        <f t="shared" si="39"/>
        <v>10H</v>
      </c>
    </row>
    <row r="632" spans="1:10" x14ac:dyDescent="0.25">
      <c r="A632" s="3">
        <v>25757483562</v>
      </c>
      <c r="B632" s="3" t="s">
        <v>707</v>
      </c>
      <c r="C632" s="3" t="s">
        <v>12</v>
      </c>
      <c r="D632" s="3" t="s">
        <v>240</v>
      </c>
      <c r="E632" s="3">
        <v>10</v>
      </c>
      <c r="F632" s="3" t="s">
        <v>434</v>
      </c>
      <c r="G632" s="4" t="str">
        <f t="shared" si="36"/>
        <v>83562</v>
      </c>
      <c r="H632" t="str">
        <f t="shared" si="37"/>
        <v>Muhammet İNAN</v>
      </c>
      <c r="I632" t="str">
        <f t="shared" si="38"/>
        <v>10K Otomotiv Elektromekanik</v>
      </c>
      <c r="J632" t="str">
        <f t="shared" si="39"/>
        <v>10K</v>
      </c>
    </row>
    <row r="633" spans="1:10" x14ac:dyDescent="0.25">
      <c r="A633" s="3">
        <v>48763928254</v>
      </c>
      <c r="B633" s="3" t="s">
        <v>708</v>
      </c>
      <c r="C633" s="3" t="s">
        <v>12</v>
      </c>
      <c r="D633" s="3" t="s">
        <v>240</v>
      </c>
      <c r="E633" s="3">
        <v>10</v>
      </c>
      <c r="F633" s="3" t="s">
        <v>55</v>
      </c>
      <c r="G633" s="4" t="str">
        <f t="shared" si="36"/>
        <v>28254</v>
      </c>
      <c r="H633" t="str">
        <f t="shared" si="37"/>
        <v>Muhammet Mustafa YILDIZ</v>
      </c>
      <c r="I633" t="str">
        <f t="shared" si="38"/>
        <v>10G Otomotiv Elektromekanik</v>
      </c>
      <c r="J633" t="str">
        <f t="shared" si="39"/>
        <v>10G</v>
      </c>
    </row>
    <row r="634" spans="1:10" x14ac:dyDescent="0.25">
      <c r="A634" s="3">
        <v>43264899904</v>
      </c>
      <c r="B634" s="3" t="s">
        <v>709</v>
      </c>
      <c r="C634" s="3" t="s">
        <v>12</v>
      </c>
      <c r="D634" s="3" t="s">
        <v>240</v>
      </c>
      <c r="E634" s="3">
        <v>10</v>
      </c>
      <c r="F634" s="3" t="s">
        <v>55</v>
      </c>
      <c r="G634" s="4" t="str">
        <f t="shared" si="36"/>
        <v>99904</v>
      </c>
      <c r="H634" t="str">
        <f t="shared" si="37"/>
        <v>Muharrem TEKE</v>
      </c>
      <c r="I634" t="str">
        <f t="shared" si="38"/>
        <v>10G Otomotiv Elektromekanik</v>
      </c>
      <c r="J634" t="str">
        <f t="shared" si="39"/>
        <v>10G</v>
      </c>
    </row>
    <row r="635" spans="1:10" x14ac:dyDescent="0.25">
      <c r="A635" s="3">
        <v>44779751374</v>
      </c>
      <c r="B635" s="3" t="s">
        <v>710</v>
      </c>
      <c r="C635" s="3" t="s">
        <v>12</v>
      </c>
      <c r="D635" s="3" t="s">
        <v>240</v>
      </c>
      <c r="E635" s="3">
        <v>10</v>
      </c>
      <c r="F635" s="3" t="s">
        <v>166</v>
      </c>
      <c r="G635" s="4" t="str">
        <f t="shared" si="36"/>
        <v>51374</v>
      </c>
      <c r="H635" t="str">
        <f t="shared" si="37"/>
        <v>Murat YOLDAŞ</v>
      </c>
      <c r="I635" t="str">
        <f t="shared" si="38"/>
        <v>10F Otomotiv Elektromekanik</v>
      </c>
      <c r="J635" t="str">
        <f t="shared" si="39"/>
        <v>10F</v>
      </c>
    </row>
    <row r="636" spans="1:10" x14ac:dyDescent="0.25">
      <c r="A636" s="3">
        <v>54112380284</v>
      </c>
      <c r="B636" s="3" t="s">
        <v>711</v>
      </c>
      <c r="C636" s="3" t="s">
        <v>12</v>
      </c>
      <c r="D636" s="3" t="s">
        <v>240</v>
      </c>
      <c r="E636" s="3">
        <v>10</v>
      </c>
      <c r="F636" s="3" t="s">
        <v>166</v>
      </c>
      <c r="G636" s="4" t="str">
        <f t="shared" si="36"/>
        <v>80284</v>
      </c>
      <c r="H636" t="str">
        <f t="shared" si="37"/>
        <v>Mustafa Cesur NARİN</v>
      </c>
      <c r="I636" t="str">
        <f t="shared" si="38"/>
        <v>10F Otomotiv Elektromekanik</v>
      </c>
      <c r="J636" t="str">
        <f t="shared" si="39"/>
        <v>10F</v>
      </c>
    </row>
    <row r="637" spans="1:10" x14ac:dyDescent="0.25">
      <c r="A637" s="3">
        <v>23288648450</v>
      </c>
      <c r="B637" s="3" t="s">
        <v>712</v>
      </c>
      <c r="C637" s="3" t="s">
        <v>12</v>
      </c>
      <c r="D637" s="3" t="s">
        <v>240</v>
      </c>
      <c r="E637" s="3">
        <v>10</v>
      </c>
      <c r="F637" s="3" t="s">
        <v>434</v>
      </c>
      <c r="G637" s="4" t="str">
        <f t="shared" si="36"/>
        <v>48450</v>
      </c>
      <c r="H637" t="str">
        <f t="shared" si="37"/>
        <v>Müslüm ÇOBAN</v>
      </c>
      <c r="I637" t="str">
        <f t="shared" si="38"/>
        <v>10K Otomotiv Elektromekanik</v>
      </c>
      <c r="J637" t="str">
        <f t="shared" si="39"/>
        <v>10K</v>
      </c>
    </row>
    <row r="638" spans="1:10" x14ac:dyDescent="0.25">
      <c r="A638" s="3">
        <v>56698293996</v>
      </c>
      <c r="B638" s="3" t="s">
        <v>713</v>
      </c>
      <c r="C638" s="3" t="s">
        <v>12</v>
      </c>
      <c r="D638" s="3" t="s">
        <v>240</v>
      </c>
      <c r="E638" s="3">
        <v>10</v>
      </c>
      <c r="F638" s="3" t="s">
        <v>642</v>
      </c>
      <c r="G638" s="4" t="str">
        <f t="shared" si="36"/>
        <v>93996</v>
      </c>
      <c r="H638" t="str">
        <f t="shared" si="37"/>
        <v>Ömer ALTAY</v>
      </c>
      <c r="I638" t="str">
        <f t="shared" si="38"/>
        <v>10İ Otomotiv Elektromekanik</v>
      </c>
      <c r="J638" t="str">
        <f t="shared" si="39"/>
        <v>10İ</v>
      </c>
    </row>
    <row r="639" spans="1:10" x14ac:dyDescent="0.25">
      <c r="A639" s="3">
        <v>32267107840</v>
      </c>
      <c r="B639" s="3" t="s">
        <v>714</v>
      </c>
      <c r="C639" s="3" t="s">
        <v>12</v>
      </c>
      <c r="D639" s="3" t="s">
        <v>240</v>
      </c>
      <c r="E639" s="3">
        <v>10</v>
      </c>
      <c r="F639" s="3" t="s">
        <v>434</v>
      </c>
      <c r="G639" s="4" t="str">
        <f t="shared" si="36"/>
        <v>07840</v>
      </c>
      <c r="H639" t="str">
        <f t="shared" si="37"/>
        <v>Ömer BENLİ</v>
      </c>
      <c r="I639" t="str">
        <f t="shared" si="38"/>
        <v>10K Otomotiv Elektromekanik</v>
      </c>
      <c r="J639" t="str">
        <f t="shared" si="39"/>
        <v>10K</v>
      </c>
    </row>
    <row r="640" spans="1:10" x14ac:dyDescent="0.25">
      <c r="A640" s="3">
        <v>25304340416</v>
      </c>
      <c r="B640" s="3" t="s">
        <v>715</v>
      </c>
      <c r="C640" s="3" t="s">
        <v>12</v>
      </c>
      <c r="D640" s="3" t="s">
        <v>240</v>
      </c>
      <c r="E640" s="3">
        <v>10</v>
      </c>
      <c r="F640" s="3" t="s">
        <v>166</v>
      </c>
      <c r="G640" s="4" t="str">
        <f t="shared" si="36"/>
        <v>40416</v>
      </c>
      <c r="H640" t="str">
        <f t="shared" si="37"/>
        <v>Ömer Efe FİLİZ</v>
      </c>
      <c r="I640" t="str">
        <f t="shared" si="38"/>
        <v>10F Otomotiv Elektromekanik</v>
      </c>
      <c r="J640" t="str">
        <f t="shared" si="39"/>
        <v>10F</v>
      </c>
    </row>
    <row r="641" spans="1:10" x14ac:dyDescent="0.25">
      <c r="A641" s="3">
        <v>37253311690</v>
      </c>
      <c r="B641" s="3" t="s">
        <v>716</v>
      </c>
      <c r="C641" s="3" t="s">
        <v>12</v>
      </c>
      <c r="D641" s="3" t="s">
        <v>240</v>
      </c>
      <c r="E641" s="3">
        <v>10</v>
      </c>
      <c r="F641" s="3" t="s">
        <v>717</v>
      </c>
      <c r="G641" s="4" t="str">
        <f t="shared" si="36"/>
        <v>11690</v>
      </c>
      <c r="H641" t="str">
        <f t="shared" si="37"/>
        <v>Ömer Kerem YAKIN</v>
      </c>
      <c r="I641" t="str">
        <f t="shared" si="38"/>
        <v>10N Otomotiv Elektromekanik</v>
      </c>
      <c r="J641" t="str">
        <f t="shared" si="39"/>
        <v>10N</v>
      </c>
    </row>
    <row r="642" spans="1:10" x14ac:dyDescent="0.25">
      <c r="A642" s="3">
        <v>21278841676</v>
      </c>
      <c r="B642" s="3" t="s">
        <v>718</v>
      </c>
      <c r="C642" s="3" t="s">
        <v>12</v>
      </c>
      <c r="D642" s="3" t="s">
        <v>240</v>
      </c>
      <c r="E642" s="3">
        <v>10</v>
      </c>
      <c r="F642" s="3" t="s">
        <v>434</v>
      </c>
      <c r="G642" s="4" t="str">
        <f t="shared" si="36"/>
        <v>41676</v>
      </c>
      <c r="H642" t="str">
        <f t="shared" si="37"/>
        <v>Ömer TAŞ</v>
      </c>
      <c r="I642" t="str">
        <f t="shared" si="38"/>
        <v>10K Otomotiv Elektromekanik</v>
      </c>
      <c r="J642" t="str">
        <f t="shared" si="39"/>
        <v>10K</v>
      </c>
    </row>
    <row r="643" spans="1:10" x14ac:dyDescent="0.25">
      <c r="A643" s="3">
        <v>61414322058</v>
      </c>
      <c r="B643" s="3" t="s">
        <v>719</v>
      </c>
      <c r="C643" s="3" t="s">
        <v>12</v>
      </c>
      <c r="D643" s="3" t="s">
        <v>240</v>
      </c>
      <c r="E643" s="3">
        <v>10</v>
      </c>
      <c r="F643" s="3" t="s">
        <v>434</v>
      </c>
      <c r="G643" s="4" t="str">
        <f t="shared" si="36"/>
        <v>22058</v>
      </c>
      <c r="H643" t="str">
        <f t="shared" si="37"/>
        <v>Ömer TUNÇ</v>
      </c>
      <c r="I643" t="str">
        <f t="shared" si="38"/>
        <v>10K Otomotiv Elektromekanik</v>
      </c>
      <c r="J643" t="str">
        <f t="shared" si="39"/>
        <v>10K</v>
      </c>
    </row>
    <row r="644" spans="1:10" x14ac:dyDescent="0.25">
      <c r="A644" s="3">
        <v>38521899612</v>
      </c>
      <c r="B644" s="3" t="s">
        <v>720</v>
      </c>
      <c r="C644" s="3" t="s">
        <v>12</v>
      </c>
      <c r="D644" s="3" t="s">
        <v>240</v>
      </c>
      <c r="E644" s="3">
        <v>10</v>
      </c>
      <c r="F644" s="3" t="s">
        <v>438</v>
      </c>
      <c r="G644" s="4" t="str">
        <f t="shared" si="36"/>
        <v>99612</v>
      </c>
      <c r="H644" t="str">
        <f t="shared" si="37"/>
        <v>Polat ÇINAR</v>
      </c>
      <c r="I644" t="str">
        <f t="shared" si="38"/>
        <v>10H Otomotiv Elektromekanik</v>
      </c>
      <c r="J644" t="str">
        <f t="shared" si="39"/>
        <v>10H</v>
      </c>
    </row>
    <row r="645" spans="1:10" x14ac:dyDescent="0.25">
      <c r="A645" s="3">
        <v>11986592236</v>
      </c>
      <c r="B645" s="3" t="s">
        <v>721</v>
      </c>
      <c r="C645" s="3" t="s">
        <v>12</v>
      </c>
      <c r="D645" s="3" t="s">
        <v>240</v>
      </c>
      <c r="E645" s="3">
        <v>10</v>
      </c>
      <c r="F645" s="3" t="s">
        <v>438</v>
      </c>
      <c r="G645" s="4" t="str">
        <f t="shared" ref="G645:G708" si="40">RIGHT(A645,5)</f>
        <v>92236</v>
      </c>
      <c r="H645" t="str">
        <f t="shared" ref="H645:H708" si="41">B645</f>
        <v>Poyraz Ali ÇAĞLAK</v>
      </c>
      <c r="I645" t="str">
        <f t="shared" ref="I645:I708" si="42">CONCATENATE(E645,F645," ",D645)</f>
        <v>10H Otomotiv Elektromekanik</v>
      </c>
      <c r="J645" t="str">
        <f t="shared" ref="J645:J708" si="43">LEFT(I645,3)</f>
        <v>10H</v>
      </c>
    </row>
    <row r="646" spans="1:10" x14ac:dyDescent="0.25">
      <c r="A646" s="3">
        <v>54925018206</v>
      </c>
      <c r="B646" s="3" t="s">
        <v>722</v>
      </c>
      <c r="C646" s="3" t="s">
        <v>12</v>
      </c>
      <c r="D646" s="3" t="s">
        <v>240</v>
      </c>
      <c r="E646" s="3">
        <v>10</v>
      </c>
      <c r="F646" s="3" t="s">
        <v>642</v>
      </c>
      <c r="G646" s="4" t="str">
        <f t="shared" si="40"/>
        <v>18206</v>
      </c>
      <c r="H646" t="str">
        <f t="shared" si="41"/>
        <v>Ramazan TAŞGIN</v>
      </c>
      <c r="I646" t="str">
        <f t="shared" si="42"/>
        <v>10İ Otomotiv Elektromekanik</v>
      </c>
      <c r="J646" t="str">
        <f t="shared" si="43"/>
        <v>10İ</v>
      </c>
    </row>
    <row r="647" spans="1:10" x14ac:dyDescent="0.25">
      <c r="A647" s="3">
        <v>59359205154</v>
      </c>
      <c r="B647" s="3" t="s">
        <v>723</v>
      </c>
      <c r="C647" s="3" t="s">
        <v>12</v>
      </c>
      <c r="D647" s="3" t="s">
        <v>240</v>
      </c>
      <c r="E647" s="3">
        <v>10</v>
      </c>
      <c r="F647" s="3" t="s">
        <v>642</v>
      </c>
      <c r="G647" s="4" t="str">
        <f t="shared" si="40"/>
        <v>05154</v>
      </c>
      <c r="H647" t="str">
        <f t="shared" si="41"/>
        <v>Recep Tayyip KAYA</v>
      </c>
      <c r="I647" t="str">
        <f t="shared" si="42"/>
        <v>10İ Otomotiv Elektromekanik</v>
      </c>
      <c r="J647" t="str">
        <f t="shared" si="43"/>
        <v>10İ</v>
      </c>
    </row>
    <row r="648" spans="1:10" x14ac:dyDescent="0.25">
      <c r="A648" s="3">
        <v>28249967670</v>
      </c>
      <c r="B648" s="3" t="s">
        <v>724</v>
      </c>
      <c r="C648" s="3" t="s">
        <v>12</v>
      </c>
      <c r="D648" s="3" t="s">
        <v>240</v>
      </c>
      <c r="E648" s="3">
        <v>10</v>
      </c>
      <c r="F648" s="3" t="s">
        <v>438</v>
      </c>
      <c r="G648" s="4" t="str">
        <f t="shared" si="40"/>
        <v>67670</v>
      </c>
      <c r="H648" t="str">
        <f t="shared" si="41"/>
        <v>Recep TÜRKKAN</v>
      </c>
      <c r="I648" t="str">
        <f t="shared" si="42"/>
        <v>10H Otomotiv Elektromekanik</v>
      </c>
      <c r="J648" t="str">
        <f t="shared" si="43"/>
        <v>10H</v>
      </c>
    </row>
    <row r="649" spans="1:10" x14ac:dyDescent="0.25">
      <c r="A649" s="3">
        <v>37897982744</v>
      </c>
      <c r="B649" s="3" t="s">
        <v>725</v>
      </c>
      <c r="C649" s="3" t="s">
        <v>12</v>
      </c>
      <c r="D649" s="3" t="s">
        <v>240</v>
      </c>
      <c r="E649" s="3">
        <v>10</v>
      </c>
      <c r="F649" s="3" t="s">
        <v>438</v>
      </c>
      <c r="G649" s="4" t="str">
        <f t="shared" si="40"/>
        <v>82744</v>
      </c>
      <c r="H649" t="str">
        <f t="shared" si="41"/>
        <v>Rojhat GÜNGÜR</v>
      </c>
      <c r="I649" t="str">
        <f t="shared" si="42"/>
        <v>10H Otomotiv Elektromekanik</v>
      </c>
      <c r="J649" t="str">
        <f t="shared" si="43"/>
        <v>10H</v>
      </c>
    </row>
    <row r="650" spans="1:10" x14ac:dyDescent="0.25">
      <c r="A650" s="3">
        <v>11382172476</v>
      </c>
      <c r="B650" s="3" t="s">
        <v>726</v>
      </c>
      <c r="C650" s="3" t="s">
        <v>12</v>
      </c>
      <c r="D650" s="3" t="s">
        <v>240</v>
      </c>
      <c r="E650" s="3">
        <v>10</v>
      </c>
      <c r="F650" s="3" t="s">
        <v>166</v>
      </c>
      <c r="G650" s="4" t="str">
        <f t="shared" si="40"/>
        <v>72476</v>
      </c>
      <c r="H650" t="str">
        <f t="shared" si="41"/>
        <v>Rüzgar ATAÇ</v>
      </c>
      <c r="I650" t="str">
        <f t="shared" si="42"/>
        <v>10F Otomotiv Elektromekanik</v>
      </c>
      <c r="J650" t="str">
        <f t="shared" si="43"/>
        <v>10F</v>
      </c>
    </row>
    <row r="651" spans="1:10" x14ac:dyDescent="0.25">
      <c r="A651" s="3">
        <v>71305037770</v>
      </c>
      <c r="B651" s="3" t="s">
        <v>727</v>
      </c>
      <c r="C651" s="3" t="s">
        <v>12</v>
      </c>
      <c r="D651" s="3" t="s">
        <v>240</v>
      </c>
      <c r="E651" s="3">
        <v>10</v>
      </c>
      <c r="F651" s="3" t="s">
        <v>166</v>
      </c>
      <c r="G651" s="4" t="str">
        <f t="shared" si="40"/>
        <v>37770</v>
      </c>
      <c r="H651" t="str">
        <f t="shared" si="41"/>
        <v>Salih SAGIŞ</v>
      </c>
      <c r="I651" t="str">
        <f t="shared" si="42"/>
        <v>10F Otomotiv Elektromekanik</v>
      </c>
      <c r="J651" t="str">
        <f t="shared" si="43"/>
        <v>10F</v>
      </c>
    </row>
    <row r="652" spans="1:10" x14ac:dyDescent="0.25">
      <c r="A652" s="3">
        <v>23477400760</v>
      </c>
      <c r="B652" s="3" t="s">
        <v>728</v>
      </c>
      <c r="C652" s="3" t="s">
        <v>12</v>
      </c>
      <c r="D652" s="3" t="s">
        <v>240</v>
      </c>
      <c r="E652" s="3">
        <v>10</v>
      </c>
      <c r="F652" s="3" t="s">
        <v>55</v>
      </c>
      <c r="G652" s="4" t="str">
        <f t="shared" si="40"/>
        <v>00760</v>
      </c>
      <c r="H652" t="str">
        <f t="shared" si="41"/>
        <v>Salih YILMAZ</v>
      </c>
      <c r="I652" t="str">
        <f t="shared" si="42"/>
        <v>10G Otomotiv Elektromekanik</v>
      </c>
      <c r="J652" t="str">
        <f t="shared" si="43"/>
        <v>10G</v>
      </c>
    </row>
    <row r="653" spans="1:10" x14ac:dyDescent="0.25">
      <c r="A653" s="3">
        <v>40444462682</v>
      </c>
      <c r="B653" s="3" t="s">
        <v>729</v>
      </c>
      <c r="C653" s="3" t="s">
        <v>12</v>
      </c>
      <c r="D653" s="3" t="s">
        <v>240</v>
      </c>
      <c r="E653" s="3">
        <v>10</v>
      </c>
      <c r="F653" s="3" t="s">
        <v>434</v>
      </c>
      <c r="G653" s="4" t="str">
        <f t="shared" si="40"/>
        <v>62682</v>
      </c>
      <c r="H653" t="str">
        <f t="shared" si="41"/>
        <v>Samet BEYDOĞAN</v>
      </c>
      <c r="I653" t="str">
        <f t="shared" si="42"/>
        <v>10K Otomotiv Elektromekanik</v>
      </c>
      <c r="J653" t="str">
        <f t="shared" si="43"/>
        <v>10K</v>
      </c>
    </row>
    <row r="654" spans="1:10" x14ac:dyDescent="0.25">
      <c r="A654" s="3">
        <v>28574231170</v>
      </c>
      <c r="B654" s="3" t="s">
        <v>730</v>
      </c>
      <c r="C654" s="3" t="s">
        <v>12</v>
      </c>
      <c r="D654" s="3" t="s">
        <v>240</v>
      </c>
      <c r="E654" s="3">
        <v>10</v>
      </c>
      <c r="F654" s="3" t="s">
        <v>166</v>
      </c>
      <c r="G654" s="4" t="str">
        <f t="shared" si="40"/>
        <v>31170</v>
      </c>
      <c r="H654" t="str">
        <f t="shared" si="41"/>
        <v>Sefa Eren CAN</v>
      </c>
      <c r="I654" t="str">
        <f t="shared" si="42"/>
        <v>10F Otomotiv Elektromekanik</v>
      </c>
      <c r="J654" t="str">
        <f t="shared" si="43"/>
        <v>10F</v>
      </c>
    </row>
    <row r="655" spans="1:10" x14ac:dyDescent="0.25">
      <c r="A655" s="3">
        <v>24800357010</v>
      </c>
      <c r="B655" s="3" t="s">
        <v>731</v>
      </c>
      <c r="C655" s="3" t="s">
        <v>12</v>
      </c>
      <c r="D655" s="3" t="s">
        <v>240</v>
      </c>
      <c r="E655" s="3">
        <v>10</v>
      </c>
      <c r="F655" s="3" t="s">
        <v>438</v>
      </c>
      <c r="G655" s="4" t="str">
        <f t="shared" si="40"/>
        <v>57010</v>
      </c>
      <c r="H655" t="str">
        <f t="shared" si="41"/>
        <v>Süheyl TATAK</v>
      </c>
      <c r="I655" t="str">
        <f t="shared" si="42"/>
        <v>10H Otomotiv Elektromekanik</v>
      </c>
      <c r="J655" t="str">
        <f t="shared" si="43"/>
        <v>10H</v>
      </c>
    </row>
    <row r="656" spans="1:10" x14ac:dyDescent="0.25">
      <c r="A656" s="3">
        <v>15389671178</v>
      </c>
      <c r="B656" s="3" t="s">
        <v>732</v>
      </c>
      <c r="C656" s="3" t="s">
        <v>12</v>
      </c>
      <c r="D656" s="3" t="s">
        <v>240</v>
      </c>
      <c r="E656" s="3">
        <v>10</v>
      </c>
      <c r="F656" s="3" t="s">
        <v>642</v>
      </c>
      <c r="G656" s="4" t="str">
        <f t="shared" si="40"/>
        <v>71178</v>
      </c>
      <c r="H656" t="str">
        <f t="shared" si="41"/>
        <v>Şenol EMEK</v>
      </c>
      <c r="I656" t="str">
        <f t="shared" si="42"/>
        <v>10İ Otomotiv Elektromekanik</v>
      </c>
      <c r="J656" t="str">
        <f t="shared" si="43"/>
        <v>10İ</v>
      </c>
    </row>
    <row r="657" spans="1:10" x14ac:dyDescent="0.25">
      <c r="A657" s="3">
        <v>58981275252</v>
      </c>
      <c r="B657" s="3" t="s">
        <v>733</v>
      </c>
      <c r="C657" s="3" t="s">
        <v>12</v>
      </c>
      <c r="D657" s="3" t="s">
        <v>240</v>
      </c>
      <c r="E657" s="3">
        <v>10</v>
      </c>
      <c r="F657" s="3" t="s">
        <v>434</v>
      </c>
      <c r="G657" s="4" t="str">
        <f t="shared" si="40"/>
        <v>75252</v>
      </c>
      <c r="H657" t="str">
        <f t="shared" si="41"/>
        <v>Şiyar KARADAĞ</v>
      </c>
      <c r="I657" t="str">
        <f t="shared" si="42"/>
        <v>10K Otomotiv Elektromekanik</v>
      </c>
      <c r="J657" t="str">
        <f t="shared" si="43"/>
        <v>10K</v>
      </c>
    </row>
    <row r="658" spans="1:10" x14ac:dyDescent="0.25">
      <c r="A658" s="3">
        <v>60958152220</v>
      </c>
      <c r="B658" s="3" t="s">
        <v>734</v>
      </c>
      <c r="C658" s="3" t="s">
        <v>12</v>
      </c>
      <c r="D658" s="3" t="s">
        <v>240</v>
      </c>
      <c r="E658" s="3">
        <v>10</v>
      </c>
      <c r="F658" s="3" t="s">
        <v>438</v>
      </c>
      <c r="G658" s="4" t="str">
        <f t="shared" si="40"/>
        <v>52220</v>
      </c>
      <c r="H658" t="str">
        <f t="shared" si="41"/>
        <v>Talha Ensar BOLAT</v>
      </c>
      <c r="I658" t="str">
        <f t="shared" si="42"/>
        <v>10H Otomotiv Elektromekanik</v>
      </c>
      <c r="J658" t="str">
        <f t="shared" si="43"/>
        <v>10H</v>
      </c>
    </row>
    <row r="659" spans="1:10" x14ac:dyDescent="0.25">
      <c r="A659" s="3">
        <v>43249877026</v>
      </c>
      <c r="B659" s="3" t="s">
        <v>735</v>
      </c>
      <c r="C659" s="3" t="s">
        <v>12</v>
      </c>
      <c r="D659" s="3" t="s">
        <v>240</v>
      </c>
      <c r="E659" s="3">
        <v>10</v>
      </c>
      <c r="F659" s="3" t="s">
        <v>717</v>
      </c>
      <c r="G659" s="4" t="str">
        <f t="shared" si="40"/>
        <v>77026</v>
      </c>
      <c r="H659" t="str">
        <f t="shared" si="41"/>
        <v>Tunahan DİLEK</v>
      </c>
      <c r="I659" t="str">
        <f t="shared" si="42"/>
        <v>10N Otomotiv Elektromekanik</v>
      </c>
      <c r="J659" t="str">
        <f t="shared" si="43"/>
        <v>10N</v>
      </c>
    </row>
    <row r="660" spans="1:10" x14ac:dyDescent="0.25">
      <c r="A660" s="3">
        <v>49159544898</v>
      </c>
      <c r="B660" s="3" t="s">
        <v>736</v>
      </c>
      <c r="C660" s="3" t="s">
        <v>12</v>
      </c>
      <c r="D660" s="3" t="s">
        <v>240</v>
      </c>
      <c r="E660" s="3">
        <v>10</v>
      </c>
      <c r="F660" s="3" t="s">
        <v>166</v>
      </c>
      <c r="G660" s="4" t="str">
        <f t="shared" si="40"/>
        <v>44898</v>
      </c>
      <c r="H660" t="str">
        <f t="shared" si="41"/>
        <v>Umut Arslan KAYALAR</v>
      </c>
      <c r="I660" t="str">
        <f t="shared" si="42"/>
        <v>10F Otomotiv Elektromekanik</v>
      </c>
      <c r="J660" t="str">
        <f t="shared" si="43"/>
        <v>10F</v>
      </c>
    </row>
    <row r="661" spans="1:10" x14ac:dyDescent="0.25">
      <c r="A661" s="3">
        <v>31613129826</v>
      </c>
      <c r="B661" s="3" t="s">
        <v>737</v>
      </c>
      <c r="C661" s="3" t="s">
        <v>12</v>
      </c>
      <c r="D661" s="3" t="s">
        <v>240</v>
      </c>
      <c r="E661" s="3">
        <v>10</v>
      </c>
      <c r="F661" s="3" t="s">
        <v>642</v>
      </c>
      <c r="G661" s="4" t="str">
        <f t="shared" si="40"/>
        <v>29826</v>
      </c>
      <c r="H661" t="str">
        <f t="shared" si="41"/>
        <v>Utku KUŞKU</v>
      </c>
      <c r="I661" t="str">
        <f t="shared" si="42"/>
        <v>10İ Otomotiv Elektromekanik</v>
      </c>
      <c r="J661" t="str">
        <f t="shared" si="43"/>
        <v>10İ</v>
      </c>
    </row>
    <row r="662" spans="1:10" x14ac:dyDescent="0.25">
      <c r="A662" s="3">
        <v>14618696494</v>
      </c>
      <c r="B662" s="3" t="s">
        <v>738</v>
      </c>
      <c r="C662" s="3" t="s">
        <v>12</v>
      </c>
      <c r="D662" s="3" t="s">
        <v>240</v>
      </c>
      <c r="E662" s="3">
        <v>10</v>
      </c>
      <c r="F662" s="3" t="s">
        <v>642</v>
      </c>
      <c r="G662" s="4" t="str">
        <f t="shared" si="40"/>
        <v>96494</v>
      </c>
      <c r="H662" t="str">
        <f t="shared" si="41"/>
        <v>Yağız Efe GÜNER</v>
      </c>
      <c r="I662" t="str">
        <f t="shared" si="42"/>
        <v>10İ Otomotiv Elektromekanik</v>
      </c>
      <c r="J662" t="str">
        <f t="shared" si="43"/>
        <v>10İ</v>
      </c>
    </row>
    <row r="663" spans="1:10" x14ac:dyDescent="0.25">
      <c r="A663" s="3">
        <v>57613263384</v>
      </c>
      <c r="B663" s="3" t="s">
        <v>739</v>
      </c>
      <c r="C663" s="3" t="s">
        <v>12</v>
      </c>
      <c r="D663" s="3" t="s">
        <v>240</v>
      </c>
      <c r="E663" s="3">
        <v>10</v>
      </c>
      <c r="F663" s="3" t="s">
        <v>434</v>
      </c>
      <c r="G663" s="4" t="str">
        <f t="shared" si="40"/>
        <v>63384</v>
      </c>
      <c r="H663" t="str">
        <f t="shared" si="41"/>
        <v>Yasin CİSA</v>
      </c>
      <c r="I663" t="str">
        <f t="shared" si="42"/>
        <v>10K Otomotiv Elektromekanik</v>
      </c>
      <c r="J663" t="str">
        <f t="shared" si="43"/>
        <v>10K</v>
      </c>
    </row>
    <row r="664" spans="1:10" x14ac:dyDescent="0.25">
      <c r="A664" s="3">
        <v>52408436608</v>
      </c>
      <c r="B664" s="3" t="s">
        <v>740</v>
      </c>
      <c r="C664" s="3" t="s">
        <v>12</v>
      </c>
      <c r="D664" s="3" t="s">
        <v>240</v>
      </c>
      <c r="E664" s="3">
        <v>10</v>
      </c>
      <c r="F664" s="3" t="s">
        <v>642</v>
      </c>
      <c r="G664" s="4" t="str">
        <f t="shared" si="40"/>
        <v>36608</v>
      </c>
      <c r="H664" t="str">
        <f t="shared" si="41"/>
        <v>Yasin ÇELİK</v>
      </c>
      <c r="I664" t="str">
        <f t="shared" si="42"/>
        <v>10İ Otomotiv Elektromekanik</v>
      </c>
      <c r="J664" t="str">
        <f t="shared" si="43"/>
        <v>10İ</v>
      </c>
    </row>
    <row r="665" spans="1:10" x14ac:dyDescent="0.25">
      <c r="A665" s="3">
        <v>49321231892</v>
      </c>
      <c r="B665" s="3" t="s">
        <v>741</v>
      </c>
      <c r="C665" s="3" t="s">
        <v>12</v>
      </c>
      <c r="D665" s="3" t="s">
        <v>240</v>
      </c>
      <c r="E665" s="3">
        <v>10</v>
      </c>
      <c r="F665" s="3" t="s">
        <v>642</v>
      </c>
      <c r="G665" s="4" t="str">
        <f t="shared" si="40"/>
        <v>31892</v>
      </c>
      <c r="H665" t="str">
        <f t="shared" si="41"/>
        <v>Yasin EROL</v>
      </c>
      <c r="I665" t="str">
        <f t="shared" si="42"/>
        <v>10İ Otomotiv Elektromekanik</v>
      </c>
      <c r="J665" t="str">
        <f t="shared" si="43"/>
        <v>10İ</v>
      </c>
    </row>
    <row r="666" spans="1:10" x14ac:dyDescent="0.25">
      <c r="A666" s="3">
        <v>15303040882</v>
      </c>
      <c r="B666" s="3" t="s">
        <v>742</v>
      </c>
      <c r="C666" s="3" t="s">
        <v>12</v>
      </c>
      <c r="D666" s="3" t="s">
        <v>240</v>
      </c>
      <c r="E666" s="3">
        <v>10</v>
      </c>
      <c r="F666" s="3" t="s">
        <v>438</v>
      </c>
      <c r="G666" s="4" t="str">
        <f t="shared" si="40"/>
        <v>40882</v>
      </c>
      <c r="H666" t="str">
        <f t="shared" si="41"/>
        <v>Yasin ESEN</v>
      </c>
      <c r="I666" t="str">
        <f t="shared" si="42"/>
        <v>10H Otomotiv Elektromekanik</v>
      </c>
      <c r="J666" t="str">
        <f t="shared" si="43"/>
        <v>10H</v>
      </c>
    </row>
    <row r="667" spans="1:10" x14ac:dyDescent="0.25">
      <c r="A667" s="3">
        <v>32276107626</v>
      </c>
      <c r="B667" s="3" t="s">
        <v>743</v>
      </c>
      <c r="C667" s="3" t="s">
        <v>12</v>
      </c>
      <c r="D667" s="3" t="s">
        <v>240</v>
      </c>
      <c r="E667" s="3">
        <v>10</v>
      </c>
      <c r="F667" s="3" t="s">
        <v>166</v>
      </c>
      <c r="G667" s="4" t="str">
        <f t="shared" si="40"/>
        <v>07626</v>
      </c>
      <c r="H667" t="str">
        <f t="shared" si="41"/>
        <v>Yiğit GEMİCİ</v>
      </c>
      <c r="I667" t="str">
        <f t="shared" si="42"/>
        <v>10F Otomotiv Elektromekanik</v>
      </c>
      <c r="J667" t="str">
        <f t="shared" si="43"/>
        <v>10F</v>
      </c>
    </row>
    <row r="668" spans="1:10" x14ac:dyDescent="0.25">
      <c r="A668" s="3">
        <v>66451338376</v>
      </c>
      <c r="B668" s="3" t="s">
        <v>744</v>
      </c>
      <c r="C668" s="3" t="s">
        <v>12</v>
      </c>
      <c r="D668" s="3" t="s">
        <v>240</v>
      </c>
      <c r="E668" s="3">
        <v>10</v>
      </c>
      <c r="F668" s="3" t="s">
        <v>642</v>
      </c>
      <c r="G668" s="4" t="str">
        <f t="shared" si="40"/>
        <v>38376</v>
      </c>
      <c r="H668" t="str">
        <f t="shared" si="41"/>
        <v>Yiğit GÜLEN</v>
      </c>
      <c r="I668" t="str">
        <f t="shared" si="42"/>
        <v>10İ Otomotiv Elektromekanik</v>
      </c>
      <c r="J668" t="str">
        <f t="shared" si="43"/>
        <v>10İ</v>
      </c>
    </row>
    <row r="669" spans="1:10" x14ac:dyDescent="0.25">
      <c r="A669" s="3">
        <v>64108046728</v>
      </c>
      <c r="B669" s="3" t="s">
        <v>745</v>
      </c>
      <c r="C669" s="3" t="s">
        <v>12</v>
      </c>
      <c r="D669" s="3" t="s">
        <v>240</v>
      </c>
      <c r="E669" s="3">
        <v>10</v>
      </c>
      <c r="F669" s="3" t="s">
        <v>438</v>
      </c>
      <c r="G669" s="4" t="str">
        <f t="shared" si="40"/>
        <v>46728</v>
      </c>
      <c r="H669" t="str">
        <f t="shared" si="41"/>
        <v>Yiğit ÖVÜT</v>
      </c>
      <c r="I669" t="str">
        <f t="shared" si="42"/>
        <v>10H Otomotiv Elektromekanik</v>
      </c>
      <c r="J669" t="str">
        <f t="shared" si="43"/>
        <v>10H</v>
      </c>
    </row>
    <row r="670" spans="1:10" x14ac:dyDescent="0.25">
      <c r="A670" s="3">
        <v>19595715114</v>
      </c>
      <c r="B670" s="3" t="s">
        <v>746</v>
      </c>
      <c r="C670" s="3" t="s">
        <v>12</v>
      </c>
      <c r="D670" s="3" t="s">
        <v>240</v>
      </c>
      <c r="E670" s="3">
        <v>10</v>
      </c>
      <c r="F670" s="3" t="s">
        <v>642</v>
      </c>
      <c r="G670" s="4" t="str">
        <f t="shared" si="40"/>
        <v>15114</v>
      </c>
      <c r="H670" t="str">
        <f t="shared" si="41"/>
        <v>Yunus Can ALTINTAŞ</v>
      </c>
      <c r="I670" t="str">
        <f t="shared" si="42"/>
        <v>10İ Otomotiv Elektromekanik</v>
      </c>
      <c r="J670" t="str">
        <f t="shared" si="43"/>
        <v>10İ</v>
      </c>
    </row>
    <row r="671" spans="1:10" x14ac:dyDescent="0.25">
      <c r="A671" s="3">
        <v>62689094206</v>
      </c>
      <c r="B671" s="3" t="s">
        <v>747</v>
      </c>
      <c r="C671" s="3" t="s">
        <v>12</v>
      </c>
      <c r="D671" s="3" t="s">
        <v>240</v>
      </c>
      <c r="E671" s="3">
        <v>10</v>
      </c>
      <c r="F671" s="3" t="s">
        <v>434</v>
      </c>
      <c r="G671" s="4" t="str">
        <f t="shared" si="40"/>
        <v>94206</v>
      </c>
      <c r="H671" t="str">
        <f t="shared" si="41"/>
        <v>Yunus Emre GÜZELYURT</v>
      </c>
      <c r="I671" t="str">
        <f t="shared" si="42"/>
        <v>10K Otomotiv Elektromekanik</v>
      </c>
      <c r="J671" t="str">
        <f t="shared" si="43"/>
        <v>10K</v>
      </c>
    </row>
    <row r="672" spans="1:10" x14ac:dyDescent="0.25">
      <c r="A672" s="3">
        <v>37561758484</v>
      </c>
      <c r="B672" s="3" t="s">
        <v>748</v>
      </c>
      <c r="C672" s="3" t="s">
        <v>12</v>
      </c>
      <c r="D672" s="3" t="s">
        <v>240</v>
      </c>
      <c r="E672" s="3">
        <v>10</v>
      </c>
      <c r="F672" s="3" t="s">
        <v>438</v>
      </c>
      <c r="G672" s="4" t="str">
        <f t="shared" si="40"/>
        <v>58484</v>
      </c>
      <c r="H672" t="str">
        <f t="shared" si="41"/>
        <v>Yunus Emre SAYGI</v>
      </c>
      <c r="I672" t="str">
        <f t="shared" si="42"/>
        <v>10H Otomotiv Elektromekanik</v>
      </c>
      <c r="J672" t="str">
        <f t="shared" si="43"/>
        <v>10H</v>
      </c>
    </row>
    <row r="673" spans="1:10" x14ac:dyDescent="0.25">
      <c r="A673" s="3">
        <v>20906857096</v>
      </c>
      <c r="B673" s="3" t="s">
        <v>749</v>
      </c>
      <c r="C673" s="3" t="s">
        <v>12</v>
      </c>
      <c r="D673" s="3" t="s">
        <v>240</v>
      </c>
      <c r="E673" s="3">
        <v>10</v>
      </c>
      <c r="F673" s="3" t="s">
        <v>166</v>
      </c>
      <c r="G673" s="4" t="str">
        <f t="shared" si="40"/>
        <v>57096</v>
      </c>
      <c r="H673" t="str">
        <f t="shared" si="41"/>
        <v>Yusuf TOKUR</v>
      </c>
      <c r="I673" t="str">
        <f t="shared" si="42"/>
        <v>10F Otomotiv Elektromekanik</v>
      </c>
      <c r="J673" t="str">
        <f t="shared" si="43"/>
        <v>10F</v>
      </c>
    </row>
    <row r="674" spans="1:10" x14ac:dyDescent="0.25">
      <c r="A674" s="3">
        <v>39082881290</v>
      </c>
      <c r="B674" s="3" t="s">
        <v>750</v>
      </c>
      <c r="C674" s="3" t="s">
        <v>12</v>
      </c>
      <c r="D674" s="3" t="s">
        <v>240</v>
      </c>
      <c r="E674" s="3">
        <v>10</v>
      </c>
      <c r="F674" s="3" t="s">
        <v>434</v>
      </c>
      <c r="G674" s="4" t="str">
        <f t="shared" si="40"/>
        <v>81290</v>
      </c>
      <c r="H674" t="str">
        <f t="shared" si="41"/>
        <v>Yusufcan CENGİZ</v>
      </c>
      <c r="I674" t="str">
        <f t="shared" si="42"/>
        <v>10K Otomotiv Elektromekanik</v>
      </c>
      <c r="J674" t="str">
        <f t="shared" si="43"/>
        <v>10K</v>
      </c>
    </row>
    <row r="675" spans="1:10" x14ac:dyDescent="0.25">
      <c r="A675" s="3">
        <v>14642695456</v>
      </c>
      <c r="B675" s="3" t="s">
        <v>751</v>
      </c>
      <c r="C675" s="3" t="s">
        <v>12</v>
      </c>
      <c r="D675" s="3" t="s">
        <v>304</v>
      </c>
      <c r="E675" s="3">
        <v>10</v>
      </c>
      <c r="F675" s="3" t="s">
        <v>55</v>
      </c>
      <c r="G675" s="4" t="str">
        <f t="shared" si="40"/>
        <v>95456</v>
      </c>
      <c r="H675" t="str">
        <f t="shared" si="41"/>
        <v>Abdullah GÖK</v>
      </c>
      <c r="I675" t="str">
        <f t="shared" si="42"/>
        <v>10G Otomotiv Gövde</v>
      </c>
      <c r="J675" t="str">
        <f t="shared" si="43"/>
        <v>10G</v>
      </c>
    </row>
    <row r="676" spans="1:10" x14ac:dyDescent="0.25">
      <c r="A676" s="3">
        <v>31022150060</v>
      </c>
      <c r="B676" s="3" t="s">
        <v>752</v>
      </c>
      <c r="C676" s="3" t="s">
        <v>12</v>
      </c>
      <c r="D676" s="3" t="s">
        <v>304</v>
      </c>
      <c r="E676" s="3">
        <v>10</v>
      </c>
      <c r="F676" s="3" t="s">
        <v>438</v>
      </c>
      <c r="G676" s="4" t="str">
        <f t="shared" si="40"/>
        <v>50060</v>
      </c>
      <c r="H676" t="str">
        <f t="shared" si="41"/>
        <v>Ahmet Talha KARTAL</v>
      </c>
      <c r="I676" t="str">
        <f t="shared" si="42"/>
        <v>10H Otomotiv Gövde</v>
      </c>
      <c r="J676" t="str">
        <f t="shared" si="43"/>
        <v>10H</v>
      </c>
    </row>
    <row r="677" spans="1:10" x14ac:dyDescent="0.25">
      <c r="A677" s="3">
        <v>24467368268</v>
      </c>
      <c r="B677" s="3" t="s">
        <v>753</v>
      </c>
      <c r="C677" s="3" t="s">
        <v>12</v>
      </c>
      <c r="D677" s="3" t="s">
        <v>304</v>
      </c>
      <c r="E677" s="3">
        <v>10</v>
      </c>
      <c r="F677" s="3" t="s">
        <v>166</v>
      </c>
      <c r="G677" s="4" t="str">
        <f t="shared" si="40"/>
        <v>68268</v>
      </c>
      <c r="H677" t="str">
        <f t="shared" si="41"/>
        <v>Arda SERTTAŞ</v>
      </c>
      <c r="I677" t="str">
        <f t="shared" si="42"/>
        <v>10F Otomotiv Gövde</v>
      </c>
      <c r="J677" t="str">
        <f t="shared" si="43"/>
        <v>10F</v>
      </c>
    </row>
    <row r="678" spans="1:10" x14ac:dyDescent="0.25">
      <c r="A678" s="3">
        <v>64978077952</v>
      </c>
      <c r="B678" s="3" t="s">
        <v>754</v>
      </c>
      <c r="C678" s="3" t="s">
        <v>12</v>
      </c>
      <c r="D678" s="3" t="s">
        <v>304</v>
      </c>
      <c r="E678" s="3">
        <v>10</v>
      </c>
      <c r="F678" s="3" t="s">
        <v>166</v>
      </c>
      <c r="G678" s="4" t="str">
        <f t="shared" si="40"/>
        <v>77952</v>
      </c>
      <c r="H678" t="str">
        <f t="shared" si="41"/>
        <v>Berat BABACAN</v>
      </c>
      <c r="I678" t="str">
        <f t="shared" si="42"/>
        <v>10F Otomotiv Gövde</v>
      </c>
      <c r="J678" t="str">
        <f t="shared" si="43"/>
        <v>10F</v>
      </c>
    </row>
    <row r="679" spans="1:10" x14ac:dyDescent="0.25">
      <c r="A679" s="3">
        <v>46615085780</v>
      </c>
      <c r="B679" s="3" t="s">
        <v>755</v>
      </c>
      <c r="C679" s="3" t="s">
        <v>12</v>
      </c>
      <c r="D679" s="3" t="s">
        <v>304</v>
      </c>
      <c r="E679" s="3">
        <v>10</v>
      </c>
      <c r="F679" s="3" t="s">
        <v>642</v>
      </c>
      <c r="G679" s="4" t="str">
        <f t="shared" si="40"/>
        <v>85780</v>
      </c>
      <c r="H679" t="str">
        <f t="shared" si="41"/>
        <v>Berkay TATAR</v>
      </c>
      <c r="I679" t="str">
        <f t="shared" si="42"/>
        <v>10İ Otomotiv Gövde</v>
      </c>
      <c r="J679" t="str">
        <f t="shared" si="43"/>
        <v>10İ</v>
      </c>
    </row>
    <row r="680" spans="1:10" x14ac:dyDescent="0.25">
      <c r="A680" s="3">
        <v>11993106808</v>
      </c>
      <c r="B680" s="3" t="s">
        <v>756</v>
      </c>
      <c r="C680" s="3" t="s">
        <v>12</v>
      </c>
      <c r="D680" s="3" t="s">
        <v>304</v>
      </c>
      <c r="E680" s="3">
        <v>10</v>
      </c>
      <c r="F680" s="3" t="s">
        <v>55</v>
      </c>
      <c r="G680" s="4" t="str">
        <f t="shared" si="40"/>
        <v>06808</v>
      </c>
      <c r="H680" t="str">
        <f t="shared" si="41"/>
        <v>Berke SOVAN</v>
      </c>
      <c r="I680" t="str">
        <f t="shared" si="42"/>
        <v>10G Otomotiv Gövde</v>
      </c>
      <c r="J680" t="str">
        <f t="shared" si="43"/>
        <v>10G</v>
      </c>
    </row>
    <row r="681" spans="1:10" x14ac:dyDescent="0.25">
      <c r="A681" s="3">
        <v>72427024402</v>
      </c>
      <c r="B681" s="3" t="s">
        <v>757</v>
      </c>
      <c r="C681" s="3" t="s">
        <v>12</v>
      </c>
      <c r="D681" s="3" t="s">
        <v>304</v>
      </c>
      <c r="E681" s="3">
        <v>10</v>
      </c>
      <c r="F681" s="3" t="s">
        <v>166</v>
      </c>
      <c r="G681" s="4" t="str">
        <f t="shared" si="40"/>
        <v>24402</v>
      </c>
      <c r="H681" t="str">
        <f t="shared" si="41"/>
        <v>Cesim ERGÜN</v>
      </c>
      <c r="I681" t="str">
        <f t="shared" si="42"/>
        <v>10F Otomotiv Gövde</v>
      </c>
      <c r="J681" t="str">
        <f t="shared" si="43"/>
        <v>10F</v>
      </c>
    </row>
    <row r="682" spans="1:10" x14ac:dyDescent="0.25">
      <c r="A682" s="3">
        <v>36904953234</v>
      </c>
      <c r="B682" s="3" t="s">
        <v>758</v>
      </c>
      <c r="C682" s="3" t="s">
        <v>12</v>
      </c>
      <c r="D682" s="3" t="s">
        <v>304</v>
      </c>
      <c r="E682" s="3">
        <v>10</v>
      </c>
      <c r="F682" s="3" t="s">
        <v>438</v>
      </c>
      <c r="G682" s="4" t="str">
        <f t="shared" si="40"/>
        <v>53234</v>
      </c>
      <c r="H682" t="str">
        <f t="shared" si="41"/>
        <v>Egehan DOĞRU</v>
      </c>
      <c r="I682" t="str">
        <f t="shared" si="42"/>
        <v>10H Otomotiv Gövde</v>
      </c>
      <c r="J682" t="str">
        <f t="shared" si="43"/>
        <v>10H</v>
      </c>
    </row>
    <row r="683" spans="1:10" x14ac:dyDescent="0.25">
      <c r="A683" s="3">
        <v>21602098738</v>
      </c>
      <c r="B683" s="3" t="s">
        <v>759</v>
      </c>
      <c r="C683" s="3" t="s">
        <v>12</v>
      </c>
      <c r="D683" s="3" t="s">
        <v>304</v>
      </c>
      <c r="E683" s="3">
        <v>10</v>
      </c>
      <c r="F683" s="3" t="s">
        <v>55</v>
      </c>
      <c r="G683" s="4" t="str">
        <f t="shared" si="40"/>
        <v>98738</v>
      </c>
      <c r="H683" t="str">
        <f t="shared" si="41"/>
        <v>Emir ALTUNOLUK</v>
      </c>
      <c r="I683" t="str">
        <f t="shared" si="42"/>
        <v>10G Otomotiv Gövde</v>
      </c>
      <c r="J683" t="str">
        <f t="shared" si="43"/>
        <v>10G</v>
      </c>
    </row>
    <row r="684" spans="1:10" x14ac:dyDescent="0.25">
      <c r="A684" s="3">
        <v>32582097444</v>
      </c>
      <c r="B684" s="3" t="s">
        <v>760</v>
      </c>
      <c r="C684" s="3" t="s">
        <v>12</v>
      </c>
      <c r="D684" s="3" t="s">
        <v>304</v>
      </c>
      <c r="E684" s="3">
        <v>10</v>
      </c>
      <c r="F684" s="3" t="s">
        <v>166</v>
      </c>
      <c r="G684" s="4" t="str">
        <f t="shared" si="40"/>
        <v>97444</v>
      </c>
      <c r="H684" t="str">
        <f t="shared" si="41"/>
        <v>Emre SAKA</v>
      </c>
      <c r="I684" t="str">
        <f t="shared" si="42"/>
        <v>10F Otomotiv Gövde</v>
      </c>
      <c r="J684" t="str">
        <f t="shared" si="43"/>
        <v>10F</v>
      </c>
    </row>
    <row r="685" spans="1:10" x14ac:dyDescent="0.25">
      <c r="A685" s="3">
        <v>29918186644</v>
      </c>
      <c r="B685" s="3" t="s">
        <v>761</v>
      </c>
      <c r="C685" s="3" t="s">
        <v>12</v>
      </c>
      <c r="D685" s="3" t="s">
        <v>304</v>
      </c>
      <c r="E685" s="3">
        <v>10</v>
      </c>
      <c r="F685" s="3" t="s">
        <v>55</v>
      </c>
      <c r="G685" s="4" t="str">
        <f t="shared" si="40"/>
        <v>86644</v>
      </c>
      <c r="H685" t="str">
        <f t="shared" si="41"/>
        <v>İsmail Efe YENİYURT</v>
      </c>
      <c r="I685" t="str">
        <f t="shared" si="42"/>
        <v>10G Otomotiv Gövde</v>
      </c>
      <c r="J685" t="str">
        <f t="shared" si="43"/>
        <v>10G</v>
      </c>
    </row>
    <row r="686" spans="1:10" x14ac:dyDescent="0.25">
      <c r="A686" s="3">
        <v>32866934304</v>
      </c>
      <c r="B686" s="3" t="s">
        <v>762</v>
      </c>
      <c r="C686" s="3" t="s">
        <v>12</v>
      </c>
      <c r="D686" s="3" t="s">
        <v>304</v>
      </c>
      <c r="E686" s="3">
        <v>10</v>
      </c>
      <c r="F686" s="3" t="s">
        <v>434</v>
      </c>
      <c r="G686" s="4" t="str">
        <f t="shared" si="40"/>
        <v>34304</v>
      </c>
      <c r="H686" t="str">
        <f t="shared" si="41"/>
        <v>Kuzey BOSTANCI</v>
      </c>
      <c r="I686" t="str">
        <f t="shared" si="42"/>
        <v>10K Otomotiv Gövde</v>
      </c>
      <c r="J686" t="str">
        <f t="shared" si="43"/>
        <v>10K</v>
      </c>
    </row>
    <row r="687" spans="1:10" x14ac:dyDescent="0.25">
      <c r="A687" s="3">
        <v>31418079654</v>
      </c>
      <c r="B687" s="3" t="s">
        <v>763</v>
      </c>
      <c r="C687" s="3" t="s">
        <v>12</v>
      </c>
      <c r="D687" s="3" t="s">
        <v>304</v>
      </c>
      <c r="E687" s="3">
        <v>10</v>
      </c>
      <c r="F687" s="3" t="s">
        <v>434</v>
      </c>
      <c r="G687" s="4" t="str">
        <f t="shared" si="40"/>
        <v>79654</v>
      </c>
      <c r="H687" t="str">
        <f t="shared" si="41"/>
        <v>Mert Can ÖZTATAR</v>
      </c>
      <c r="I687" t="str">
        <f t="shared" si="42"/>
        <v>10K Otomotiv Gövde</v>
      </c>
      <c r="J687" t="str">
        <f t="shared" si="43"/>
        <v>10K</v>
      </c>
    </row>
    <row r="688" spans="1:10" x14ac:dyDescent="0.25">
      <c r="A688" s="3">
        <v>66394030832</v>
      </c>
      <c r="B688" s="3" t="s">
        <v>764</v>
      </c>
      <c r="C688" s="3" t="s">
        <v>12</v>
      </c>
      <c r="D688" s="3" t="s">
        <v>304</v>
      </c>
      <c r="E688" s="3">
        <v>10</v>
      </c>
      <c r="F688" s="3" t="s">
        <v>434</v>
      </c>
      <c r="G688" s="4" t="str">
        <f t="shared" si="40"/>
        <v>30832</v>
      </c>
      <c r="H688" t="str">
        <f t="shared" si="41"/>
        <v>Mikail Yalçın KAYA</v>
      </c>
      <c r="I688" t="str">
        <f t="shared" si="42"/>
        <v>10K Otomotiv Gövde</v>
      </c>
      <c r="J688" t="str">
        <f t="shared" si="43"/>
        <v>10K</v>
      </c>
    </row>
    <row r="689" spans="1:10" x14ac:dyDescent="0.25">
      <c r="A689" s="3">
        <v>40373203394</v>
      </c>
      <c r="B689" s="3" t="s">
        <v>765</v>
      </c>
      <c r="C689" s="3" t="s">
        <v>12</v>
      </c>
      <c r="D689" s="3" t="s">
        <v>304</v>
      </c>
      <c r="E689" s="3">
        <v>10</v>
      </c>
      <c r="F689" s="3" t="s">
        <v>438</v>
      </c>
      <c r="G689" s="4" t="str">
        <f t="shared" si="40"/>
        <v>03394</v>
      </c>
      <c r="H689" t="str">
        <f t="shared" si="41"/>
        <v>Muhammed Can ALPASLAN</v>
      </c>
      <c r="I689" t="str">
        <f t="shared" si="42"/>
        <v>10H Otomotiv Gövde</v>
      </c>
      <c r="J689" t="str">
        <f t="shared" si="43"/>
        <v>10H</v>
      </c>
    </row>
    <row r="690" spans="1:10" x14ac:dyDescent="0.25">
      <c r="A690" s="3">
        <v>45649662080</v>
      </c>
      <c r="B690" s="3" t="s">
        <v>766</v>
      </c>
      <c r="C690" s="3" t="s">
        <v>12</v>
      </c>
      <c r="D690" s="3" t="s">
        <v>304</v>
      </c>
      <c r="E690" s="3">
        <v>10</v>
      </c>
      <c r="F690" s="3" t="s">
        <v>642</v>
      </c>
      <c r="G690" s="4" t="str">
        <f t="shared" si="40"/>
        <v>62080</v>
      </c>
      <c r="H690" t="str">
        <f t="shared" si="41"/>
        <v>Muhammed Can OLGUN</v>
      </c>
      <c r="I690" t="str">
        <f t="shared" si="42"/>
        <v>10İ Otomotiv Gövde</v>
      </c>
      <c r="J690" t="str">
        <f t="shared" si="43"/>
        <v>10İ</v>
      </c>
    </row>
    <row r="691" spans="1:10" x14ac:dyDescent="0.25">
      <c r="A691" s="3">
        <v>31316221032</v>
      </c>
      <c r="B691" s="3" t="s">
        <v>767</v>
      </c>
      <c r="C691" s="3" t="s">
        <v>12</v>
      </c>
      <c r="D691" s="3" t="s">
        <v>304</v>
      </c>
      <c r="E691" s="3">
        <v>10</v>
      </c>
      <c r="F691" s="3" t="s">
        <v>642</v>
      </c>
      <c r="G691" s="4" t="str">
        <f t="shared" si="40"/>
        <v>21032</v>
      </c>
      <c r="H691" t="str">
        <f t="shared" si="41"/>
        <v>Mustafa Emir AKYILDIZ</v>
      </c>
      <c r="I691" t="str">
        <f t="shared" si="42"/>
        <v>10İ Otomotiv Gövde</v>
      </c>
      <c r="J691" t="str">
        <f t="shared" si="43"/>
        <v>10İ</v>
      </c>
    </row>
    <row r="692" spans="1:10" x14ac:dyDescent="0.25">
      <c r="A692" s="3">
        <v>20708493430</v>
      </c>
      <c r="B692" s="3" t="s">
        <v>768</v>
      </c>
      <c r="C692" s="3" t="s">
        <v>12</v>
      </c>
      <c r="D692" s="3" t="s">
        <v>304</v>
      </c>
      <c r="E692" s="3">
        <v>10</v>
      </c>
      <c r="F692" s="3" t="s">
        <v>55</v>
      </c>
      <c r="G692" s="4" t="str">
        <f t="shared" si="40"/>
        <v>93430</v>
      </c>
      <c r="H692" t="str">
        <f t="shared" si="41"/>
        <v>Serkan GÜNDOĞDU</v>
      </c>
      <c r="I692" t="str">
        <f t="shared" si="42"/>
        <v>10G Otomotiv Gövde</v>
      </c>
      <c r="J692" t="str">
        <f t="shared" si="43"/>
        <v>10G</v>
      </c>
    </row>
    <row r="693" spans="1:10" x14ac:dyDescent="0.25">
      <c r="A693" s="3">
        <v>33635062884</v>
      </c>
      <c r="B693" s="3" t="s">
        <v>769</v>
      </c>
      <c r="C693" s="3" t="s">
        <v>12</v>
      </c>
      <c r="D693" s="3" t="s">
        <v>304</v>
      </c>
      <c r="E693" s="3">
        <v>10</v>
      </c>
      <c r="F693" s="3" t="s">
        <v>642</v>
      </c>
      <c r="G693" s="4" t="str">
        <f t="shared" si="40"/>
        <v>62884</v>
      </c>
      <c r="H693" t="str">
        <f t="shared" si="41"/>
        <v>Seyit Ahmet EROL</v>
      </c>
      <c r="I693" t="str">
        <f t="shared" si="42"/>
        <v>10İ Otomotiv Gövde</v>
      </c>
      <c r="J693" t="str">
        <f t="shared" si="43"/>
        <v>10İ</v>
      </c>
    </row>
    <row r="694" spans="1:10" x14ac:dyDescent="0.25">
      <c r="A694" s="3">
        <v>12901805578</v>
      </c>
      <c r="B694" s="3" t="s">
        <v>770</v>
      </c>
      <c r="C694" s="3" t="s">
        <v>12</v>
      </c>
      <c r="D694" s="3" t="s">
        <v>304</v>
      </c>
      <c r="E694" s="3">
        <v>10</v>
      </c>
      <c r="F694" s="3" t="s">
        <v>434</v>
      </c>
      <c r="G694" s="4" t="str">
        <f t="shared" si="40"/>
        <v>05578</v>
      </c>
      <c r="H694" t="str">
        <f t="shared" si="41"/>
        <v>Umut KARTAL</v>
      </c>
      <c r="I694" t="str">
        <f t="shared" si="42"/>
        <v>10K Otomotiv Gövde</v>
      </c>
      <c r="J694" t="str">
        <f t="shared" si="43"/>
        <v>10K</v>
      </c>
    </row>
    <row r="695" spans="1:10" x14ac:dyDescent="0.25">
      <c r="A695" s="3">
        <v>26420303224</v>
      </c>
      <c r="B695" s="3" t="s">
        <v>771</v>
      </c>
      <c r="C695" s="3" t="s">
        <v>12</v>
      </c>
      <c r="D695" s="3" t="s">
        <v>304</v>
      </c>
      <c r="E695" s="3">
        <v>10</v>
      </c>
      <c r="F695" s="3" t="s">
        <v>434</v>
      </c>
      <c r="G695" s="4" t="str">
        <f t="shared" si="40"/>
        <v>03224</v>
      </c>
      <c r="H695" t="str">
        <f t="shared" si="41"/>
        <v>Yiğit Can ERMİŞ</v>
      </c>
      <c r="I695" t="str">
        <f t="shared" si="42"/>
        <v>10K Otomotiv Gövde</v>
      </c>
      <c r="J695" t="str">
        <f t="shared" si="43"/>
        <v>10K</v>
      </c>
    </row>
    <row r="696" spans="1:10" x14ac:dyDescent="0.25">
      <c r="A696" s="3">
        <v>48331731088</v>
      </c>
      <c r="B696" s="3" t="s">
        <v>772</v>
      </c>
      <c r="C696" s="3" t="s">
        <v>12</v>
      </c>
      <c r="D696" s="3" t="s">
        <v>304</v>
      </c>
      <c r="E696" s="3">
        <v>10</v>
      </c>
      <c r="F696" s="3" t="s">
        <v>438</v>
      </c>
      <c r="G696" s="4" t="str">
        <f t="shared" si="40"/>
        <v>31088</v>
      </c>
      <c r="H696" t="str">
        <f t="shared" si="41"/>
        <v>Yusuf KURU</v>
      </c>
      <c r="I696" t="str">
        <f t="shared" si="42"/>
        <v>10H Otomotiv Gövde</v>
      </c>
      <c r="J696" t="str">
        <f t="shared" si="43"/>
        <v>10H</v>
      </c>
    </row>
    <row r="697" spans="1:10" x14ac:dyDescent="0.25">
      <c r="A697" s="3">
        <v>17408603054</v>
      </c>
      <c r="B697" s="3" t="s">
        <v>773</v>
      </c>
      <c r="C697" s="3" t="s">
        <v>12</v>
      </c>
      <c r="D697" s="3" t="s">
        <v>314</v>
      </c>
      <c r="E697" s="3">
        <v>10</v>
      </c>
      <c r="F697" s="3" t="s">
        <v>55</v>
      </c>
      <c r="G697" s="4" t="str">
        <f t="shared" si="40"/>
        <v>03054</v>
      </c>
      <c r="H697" t="str">
        <f t="shared" si="41"/>
        <v>Ahmet Hasan KAYA</v>
      </c>
      <c r="I697" t="str">
        <f t="shared" si="42"/>
        <v>10G Otomotiv Mekanikerliği</v>
      </c>
      <c r="J697" t="str">
        <f t="shared" si="43"/>
        <v>10G</v>
      </c>
    </row>
    <row r="698" spans="1:10" x14ac:dyDescent="0.25">
      <c r="A698" s="3">
        <v>53770024110</v>
      </c>
      <c r="B698" s="3" t="s">
        <v>774</v>
      </c>
      <c r="C698" s="3" t="s">
        <v>12</v>
      </c>
      <c r="D698" s="3" t="s">
        <v>314</v>
      </c>
      <c r="E698" s="3">
        <v>10</v>
      </c>
      <c r="F698" s="3" t="s">
        <v>438</v>
      </c>
      <c r="G698" s="4" t="str">
        <f t="shared" si="40"/>
        <v>24110</v>
      </c>
      <c r="H698" t="str">
        <f t="shared" si="41"/>
        <v>Ali ÖZDEMİR</v>
      </c>
      <c r="I698" t="str">
        <f t="shared" si="42"/>
        <v>10H Otomotiv Mekanikerliği</v>
      </c>
      <c r="J698" t="str">
        <f t="shared" si="43"/>
        <v>10H</v>
      </c>
    </row>
    <row r="699" spans="1:10" x14ac:dyDescent="0.25">
      <c r="A699" s="3">
        <v>43525290808</v>
      </c>
      <c r="B699" s="3" t="s">
        <v>775</v>
      </c>
      <c r="C699" s="3" t="s">
        <v>12</v>
      </c>
      <c r="D699" s="3" t="s">
        <v>314</v>
      </c>
      <c r="E699" s="3">
        <v>10</v>
      </c>
      <c r="F699" s="3" t="s">
        <v>438</v>
      </c>
      <c r="G699" s="4" t="str">
        <f t="shared" si="40"/>
        <v>90808</v>
      </c>
      <c r="H699" t="str">
        <f t="shared" si="41"/>
        <v>Barış Enes HORZUM</v>
      </c>
      <c r="I699" t="str">
        <f t="shared" si="42"/>
        <v>10H Otomotiv Mekanikerliği</v>
      </c>
      <c r="J699" t="str">
        <f t="shared" si="43"/>
        <v>10H</v>
      </c>
    </row>
    <row r="700" spans="1:10" x14ac:dyDescent="0.25">
      <c r="A700" s="3">
        <v>51700650026</v>
      </c>
      <c r="B700" s="3" t="s">
        <v>776</v>
      </c>
      <c r="C700" s="3" t="s">
        <v>12</v>
      </c>
      <c r="D700" s="3" t="s">
        <v>314</v>
      </c>
      <c r="E700" s="3">
        <v>10</v>
      </c>
      <c r="F700" s="3" t="s">
        <v>642</v>
      </c>
      <c r="G700" s="4" t="str">
        <f t="shared" si="40"/>
        <v>50026</v>
      </c>
      <c r="H700" t="str">
        <f t="shared" si="41"/>
        <v>Batuhan SEVGİ</v>
      </c>
      <c r="I700" t="str">
        <f t="shared" si="42"/>
        <v>10İ Otomotiv Mekanikerliği</v>
      </c>
      <c r="J700" t="str">
        <f t="shared" si="43"/>
        <v>10İ</v>
      </c>
    </row>
    <row r="701" spans="1:10" x14ac:dyDescent="0.25">
      <c r="A701" s="3">
        <v>37085295076</v>
      </c>
      <c r="B701" s="3" t="s">
        <v>777</v>
      </c>
      <c r="C701" s="3" t="s">
        <v>12</v>
      </c>
      <c r="D701" s="3" t="s">
        <v>314</v>
      </c>
      <c r="E701" s="3">
        <v>10</v>
      </c>
      <c r="F701" s="3" t="s">
        <v>434</v>
      </c>
      <c r="G701" s="4" t="str">
        <f t="shared" si="40"/>
        <v>95076</v>
      </c>
      <c r="H701" t="str">
        <f t="shared" si="41"/>
        <v>Berat AKKUL</v>
      </c>
      <c r="I701" t="str">
        <f t="shared" si="42"/>
        <v>10K Otomotiv Mekanikerliği</v>
      </c>
      <c r="J701" t="str">
        <f t="shared" si="43"/>
        <v>10K</v>
      </c>
    </row>
    <row r="702" spans="1:10" x14ac:dyDescent="0.25">
      <c r="A702" s="3">
        <v>22208775788</v>
      </c>
      <c r="B702" s="3" t="s">
        <v>778</v>
      </c>
      <c r="C702" s="3" t="s">
        <v>12</v>
      </c>
      <c r="D702" s="3" t="s">
        <v>314</v>
      </c>
      <c r="E702" s="3">
        <v>10</v>
      </c>
      <c r="F702" s="3" t="s">
        <v>434</v>
      </c>
      <c r="G702" s="4" t="str">
        <f t="shared" si="40"/>
        <v>75788</v>
      </c>
      <c r="H702" t="str">
        <f t="shared" si="41"/>
        <v>Berat ATEŞ</v>
      </c>
      <c r="I702" t="str">
        <f t="shared" si="42"/>
        <v>10K Otomotiv Mekanikerliği</v>
      </c>
      <c r="J702" t="str">
        <f t="shared" si="43"/>
        <v>10K</v>
      </c>
    </row>
    <row r="703" spans="1:10" x14ac:dyDescent="0.25">
      <c r="A703" s="3">
        <v>62443102642</v>
      </c>
      <c r="B703" s="3" t="s">
        <v>779</v>
      </c>
      <c r="C703" s="3" t="s">
        <v>12</v>
      </c>
      <c r="D703" s="3" t="s">
        <v>314</v>
      </c>
      <c r="E703" s="3">
        <v>10</v>
      </c>
      <c r="F703" s="3" t="s">
        <v>55</v>
      </c>
      <c r="G703" s="4" t="str">
        <f t="shared" si="40"/>
        <v>02642</v>
      </c>
      <c r="H703" t="str">
        <f t="shared" si="41"/>
        <v>Berat BİLGİN</v>
      </c>
      <c r="I703" t="str">
        <f t="shared" si="42"/>
        <v>10G Otomotiv Mekanikerliği</v>
      </c>
      <c r="J703" t="str">
        <f t="shared" si="43"/>
        <v>10G</v>
      </c>
    </row>
    <row r="704" spans="1:10" x14ac:dyDescent="0.25">
      <c r="A704" s="3">
        <v>54772358258</v>
      </c>
      <c r="B704" s="3" t="s">
        <v>780</v>
      </c>
      <c r="C704" s="3" t="s">
        <v>12</v>
      </c>
      <c r="D704" s="3" t="s">
        <v>314</v>
      </c>
      <c r="E704" s="3">
        <v>10</v>
      </c>
      <c r="F704" s="3" t="s">
        <v>642</v>
      </c>
      <c r="G704" s="4" t="str">
        <f t="shared" si="40"/>
        <v>58258</v>
      </c>
      <c r="H704" t="str">
        <f t="shared" si="41"/>
        <v>Berat KABA</v>
      </c>
      <c r="I704" t="str">
        <f t="shared" si="42"/>
        <v>10İ Otomotiv Mekanikerliği</v>
      </c>
      <c r="J704" t="str">
        <f t="shared" si="43"/>
        <v>10İ</v>
      </c>
    </row>
    <row r="705" spans="1:10" x14ac:dyDescent="0.25">
      <c r="A705" s="3">
        <v>60097550192</v>
      </c>
      <c r="B705" s="3" t="s">
        <v>781</v>
      </c>
      <c r="C705" s="3" t="s">
        <v>12</v>
      </c>
      <c r="D705" s="3" t="s">
        <v>314</v>
      </c>
      <c r="E705" s="3">
        <v>10</v>
      </c>
      <c r="F705" s="3" t="s">
        <v>55</v>
      </c>
      <c r="G705" s="4" t="str">
        <f t="shared" si="40"/>
        <v>50192</v>
      </c>
      <c r="H705" t="str">
        <f t="shared" si="41"/>
        <v>Berke BASAR</v>
      </c>
      <c r="I705" t="str">
        <f t="shared" si="42"/>
        <v>10G Otomotiv Mekanikerliği</v>
      </c>
      <c r="J705" t="str">
        <f t="shared" si="43"/>
        <v>10G</v>
      </c>
    </row>
    <row r="706" spans="1:10" x14ac:dyDescent="0.25">
      <c r="A706" s="3">
        <v>20879487498</v>
      </c>
      <c r="B706" s="3" t="s">
        <v>782</v>
      </c>
      <c r="C706" s="3" t="s">
        <v>12</v>
      </c>
      <c r="D706" s="3" t="s">
        <v>314</v>
      </c>
      <c r="E706" s="3">
        <v>10</v>
      </c>
      <c r="F706" s="3" t="s">
        <v>434</v>
      </c>
      <c r="G706" s="4" t="str">
        <f t="shared" si="40"/>
        <v>87498</v>
      </c>
      <c r="H706" t="str">
        <f t="shared" si="41"/>
        <v>Bilal Can KARASAKAL</v>
      </c>
      <c r="I706" t="str">
        <f t="shared" si="42"/>
        <v>10K Otomotiv Mekanikerliği</v>
      </c>
      <c r="J706" t="str">
        <f t="shared" si="43"/>
        <v>10K</v>
      </c>
    </row>
    <row r="707" spans="1:10" x14ac:dyDescent="0.25">
      <c r="A707" s="3">
        <v>34337099222</v>
      </c>
      <c r="B707" s="3" t="s">
        <v>783</v>
      </c>
      <c r="C707" s="3" t="s">
        <v>12</v>
      </c>
      <c r="D707" s="3" t="s">
        <v>314</v>
      </c>
      <c r="E707" s="3">
        <v>10</v>
      </c>
      <c r="F707" s="3" t="s">
        <v>166</v>
      </c>
      <c r="G707" s="4" t="str">
        <f t="shared" si="40"/>
        <v>99222</v>
      </c>
      <c r="H707" t="str">
        <f t="shared" si="41"/>
        <v>Bünyamin BAŞ</v>
      </c>
      <c r="I707" t="str">
        <f t="shared" si="42"/>
        <v>10F Otomotiv Mekanikerliği</v>
      </c>
      <c r="J707" t="str">
        <f t="shared" si="43"/>
        <v>10F</v>
      </c>
    </row>
    <row r="708" spans="1:10" x14ac:dyDescent="0.25">
      <c r="A708" s="3">
        <v>23954385740</v>
      </c>
      <c r="B708" s="3" t="s">
        <v>784</v>
      </c>
      <c r="C708" s="3" t="s">
        <v>12</v>
      </c>
      <c r="D708" s="3" t="s">
        <v>314</v>
      </c>
      <c r="E708" s="3">
        <v>10</v>
      </c>
      <c r="F708" s="3" t="s">
        <v>438</v>
      </c>
      <c r="G708" s="4" t="str">
        <f t="shared" si="40"/>
        <v>85740</v>
      </c>
      <c r="H708" t="str">
        <f t="shared" si="41"/>
        <v>Cesur ARMUT</v>
      </c>
      <c r="I708" t="str">
        <f t="shared" si="42"/>
        <v>10H Otomotiv Mekanikerliği</v>
      </c>
      <c r="J708" t="str">
        <f t="shared" si="43"/>
        <v>10H</v>
      </c>
    </row>
    <row r="709" spans="1:10" x14ac:dyDescent="0.25">
      <c r="A709" s="3">
        <v>17600596666</v>
      </c>
      <c r="B709" s="3" t="s">
        <v>785</v>
      </c>
      <c r="C709" s="3" t="s">
        <v>12</v>
      </c>
      <c r="D709" s="3" t="s">
        <v>314</v>
      </c>
      <c r="E709" s="3">
        <v>10</v>
      </c>
      <c r="F709" s="3" t="s">
        <v>434</v>
      </c>
      <c r="G709" s="4" t="str">
        <f t="shared" ref="G709:G772" si="44">RIGHT(A709,5)</f>
        <v>96666</v>
      </c>
      <c r="H709" t="str">
        <f t="shared" ref="H709:H772" si="45">B709</f>
        <v>Demir Kaan DUMAN</v>
      </c>
      <c r="I709" t="str">
        <f t="shared" ref="I709:I772" si="46">CONCATENATE(E709,F709," ",D709)</f>
        <v>10K Otomotiv Mekanikerliği</v>
      </c>
      <c r="J709" t="str">
        <f t="shared" ref="J709:J772" si="47">LEFT(I709,3)</f>
        <v>10K</v>
      </c>
    </row>
    <row r="710" spans="1:10" x14ac:dyDescent="0.25">
      <c r="A710" s="3">
        <v>16043649182</v>
      </c>
      <c r="B710" s="3" t="s">
        <v>786</v>
      </c>
      <c r="C710" s="3" t="s">
        <v>12</v>
      </c>
      <c r="D710" s="3" t="s">
        <v>314</v>
      </c>
      <c r="E710" s="3">
        <v>10</v>
      </c>
      <c r="F710" s="3" t="s">
        <v>434</v>
      </c>
      <c r="G710" s="4" t="str">
        <f t="shared" si="44"/>
        <v>49182</v>
      </c>
      <c r="H710" t="str">
        <f t="shared" si="45"/>
        <v>Efe DÖNMEZ</v>
      </c>
      <c r="I710" t="str">
        <f t="shared" si="46"/>
        <v>10K Otomotiv Mekanikerliği</v>
      </c>
      <c r="J710" t="str">
        <f t="shared" si="47"/>
        <v>10K</v>
      </c>
    </row>
    <row r="711" spans="1:10" x14ac:dyDescent="0.25">
      <c r="A711" s="3">
        <v>47035986664</v>
      </c>
      <c r="B711" s="3" t="s">
        <v>787</v>
      </c>
      <c r="C711" s="3" t="s">
        <v>12</v>
      </c>
      <c r="D711" s="3" t="s">
        <v>314</v>
      </c>
      <c r="E711" s="3">
        <v>10</v>
      </c>
      <c r="F711" s="3" t="s">
        <v>434</v>
      </c>
      <c r="G711" s="4" t="str">
        <f t="shared" si="44"/>
        <v>86664</v>
      </c>
      <c r="H711" t="str">
        <f t="shared" si="45"/>
        <v>Efe GÖKBULUT</v>
      </c>
      <c r="I711" t="str">
        <f t="shared" si="46"/>
        <v>10K Otomotiv Mekanikerliği</v>
      </c>
      <c r="J711" t="str">
        <f t="shared" si="47"/>
        <v>10K</v>
      </c>
    </row>
    <row r="712" spans="1:10" x14ac:dyDescent="0.25">
      <c r="A712" s="3">
        <v>20081514630</v>
      </c>
      <c r="B712" s="3" t="s">
        <v>788</v>
      </c>
      <c r="C712" s="3" t="s">
        <v>12</v>
      </c>
      <c r="D712" s="3" t="s">
        <v>314</v>
      </c>
      <c r="E712" s="3">
        <v>10</v>
      </c>
      <c r="F712" s="3" t="s">
        <v>642</v>
      </c>
      <c r="G712" s="4" t="str">
        <f t="shared" si="44"/>
        <v>14630</v>
      </c>
      <c r="H712" t="str">
        <f t="shared" si="45"/>
        <v>Efe ÖZCAN</v>
      </c>
      <c r="I712" t="str">
        <f t="shared" si="46"/>
        <v>10İ Otomotiv Mekanikerliği</v>
      </c>
      <c r="J712" t="str">
        <f t="shared" si="47"/>
        <v>10İ</v>
      </c>
    </row>
    <row r="713" spans="1:10" x14ac:dyDescent="0.25">
      <c r="A713" s="3">
        <v>56185311516</v>
      </c>
      <c r="B713" s="3" t="s">
        <v>789</v>
      </c>
      <c r="C713" s="3" t="s">
        <v>12</v>
      </c>
      <c r="D713" s="3" t="s">
        <v>314</v>
      </c>
      <c r="E713" s="3">
        <v>10</v>
      </c>
      <c r="F713" s="3" t="s">
        <v>642</v>
      </c>
      <c r="G713" s="4" t="str">
        <f t="shared" si="44"/>
        <v>11516</v>
      </c>
      <c r="H713" t="str">
        <f t="shared" si="45"/>
        <v>Efe TAŞTEKİN</v>
      </c>
      <c r="I713" t="str">
        <f t="shared" si="46"/>
        <v>10İ Otomotiv Mekanikerliği</v>
      </c>
      <c r="J713" t="str">
        <f t="shared" si="47"/>
        <v>10İ</v>
      </c>
    </row>
    <row r="714" spans="1:10" x14ac:dyDescent="0.25">
      <c r="A714" s="3">
        <v>52981417940</v>
      </c>
      <c r="B714" s="3" t="s">
        <v>790</v>
      </c>
      <c r="C714" s="3" t="s">
        <v>12</v>
      </c>
      <c r="D714" s="3" t="s">
        <v>314</v>
      </c>
      <c r="E714" s="3">
        <v>10</v>
      </c>
      <c r="F714" s="3" t="s">
        <v>166</v>
      </c>
      <c r="G714" s="4" t="str">
        <f t="shared" si="44"/>
        <v>17940</v>
      </c>
      <c r="H714" t="str">
        <f t="shared" si="45"/>
        <v>Ege ALGUR</v>
      </c>
      <c r="I714" t="str">
        <f t="shared" si="46"/>
        <v>10F Otomotiv Mekanikerliği</v>
      </c>
      <c r="J714" t="str">
        <f t="shared" si="47"/>
        <v>10F</v>
      </c>
    </row>
    <row r="715" spans="1:10" x14ac:dyDescent="0.25">
      <c r="A715" s="3">
        <v>73861006528</v>
      </c>
      <c r="B715" s="3" t="s">
        <v>791</v>
      </c>
      <c r="C715" s="3" t="s">
        <v>12</v>
      </c>
      <c r="D715" s="3" t="s">
        <v>314</v>
      </c>
      <c r="E715" s="3">
        <v>10</v>
      </c>
      <c r="F715" s="3" t="s">
        <v>55</v>
      </c>
      <c r="G715" s="4" t="str">
        <f t="shared" si="44"/>
        <v>06528</v>
      </c>
      <c r="H715" t="str">
        <f t="shared" si="45"/>
        <v>Ege EROL</v>
      </c>
      <c r="I715" t="str">
        <f t="shared" si="46"/>
        <v>10G Otomotiv Mekanikerliği</v>
      </c>
      <c r="J715" t="str">
        <f t="shared" si="47"/>
        <v>10G</v>
      </c>
    </row>
    <row r="716" spans="1:10" x14ac:dyDescent="0.25">
      <c r="A716" s="3">
        <v>38560899086</v>
      </c>
      <c r="B716" s="3" t="s">
        <v>792</v>
      </c>
      <c r="C716" s="3" t="s">
        <v>12</v>
      </c>
      <c r="D716" s="3" t="s">
        <v>314</v>
      </c>
      <c r="E716" s="3">
        <v>10</v>
      </c>
      <c r="F716" s="3" t="s">
        <v>642</v>
      </c>
      <c r="G716" s="4" t="str">
        <f t="shared" si="44"/>
        <v>99086</v>
      </c>
      <c r="H716" t="str">
        <f t="shared" si="45"/>
        <v>Emir GÜREŞİR</v>
      </c>
      <c r="I716" t="str">
        <f t="shared" si="46"/>
        <v>10İ Otomotiv Mekanikerliği</v>
      </c>
      <c r="J716" t="str">
        <f t="shared" si="47"/>
        <v>10İ</v>
      </c>
    </row>
    <row r="717" spans="1:10" x14ac:dyDescent="0.25">
      <c r="A717" s="3">
        <v>54697441066</v>
      </c>
      <c r="B717" s="3" t="s">
        <v>793</v>
      </c>
      <c r="C717" s="3" t="s">
        <v>12</v>
      </c>
      <c r="D717" s="3" t="s">
        <v>314</v>
      </c>
      <c r="E717" s="3">
        <v>10</v>
      </c>
      <c r="F717" s="3" t="s">
        <v>438</v>
      </c>
      <c r="G717" s="4" t="str">
        <f t="shared" si="44"/>
        <v>41066</v>
      </c>
      <c r="H717" t="str">
        <f t="shared" si="45"/>
        <v>Enes AKAY</v>
      </c>
      <c r="I717" t="str">
        <f t="shared" si="46"/>
        <v>10H Otomotiv Mekanikerliği</v>
      </c>
      <c r="J717" t="str">
        <f t="shared" si="47"/>
        <v>10H</v>
      </c>
    </row>
    <row r="718" spans="1:10" x14ac:dyDescent="0.25">
      <c r="A718" s="3">
        <v>40813663764</v>
      </c>
      <c r="B718" s="3" t="s">
        <v>794</v>
      </c>
      <c r="C718" s="3" t="s">
        <v>12</v>
      </c>
      <c r="D718" s="3" t="s">
        <v>314</v>
      </c>
      <c r="E718" s="3">
        <v>10</v>
      </c>
      <c r="F718" s="3" t="s">
        <v>166</v>
      </c>
      <c r="G718" s="4" t="str">
        <f t="shared" si="44"/>
        <v>63764</v>
      </c>
      <c r="H718" t="str">
        <f t="shared" si="45"/>
        <v>Ezel Berk ŞEN</v>
      </c>
      <c r="I718" t="str">
        <f t="shared" si="46"/>
        <v>10F Otomotiv Mekanikerliği</v>
      </c>
      <c r="J718" t="str">
        <f t="shared" si="47"/>
        <v>10F</v>
      </c>
    </row>
    <row r="719" spans="1:10" x14ac:dyDescent="0.25">
      <c r="A719" s="3">
        <v>37327434430</v>
      </c>
      <c r="B719" s="3" t="s">
        <v>795</v>
      </c>
      <c r="C719" s="3" t="s">
        <v>12</v>
      </c>
      <c r="D719" s="3" t="s">
        <v>314</v>
      </c>
      <c r="E719" s="3">
        <v>10</v>
      </c>
      <c r="F719" s="3" t="s">
        <v>434</v>
      </c>
      <c r="G719" s="4" t="str">
        <f t="shared" si="44"/>
        <v>34430</v>
      </c>
      <c r="H719" t="str">
        <f t="shared" si="45"/>
        <v>Faik KAYA</v>
      </c>
      <c r="I719" t="str">
        <f t="shared" si="46"/>
        <v>10K Otomotiv Mekanikerliği</v>
      </c>
      <c r="J719" t="str">
        <f t="shared" si="47"/>
        <v>10K</v>
      </c>
    </row>
    <row r="720" spans="1:10" x14ac:dyDescent="0.25">
      <c r="A720" s="3">
        <v>11001187324</v>
      </c>
      <c r="B720" s="3" t="s">
        <v>796</v>
      </c>
      <c r="C720" s="3" t="s">
        <v>12</v>
      </c>
      <c r="D720" s="3" t="s">
        <v>314</v>
      </c>
      <c r="E720" s="3">
        <v>10</v>
      </c>
      <c r="F720" s="3" t="s">
        <v>55</v>
      </c>
      <c r="G720" s="4" t="str">
        <f t="shared" si="44"/>
        <v>87324</v>
      </c>
      <c r="H720" t="str">
        <f t="shared" si="45"/>
        <v>Furkan TEKİN</v>
      </c>
      <c r="I720" t="str">
        <f t="shared" si="46"/>
        <v>10G Otomotiv Mekanikerliği</v>
      </c>
      <c r="J720" t="str">
        <f t="shared" si="47"/>
        <v>10G</v>
      </c>
    </row>
    <row r="721" spans="1:10" x14ac:dyDescent="0.25">
      <c r="A721" s="3">
        <v>15265270266</v>
      </c>
      <c r="B721" s="3" t="s">
        <v>797</v>
      </c>
      <c r="C721" s="3" t="s">
        <v>12</v>
      </c>
      <c r="D721" s="3" t="s">
        <v>314</v>
      </c>
      <c r="E721" s="3">
        <v>10</v>
      </c>
      <c r="F721" s="3" t="s">
        <v>434</v>
      </c>
      <c r="G721" s="4" t="str">
        <f t="shared" si="44"/>
        <v>70266</v>
      </c>
      <c r="H721" t="str">
        <f t="shared" si="45"/>
        <v>Hakan ARIK</v>
      </c>
      <c r="I721" t="str">
        <f t="shared" si="46"/>
        <v>10K Otomotiv Mekanikerliği</v>
      </c>
      <c r="J721" t="str">
        <f t="shared" si="47"/>
        <v>10K</v>
      </c>
    </row>
    <row r="722" spans="1:10" x14ac:dyDescent="0.25">
      <c r="A722" s="3">
        <v>20780744338</v>
      </c>
      <c r="B722" s="3" t="s">
        <v>798</v>
      </c>
      <c r="C722" s="3" t="s">
        <v>12</v>
      </c>
      <c r="D722" s="3" t="s">
        <v>314</v>
      </c>
      <c r="E722" s="3">
        <v>10</v>
      </c>
      <c r="F722" s="3" t="s">
        <v>434</v>
      </c>
      <c r="G722" s="4" t="str">
        <f t="shared" si="44"/>
        <v>44338</v>
      </c>
      <c r="H722" t="str">
        <f t="shared" si="45"/>
        <v>Haluk Melik ÇAKAN</v>
      </c>
      <c r="I722" t="str">
        <f t="shared" si="46"/>
        <v>10K Otomotiv Mekanikerliği</v>
      </c>
      <c r="J722" t="str">
        <f t="shared" si="47"/>
        <v>10K</v>
      </c>
    </row>
    <row r="723" spans="1:10" x14ac:dyDescent="0.25">
      <c r="A723" s="3">
        <v>65914008306</v>
      </c>
      <c r="B723" s="3" t="s">
        <v>799</v>
      </c>
      <c r="C723" s="3" t="s">
        <v>12</v>
      </c>
      <c r="D723" s="3" t="s">
        <v>314</v>
      </c>
      <c r="E723" s="3">
        <v>10</v>
      </c>
      <c r="F723" s="3" t="s">
        <v>642</v>
      </c>
      <c r="G723" s="4" t="str">
        <f t="shared" si="44"/>
        <v>08306</v>
      </c>
      <c r="H723" t="str">
        <f t="shared" si="45"/>
        <v>Hasan AKDENİZ</v>
      </c>
      <c r="I723" t="str">
        <f t="shared" si="46"/>
        <v>10İ Otomotiv Mekanikerliği</v>
      </c>
      <c r="J723" t="str">
        <f t="shared" si="47"/>
        <v>10İ</v>
      </c>
    </row>
    <row r="724" spans="1:10" x14ac:dyDescent="0.25">
      <c r="A724" s="3">
        <v>46924619416</v>
      </c>
      <c r="B724" s="3" t="s">
        <v>800</v>
      </c>
      <c r="C724" s="3" t="s">
        <v>12</v>
      </c>
      <c r="D724" s="3" t="s">
        <v>314</v>
      </c>
      <c r="E724" s="3">
        <v>10</v>
      </c>
      <c r="F724" s="3" t="s">
        <v>438</v>
      </c>
      <c r="G724" s="4" t="str">
        <f t="shared" si="44"/>
        <v>19416</v>
      </c>
      <c r="H724" t="str">
        <f t="shared" si="45"/>
        <v>Hüseyin Kayra ÖZER</v>
      </c>
      <c r="I724" t="str">
        <f t="shared" si="46"/>
        <v>10H Otomotiv Mekanikerliği</v>
      </c>
      <c r="J724" t="str">
        <f t="shared" si="47"/>
        <v>10H</v>
      </c>
    </row>
    <row r="725" spans="1:10" x14ac:dyDescent="0.25">
      <c r="A725" s="3">
        <v>47308432898</v>
      </c>
      <c r="B725" s="3" t="s">
        <v>801</v>
      </c>
      <c r="C725" s="3" t="s">
        <v>12</v>
      </c>
      <c r="D725" s="3" t="s">
        <v>314</v>
      </c>
      <c r="E725" s="3">
        <v>10</v>
      </c>
      <c r="F725" s="3" t="s">
        <v>166</v>
      </c>
      <c r="G725" s="4" t="str">
        <f t="shared" si="44"/>
        <v>32898</v>
      </c>
      <c r="H725" t="str">
        <f t="shared" si="45"/>
        <v>İbrahim Emre ASLAN</v>
      </c>
      <c r="I725" t="str">
        <f t="shared" si="46"/>
        <v>10F Otomotiv Mekanikerliği</v>
      </c>
      <c r="J725" t="str">
        <f t="shared" si="47"/>
        <v>10F</v>
      </c>
    </row>
    <row r="726" spans="1:10" x14ac:dyDescent="0.25">
      <c r="A726" s="3">
        <v>22829422528</v>
      </c>
      <c r="B726" s="3" t="s">
        <v>802</v>
      </c>
      <c r="C726" s="3" t="s">
        <v>12</v>
      </c>
      <c r="D726" s="3" t="s">
        <v>314</v>
      </c>
      <c r="E726" s="3">
        <v>10</v>
      </c>
      <c r="F726" s="3" t="s">
        <v>438</v>
      </c>
      <c r="G726" s="4" t="str">
        <f t="shared" si="44"/>
        <v>22528</v>
      </c>
      <c r="H726" t="str">
        <f t="shared" si="45"/>
        <v>İlker Kağan ÖZER</v>
      </c>
      <c r="I726" t="str">
        <f t="shared" si="46"/>
        <v>10H Otomotiv Mekanikerliği</v>
      </c>
      <c r="J726" t="str">
        <f t="shared" si="47"/>
        <v>10H</v>
      </c>
    </row>
    <row r="727" spans="1:10" x14ac:dyDescent="0.25">
      <c r="A727" s="3">
        <v>47191330288</v>
      </c>
      <c r="B727" s="3" t="s">
        <v>803</v>
      </c>
      <c r="C727" s="3" t="s">
        <v>12</v>
      </c>
      <c r="D727" s="3" t="s">
        <v>314</v>
      </c>
      <c r="E727" s="3">
        <v>10</v>
      </c>
      <c r="F727" s="3" t="s">
        <v>434</v>
      </c>
      <c r="G727" s="4" t="str">
        <f t="shared" si="44"/>
        <v>30288</v>
      </c>
      <c r="H727" t="str">
        <f t="shared" si="45"/>
        <v>Kaan DAL</v>
      </c>
      <c r="I727" t="str">
        <f t="shared" si="46"/>
        <v>10K Otomotiv Mekanikerliği</v>
      </c>
      <c r="J727" t="str">
        <f t="shared" si="47"/>
        <v>10K</v>
      </c>
    </row>
    <row r="728" spans="1:10" x14ac:dyDescent="0.25">
      <c r="A728" s="3">
        <v>20867487844</v>
      </c>
      <c r="B728" s="3" t="s">
        <v>804</v>
      </c>
      <c r="C728" s="3" t="s">
        <v>12</v>
      </c>
      <c r="D728" s="3" t="s">
        <v>314</v>
      </c>
      <c r="E728" s="3">
        <v>10</v>
      </c>
      <c r="F728" s="3" t="s">
        <v>642</v>
      </c>
      <c r="G728" s="4" t="str">
        <f t="shared" si="44"/>
        <v>87844</v>
      </c>
      <c r="H728" t="str">
        <f t="shared" si="45"/>
        <v>Kaan İNAN</v>
      </c>
      <c r="I728" t="str">
        <f t="shared" si="46"/>
        <v>10İ Otomotiv Mekanikerliği</v>
      </c>
      <c r="J728" t="str">
        <f t="shared" si="47"/>
        <v>10İ</v>
      </c>
    </row>
    <row r="729" spans="1:10" x14ac:dyDescent="0.25">
      <c r="A729" s="3">
        <v>51514615570</v>
      </c>
      <c r="B729" s="3" t="s">
        <v>805</v>
      </c>
      <c r="C729" s="3" t="s">
        <v>12</v>
      </c>
      <c r="D729" s="3" t="s">
        <v>314</v>
      </c>
      <c r="E729" s="3">
        <v>10</v>
      </c>
      <c r="F729" s="3" t="s">
        <v>642</v>
      </c>
      <c r="G729" s="4" t="str">
        <f t="shared" si="44"/>
        <v>15570</v>
      </c>
      <c r="H729" t="str">
        <f t="shared" si="45"/>
        <v>Kemal ATAK</v>
      </c>
      <c r="I729" t="str">
        <f t="shared" si="46"/>
        <v>10İ Otomotiv Mekanikerliği</v>
      </c>
      <c r="J729" t="str">
        <f t="shared" si="47"/>
        <v>10İ</v>
      </c>
    </row>
    <row r="730" spans="1:10" x14ac:dyDescent="0.25">
      <c r="A730" s="3">
        <v>45502957872</v>
      </c>
      <c r="B730" s="3" t="s">
        <v>806</v>
      </c>
      <c r="C730" s="3" t="s">
        <v>12</v>
      </c>
      <c r="D730" s="3" t="s">
        <v>314</v>
      </c>
      <c r="E730" s="3">
        <v>10</v>
      </c>
      <c r="F730" s="3" t="s">
        <v>438</v>
      </c>
      <c r="G730" s="4" t="str">
        <f t="shared" si="44"/>
        <v>57872</v>
      </c>
      <c r="H730" t="str">
        <f t="shared" si="45"/>
        <v>Lokman Efe ŞENGÜL</v>
      </c>
      <c r="I730" t="str">
        <f t="shared" si="46"/>
        <v>10H Otomotiv Mekanikerliği</v>
      </c>
      <c r="J730" t="str">
        <f t="shared" si="47"/>
        <v>10H</v>
      </c>
    </row>
    <row r="731" spans="1:10" x14ac:dyDescent="0.25">
      <c r="A731" s="3">
        <v>52720214496</v>
      </c>
      <c r="B731" s="3" t="s">
        <v>807</v>
      </c>
      <c r="C731" s="3" t="s">
        <v>12</v>
      </c>
      <c r="D731" s="3" t="s">
        <v>314</v>
      </c>
      <c r="E731" s="3">
        <v>10</v>
      </c>
      <c r="F731" s="3" t="s">
        <v>642</v>
      </c>
      <c r="G731" s="4" t="str">
        <f t="shared" si="44"/>
        <v>14496</v>
      </c>
      <c r="H731" t="str">
        <f t="shared" si="45"/>
        <v>Mahmut ÇETİNKAYA</v>
      </c>
      <c r="I731" t="str">
        <f t="shared" si="46"/>
        <v>10İ Otomotiv Mekanikerliği</v>
      </c>
      <c r="J731" t="str">
        <f t="shared" si="47"/>
        <v>10İ</v>
      </c>
    </row>
    <row r="732" spans="1:10" x14ac:dyDescent="0.25">
      <c r="A732" s="3">
        <v>25577205788</v>
      </c>
      <c r="B732" s="3" t="s">
        <v>808</v>
      </c>
      <c r="C732" s="3" t="s">
        <v>12</v>
      </c>
      <c r="D732" s="3" t="s">
        <v>314</v>
      </c>
      <c r="E732" s="3">
        <v>10</v>
      </c>
      <c r="F732" s="3" t="s">
        <v>434</v>
      </c>
      <c r="G732" s="4" t="str">
        <f t="shared" si="44"/>
        <v>05788</v>
      </c>
      <c r="H732" t="str">
        <f t="shared" si="45"/>
        <v>Mehmet Ali GÜNEY</v>
      </c>
      <c r="I732" t="str">
        <f t="shared" si="46"/>
        <v>10K Otomotiv Mekanikerliği</v>
      </c>
      <c r="J732" t="str">
        <f t="shared" si="47"/>
        <v>10K</v>
      </c>
    </row>
    <row r="733" spans="1:10" x14ac:dyDescent="0.25">
      <c r="A733" s="3">
        <v>31199143506</v>
      </c>
      <c r="B733" s="3" t="s">
        <v>809</v>
      </c>
      <c r="C733" s="3" t="s">
        <v>12</v>
      </c>
      <c r="D733" s="3" t="s">
        <v>314</v>
      </c>
      <c r="E733" s="3">
        <v>10</v>
      </c>
      <c r="F733" s="3" t="s">
        <v>55</v>
      </c>
      <c r="G733" s="4" t="str">
        <f t="shared" si="44"/>
        <v>43506</v>
      </c>
      <c r="H733" t="str">
        <f t="shared" si="45"/>
        <v>Mehmet Emir SOYLU</v>
      </c>
      <c r="I733" t="str">
        <f t="shared" si="46"/>
        <v>10G Otomotiv Mekanikerliği</v>
      </c>
      <c r="J733" t="str">
        <f t="shared" si="47"/>
        <v>10G</v>
      </c>
    </row>
    <row r="734" spans="1:10" x14ac:dyDescent="0.25">
      <c r="A734" s="3">
        <v>15695660132</v>
      </c>
      <c r="B734" s="3" t="s">
        <v>810</v>
      </c>
      <c r="C734" s="3" t="s">
        <v>12</v>
      </c>
      <c r="D734" s="3" t="s">
        <v>314</v>
      </c>
      <c r="E734" s="3">
        <v>10</v>
      </c>
      <c r="F734" s="3" t="s">
        <v>166</v>
      </c>
      <c r="G734" s="4" t="str">
        <f t="shared" si="44"/>
        <v>60132</v>
      </c>
      <c r="H734" t="str">
        <f t="shared" si="45"/>
        <v>Muarrem BAYDAR</v>
      </c>
      <c r="I734" t="str">
        <f t="shared" si="46"/>
        <v>10F Otomotiv Mekanikerliği</v>
      </c>
      <c r="J734" t="str">
        <f t="shared" si="47"/>
        <v>10F</v>
      </c>
    </row>
    <row r="735" spans="1:10" x14ac:dyDescent="0.25">
      <c r="A735" s="3">
        <v>13763724700</v>
      </c>
      <c r="B735" s="3" t="s">
        <v>811</v>
      </c>
      <c r="C735" s="3" t="s">
        <v>12</v>
      </c>
      <c r="D735" s="3" t="s">
        <v>314</v>
      </c>
      <c r="E735" s="3">
        <v>10</v>
      </c>
      <c r="F735" s="3" t="s">
        <v>642</v>
      </c>
      <c r="G735" s="4" t="str">
        <f t="shared" si="44"/>
        <v>24700</v>
      </c>
      <c r="H735" t="str">
        <f t="shared" si="45"/>
        <v>Muhammed Emin ZORAVALİ</v>
      </c>
      <c r="I735" t="str">
        <f t="shared" si="46"/>
        <v>10İ Otomotiv Mekanikerliği</v>
      </c>
      <c r="J735" t="str">
        <f t="shared" si="47"/>
        <v>10İ</v>
      </c>
    </row>
    <row r="736" spans="1:10" x14ac:dyDescent="0.25">
      <c r="A736" s="3">
        <v>54802357060</v>
      </c>
      <c r="B736" s="3" t="s">
        <v>812</v>
      </c>
      <c r="C736" s="3" t="s">
        <v>12</v>
      </c>
      <c r="D736" s="3" t="s">
        <v>314</v>
      </c>
      <c r="E736" s="3">
        <v>10</v>
      </c>
      <c r="F736" s="3" t="s">
        <v>642</v>
      </c>
      <c r="G736" s="4" t="str">
        <f t="shared" si="44"/>
        <v>57060</v>
      </c>
      <c r="H736" t="str">
        <f t="shared" si="45"/>
        <v>Muhammed Furkan KÖSE</v>
      </c>
      <c r="I736" t="str">
        <f t="shared" si="46"/>
        <v>10İ Otomotiv Mekanikerliği</v>
      </c>
      <c r="J736" t="str">
        <f t="shared" si="47"/>
        <v>10İ</v>
      </c>
    </row>
    <row r="737" spans="1:10" x14ac:dyDescent="0.25">
      <c r="A737" s="3">
        <v>64303121268</v>
      </c>
      <c r="B737" s="3" t="s">
        <v>813</v>
      </c>
      <c r="C737" s="3" t="s">
        <v>12</v>
      </c>
      <c r="D737" s="3" t="s">
        <v>314</v>
      </c>
      <c r="E737" s="3">
        <v>10</v>
      </c>
      <c r="F737" s="3" t="s">
        <v>55</v>
      </c>
      <c r="G737" s="4" t="str">
        <f t="shared" si="44"/>
        <v>21268</v>
      </c>
      <c r="H737" t="str">
        <f t="shared" si="45"/>
        <v>Muhammed Mustafa GILIÇ</v>
      </c>
      <c r="I737" t="str">
        <f t="shared" si="46"/>
        <v>10G Otomotiv Mekanikerliği</v>
      </c>
      <c r="J737" t="str">
        <f t="shared" si="47"/>
        <v>10G</v>
      </c>
    </row>
    <row r="738" spans="1:10" x14ac:dyDescent="0.25">
      <c r="A738" s="3">
        <v>20995855294</v>
      </c>
      <c r="B738" s="3" t="s">
        <v>814</v>
      </c>
      <c r="C738" s="3" t="s">
        <v>12</v>
      </c>
      <c r="D738" s="3" t="s">
        <v>314</v>
      </c>
      <c r="E738" s="3">
        <v>10</v>
      </c>
      <c r="F738" s="3" t="s">
        <v>166</v>
      </c>
      <c r="G738" s="4" t="str">
        <f t="shared" si="44"/>
        <v>55294</v>
      </c>
      <c r="H738" t="str">
        <f t="shared" si="45"/>
        <v>Muhammed Yasir GÖK</v>
      </c>
      <c r="I738" t="str">
        <f t="shared" si="46"/>
        <v>10F Otomotiv Mekanikerliği</v>
      </c>
      <c r="J738" t="str">
        <f t="shared" si="47"/>
        <v>10F</v>
      </c>
    </row>
    <row r="739" spans="1:10" x14ac:dyDescent="0.25">
      <c r="A739" s="3">
        <v>45481667854</v>
      </c>
      <c r="B739" s="3" t="s">
        <v>815</v>
      </c>
      <c r="C739" s="3" t="s">
        <v>12</v>
      </c>
      <c r="D739" s="3" t="s">
        <v>314</v>
      </c>
      <c r="E739" s="3">
        <v>10</v>
      </c>
      <c r="F739" s="3" t="s">
        <v>434</v>
      </c>
      <c r="G739" s="4" t="str">
        <f t="shared" si="44"/>
        <v>67854</v>
      </c>
      <c r="H739" t="str">
        <f t="shared" si="45"/>
        <v>Muhammet Can IŞIK</v>
      </c>
      <c r="I739" t="str">
        <f t="shared" si="46"/>
        <v>10K Otomotiv Mekanikerliği</v>
      </c>
      <c r="J739" t="str">
        <f t="shared" si="47"/>
        <v>10K</v>
      </c>
    </row>
    <row r="740" spans="1:10" x14ac:dyDescent="0.25">
      <c r="A740" s="3">
        <v>35170857130</v>
      </c>
      <c r="B740" s="3" t="s">
        <v>816</v>
      </c>
      <c r="C740" s="3" t="s">
        <v>12</v>
      </c>
      <c r="D740" s="3" t="s">
        <v>314</v>
      </c>
      <c r="E740" s="3">
        <v>10</v>
      </c>
      <c r="F740" s="3" t="s">
        <v>55</v>
      </c>
      <c r="G740" s="4" t="str">
        <f t="shared" si="44"/>
        <v>57130</v>
      </c>
      <c r="H740" t="str">
        <f t="shared" si="45"/>
        <v>Muhammet Efe ÖZÇELİK</v>
      </c>
      <c r="I740" t="str">
        <f t="shared" si="46"/>
        <v>10G Otomotiv Mekanikerliği</v>
      </c>
      <c r="J740" t="str">
        <f t="shared" si="47"/>
        <v>10G</v>
      </c>
    </row>
    <row r="741" spans="1:10" x14ac:dyDescent="0.25">
      <c r="A741" s="3">
        <v>43510443172</v>
      </c>
      <c r="B741" s="3" t="s">
        <v>817</v>
      </c>
      <c r="C741" s="3" t="s">
        <v>12</v>
      </c>
      <c r="D741" s="3" t="s">
        <v>314</v>
      </c>
      <c r="E741" s="3">
        <v>10</v>
      </c>
      <c r="F741" s="3" t="s">
        <v>438</v>
      </c>
      <c r="G741" s="4" t="str">
        <f t="shared" si="44"/>
        <v>43172</v>
      </c>
      <c r="H741" t="str">
        <f t="shared" si="45"/>
        <v>Muhammet Hasan ALTIN</v>
      </c>
      <c r="I741" t="str">
        <f t="shared" si="46"/>
        <v>10H Otomotiv Mekanikerliği</v>
      </c>
      <c r="J741" t="str">
        <f t="shared" si="47"/>
        <v>10H</v>
      </c>
    </row>
    <row r="742" spans="1:10" x14ac:dyDescent="0.25">
      <c r="A742" s="3">
        <v>13838722150</v>
      </c>
      <c r="B742" s="3" t="s">
        <v>818</v>
      </c>
      <c r="C742" s="3" t="s">
        <v>12</v>
      </c>
      <c r="D742" s="3" t="s">
        <v>314</v>
      </c>
      <c r="E742" s="3">
        <v>10</v>
      </c>
      <c r="F742" s="3" t="s">
        <v>642</v>
      </c>
      <c r="G742" s="4" t="str">
        <f t="shared" si="44"/>
        <v>22150</v>
      </c>
      <c r="H742" t="str">
        <f t="shared" si="45"/>
        <v>Murat Efe KOÇDAĞ</v>
      </c>
      <c r="I742" t="str">
        <f t="shared" si="46"/>
        <v>10İ Otomotiv Mekanikerliği</v>
      </c>
      <c r="J742" t="str">
        <f t="shared" si="47"/>
        <v>10İ</v>
      </c>
    </row>
    <row r="743" spans="1:10" x14ac:dyDescent="0.25">
      <c r="A743" s="3">
        <v>36058981640</v>
      </c>
      <c r="B743" s="3" t="s">
        <v>819</v>
      </c>
      <c r="C743" s="3" t="s">
        <v>12</v>
      </c>
      <c r="D743" s="3" t="s">
        <v>314</v>
      </c>
      <c r="E743" s="3">
        <v>10</v>
      </c>
      <c r="F743" s="3" t="s">
        <v>55</v>
      </c>
      <c r="G743" s="4" t="str">
        <f t="shared" si="44"/>
        <v>81640</v>
      </c>
      <c r="H743" t="str">
        <f t="shared" si="45"/>
        <v>Mustafa Eren ŞİMŞEK</v>
      </c>
      <c r="I743" t="str">
        <f t="shared" si="46"/>
        <v>10G Otomotiv Mekanikerliği</v>
      </c>
      <c r="J743" t="str">
        <f t="shared" si="47"/>
        <v>10G</v>
      </c>
    </row>
    <row r="744" spans="1:10" x14ac:dyDescent="0.25">
      <c r="A744" s="3">
        <v>67249090872</v>
      </c>
      <c r="B744" s="3" t="s">
        <v>820</v>
      </c>
      <c r="C744" s="3" t="s">
        <v>12</v>
      </c>
      <c r="D744" s="3" t="s">
        <v>314</v>
      </c>
      <c r="E744" s="3">
        <v>10</v>
      </c>
      <c r="F744" s="3" t="s">
        <v>642</v>
      </c>
      <c r="G744" s="4" t="str">
        <f t="shared" si="44"/>
        <v>90872</v>
      </c>
      <c r="H744" t="str">
        <f t="shared" si="45"/>
        <v>Onur ÖNCEL</v>
      </c>
      <c r="I744" t="str">
        <f t="shared" si="46"/>
        <v>10İ Otomotiv Mekanikerliği</v>
      </c>
      <c r="J744" t="str">
        <f t="shared" si="47"/>
        <v>10İ</v>
      </c>
    </row>
    <row r="745" spans="1:10" x14ac:dyDescent="0.25">
      <c r="A745" s="3">
        <v>33365357656</v>
      </c>
      <c r="B745" s="3" t="s">
        <v>821</v>
      </c>
      <c r="C745" s="3" t="s">
        <v>12</v>
      </c>
      <c r="D745" s="3" t="s">
        <v>314</v>
      </c>
      <c r="E745" s="3">
        <v>10</v>
      </c>
      <c r="F745" s="3" t="s">
        <v>438</v>
      </c>
      <c r="G745" s="4" t="str">
        <f t="shared" si="44"/>
        <v>57656</v>
      </c>
      <c r="H745" t="str">
        <f t="shared" si="45"/>
        <v>Poyraz DEMİR</v>
      </c>
      <c r="I745" t="str">
        <f t="shared" si="46"/>
        <v>10H Otomotiv Mekanikerliği</v>
      </c>
      <c r="J745" t="str">
        <f t="shared" si="47"/>
        <v>10H</v>
      </c>
    </row>
    <row r="746" spans="1:10" x14ac:dyDescent="0.25">
      <c r="A746" s="3">
        <v>47839027280</v>
      </c>
      <c r="B746" s="3" t="s">
        <v>822</v>
      </c>
      <c r="C746" s="3" t="s">
        <v>12</v>
      </c>
      <c r="D746" s="3" t="s">
        <v>314</v>
      </c>
      <c r="E746" s="3">
        <v>10</v>
      </c>
      <c r="F746" s="3" t="s">
        <v>438</v>
      </c>
      <c r="G746" s="4" t="str">
        <f t="shared" si="44"/>
        <v>27280</v>
      </c>
      <c r="H746" t="str">
        <f t="shared" si="45"/>
        <v>Ramazan GELİYOR</v>
      </c>
      <c r="I746" t="str">
        <f t="shared" si="46"/>
        <v>10H Otomotiv Mekanikerliği</v>
      </c>
      <c r="J746" t="str">
        <f t="shared" si="47"/>
        <v>10H</v>
      </c>
    </row>
    <row r="747" spans="1:10" x14ac:dyDescent="0.25">
      <c r="A747" s="3">
        <v>60685309300</v>
      </c>
      <c r="B747" s="3" t="s">
        <v>823</v>
      </c>
      <c r="C747" s="3" t="s">
        <v>12</v>
      </c>
      <c r="D747" s="3" t="s">
        <v>314</v>
      </c>
      <c r="E747" s="3">
        <v>10</v>
      </c>
      <c r="F747" s="3" t="s">
        <v>55</v>
      </c>
      <c r="G747" s="4" t="str">
        <f t="shared" si="44"/>
        <v>09300</v>
      </c>
      <c r="H747" t="str">
        <f t="shared" si="45"/>
        <v>Rasim KİLİTÇİ</v>
      </c>
      <c r="I747" t="str">
        <f t="shared" si="46"/>
        <v>10G Otomotiv Mekanikerliği</v>
      </c>
      <c r="J747" t="str">
        <f t="shared" si="47"/>
        <v>10G</v>
      </c>
    </row>
    <row r="748" spans="1:10" x14ac:dyDescent="0.25">
      <c r="A748" s="3">
        <v>27209435068</v>
      </c>
      <c r="B748" s="3" t="s">
        <v>824</v>
      </c>
      <c r="C748" s="3" t="s">
        <v>12</v>
      </c>
      <c r="D748" s="3" t="s">
        <v>314</v>
      </c>
      <c r="E748" s="3">
        <v>10</v>
      </c>
      <c r="F748" s="3" t="s">
        <v>434</v>
      </c>
      <c r="G748" s="4" t="str">
        <f t="shared" si="44"/>
        <v>35068</v>
      </c>
      <c r="H748" t="str">
        <f t="shared" si="45"/>
        <v>Remzi GÖKÇE</v>
      </c>
      <c r="I748" t="str">
        <f t="shared" si="46"/>
        <v>10K Otomotiv Mekanikerliği</v>
      </c>
      <c r="J748" t="str">
        <f t="shared" si="47"/>
        <v>10K</v>
      </c>
    </row>
    <row r="749" spans="1:10" x14ac:dyDescent="0.25">
      <c r="A749" s="3">
        <v>39880854410</v>
      </c>
      <c r="B749" s="3" t="s">
        <v>825</v>
      </c>
      <c r="C749" s="3" t="s">
        <v>12</v>
      </c>
      <c r="D749" s="3" t="s">
        <v>314</v>
      </c>
      <c r="E749" s="3">
        <v>10</v>
      </c>
      <c r="F749" s="3" t="s">
        <v>166</v>
      </c>
      <c r="G749" s="4" t="str">
        <f t="shared" si="44"/>
        <v>54410</v>
      </c>
      <c r="H749" t="str">
        <f t="shared" si="45"/>
        <v>Said Mansur ELBAHADIR</v>
      </c>
      <c r="I749" t="str">
        <f t="shared" si="46"/>
        <v>10F Otomotiv Mekanikerliği</v>
      </c>
      <c r="J749" t="str">
        <f t="shared" si="47"/>
        <v>10F</v>
      </c>
    </row>
    <row r="750" spans="1:10" x14ac:dyDescent="0.25">
      <c r="A750" s="3">
        <v>65413003888</v>
      </c>
      <c r="B750" s="3" t="s">
        <v>826</v>
      </c>
      <c r="C750" s="3" t="s">
        <v>12</v>
      </c>
      <c r="D750" s="3" t="s">
        <v>314</v>
      </c>
      <c r="E750" s="3">
        <v>10</v>
      </c>
      <c r="F750" s="3" t="s">
        <v>642</v>
      </c>
      <c r="G750" s="4" t="str">
        <f t="shared" si="44"/>
        <v>03888</v>
      </c>
      <c r="H750" t="str">
        <f t="shared" si="45"/>
        <v>Serhat ADIGÜZEL</v>
      </c>
      <c r="I750" t="str">
        <f t="shared" si="46"/>
        <v>10İ Otomotiv Mekanikerliği</v>
      </c>
      <c r="J750" t="str">
        <f t="shared" si="47"/>
        <v>10İ</v>
      </c>
    </row>
    <row r="751" spans="1:10" x14ac:dyDescent="0.25">
      <c r="A751" s="3">
        <v>33779119932</v>
      </c>
      <c r="B751" s="3" t="s">
        <v>827</v>
      </c>
      <c r="C751" s="3" t="s">
        <v>12</v>
      </c>
      <c r="D751" s="3" t="s">
        <v>314</v>
      </c>
      <c r="E751" s="3">
        <v>10</v>
      </c>
      <c r="F751" s="3" t="s">
        <v>717</v>
      </c>
      <c r="G751" s="4" t="str">
        <f t="shared" si="44"/>
        <v>19932</v>
      </c>
      <c r="H751" t="str">
        <f t="shared" si="45"/>
        <v>Taha GÖZCÜ</v>
      </c>
      <c r="I751" t="str">
        <f t="shared" si="46"/>
        <v>10N Otomotiv Mekanikerliği</v>
      </c>
      <c r="J751" t="str">
        <f t="shared" si="47"/>
        <v>10N</v>
      </c>
    </row>
    <row r="752" spans="1:10" x14ac:dyDescent="0.25">
      <c r="A752" s="3">
        <v>23069414526</v>
      </c>
      <c r="B752" s="3" t="s">
        <v>828</v>
      </c>
      <c r="C752" s="3" t="s">
        <v>12</v>
      </c>
      <c r="D752" s="3" t="s">
        <v>314</v>
      </c>
      <c r="E752" s="3">
        <v>10</v>
      </c>
      <c r="F752" s="3" t="s">
        <v>438</v>
      </c>
      <c r="G752" s="4" t="str">
        <f t="shared" si="44"/>
        <v>14526</v>
      </c>
      <c r="H752" t="str">
        <f t="shared" si="45"/>
        <v>Talha Muhammet ÇAPCI</v>
      </c>
      <c r="I752" t="str">
        <f t="shared" si="46"/>
        <v>10H Otomotiv Mekanikerliği</v>
      </c>
      <c r="J752" t="str">
        <f t="shared" si="47"/>
        <v>10H</v>
      </c>
    </row>
    <row r="753" spans="1:10" x14ac:dyDescent="0.25">
      <c r="A753" s="3">
        <v>50683494122</v>
      </c>
      <c r="B753" s="3" t="s">
        <v>829</v>
      </c>
      <c r="C753" s="3" t="s">
        <v>12</v>
      </c>
      <c r="D753" s="3" t="s">
        <v>314</v>
      </c>
      <c r="E753" s="3">
        <v>10</v>
      </c>
      <c r="F753" s="3" t="s">
        <v>434</v>
      </c>
      <c r="G753" s="4" t="str">
        <f t="shared" si="44"/>
        <v>94122</v>
      </c>
      <c r="H753" t="str">
        <f t="shared" si="45"/>
        <v>Tuğrul SEVGİ</v>
      </c>
      <c r="I753" t="str">
        <f t="shared" si="46"/>
        <v>10K Otomotiv Mekanikerliği</v>
      </c>
      <c r="J753" t="str">
        <f t="shared" si="47"/>
        <v>10K</v>
      </c>
    </row>
    <row r="754" spans="1:10" x14ac:dyDescent="0.25">
      <c r="A754" s="3">
        <v>25814323480</v>
      </c>
      <c r="B754" s="3" t="s">
        <v>830</v>
      </c>
      <c r="C754" s="3" t="s">
        <v>12</v>
      </c>
      <c r="D754" s="3" t="s">
        <v>314</v>
      </c>
      <c r="E754" s="3">
        <v>10</v>
      </c>
      <c r="F754" s="3" t="s">
        <v>438</v>
      </c>
      <c r="G754" s="4" t="str">
        <f t="shared" si="44"/>
        <v>23480</v>
      </c>
      <c r="H754" t="str">
        <f t="shared" si="45"/>
        <v>Tunahan EKER</v>
      </c>
      <c r="I754" t="str">
        <f t="shared" si="46"/>
        <v>10H Otomotiv Mekanikerliği</v>
      </c>
      <c r="J754" t="str">
        <f t="shared" si="47"/>
        <v>10H</v>
      </c>
    </row>
    <row r="755" spans="1:10" x14ac:dyDescent="0.25">
      <c r="A755" s="3">
        <v>58576231816</v>
      </c>
      <c r="B755" s="3" t="s">
        <v>831</v>
      </c>
      <c r="C755" s="3" t="s">
        <v>12</v>
      </c>
      <c r="D755" s="3" t="s">
        <v>314</v>
      </c>
      <c r="E755" s="3">
        <v>10</v>
      </c>
      <c r="F755" s="3" t="s">
        <v>55</v>
      </c>
      <c r="G755" s="4" t="str">
        <f t="shared" si="44"/>
        <v>31816</v>
      </c>
      <c r="H755" t="str">
        <f t="shared" si="45"/>
        <v>Uğur KUŞCU</v>
      </c>
      <c r="I755" t="str">
        <f t="shared" si="46"/>
        <v>10G Otomotiv Mekanikerliği</v>
      </c>
      <c r="J755" t="str">
        <f t="shared" si="47"/>
        <v>10G</v>
      </c>
    </row>
    <row r="756" spans="1:10" x14ac:dyDescent="0.25">
      <c r="A756" s="3">
        <v>30331956448</v>
      </c>
      <c r="B756" s="3" t="s">
        <v>832</v>
      </c>
      <c r="C756" s="3" t="s">
        <v>12</v>
      </c>
      <c r="D756" s="3" t="s">
        <v>314</v>
      </c>
      <c r="E756" s="3">
        <v>10</v>
      </c>
      <c r="F756" s="3" t="s">
        <v>166</v>
      </c>
      <c r="G756" s="4" t="str">
        <f t="shared" si="44"/>
        <v>56448</v>
      </c>
      <c r="H756" t="str">
        <f t="shared" si="45"/>
        <v>Umut YILDIZLI</v>
      </c>
      <c r="I756" t="str">
        <f t="shared" si="46"/>
        <v>10F Otomotiv Mekanikerliği</v>
      </c>
      <c r="J756" t="str">
        <f t="shared" si="47"/>
        <v>10F</v>
      </c>
    </row>
    <row r="757" spans="1:10" x14ac:dyDescent="0.25">
      <c r="A757" s="3">
        <v>34148130138</v>
      </c>
      <c r="B757" s="3" t="s">
        <v>833</v>
      </c>
      <c r="C757" s="3" t="s">
        <v>12</v>
      </c>
      <c r="D757" s="3" t="s">
        <v>314</v>
      </c>
      <c r="E757" s="3">
        <v>10</v>
      </c>
      <c r="F757" s="3" t="s">
        <v>434</v>
      </c>
      <c r="G757" s="4" t="str">
        <f t="shared" si="44"/>
        <v>30138</v>
      </c>
      <c r="H757" t="str">
        <f t="shared" si="45"/>
        <v>Umutcan AYAZ</v>
      </c>
      <c r="I757" t="str">
        <f t="shared" si="46"/>
        <v>10K Otomotiv Mekanikerliği</v>
      </c>
      <c r="J757" t="str">
        <f t="shared" si="47"/>
        <v>10K</v>
      </c>
    </row>
    <row r="758" spans="1:10" x14ac:dyDescent="0.25">
      <c r="A758" s="3">
        <v>30845155900</v>
      </c>
      <c r="B758" s="3" t="s">
        <v>834</v>
      </c>
      <c r="C758" s="3" t="s">
        <v>12</v>
      </c>
      <c r="D758" s="3" t="s">
        <v>314</v>
      </c>
      <c r="E758" s="3">
        <v>10</v>
      </c>
      <c r="F758" s="3" t="s">
        <v>55</v>
      </c>
      <c r="G758" s="4" t="str">
        <f t="shared" si="44"/>
        <v>55900</v>
      </c>
      <c r="H758" t="str">
        <f t="shared" si="45"/>
        <v>Utku SANCAR</v>
      </c>
      <c r="I758" t="str">
        <f t="shared" si="46"/>
        <v>10G Otomotiv Mekanikerliği</v>
      </c>
      <c r="J758" t="str">
        <f t="shared" si="47"/>
        <v>10G</v>
      </c>
    </row>
    <row r="759" spans="1:10" x14ac:dyDescent="0.25">
      <c r="A759" s="3">
        <v>25715484860</v>
      </c>
      <c r="B759" s="3" t="s">
        <v>835</v>
      </c>
      <c r="C759" s="3" t="s">
        <v>12</v>
      </c>
      <c r="D759" s="3" t="s">
        <v>314</v>
      </c>
      <c r="E759" s="3">
        <v>10</v>
      </c>
      <c r="F759" s="3" t="s">
        <v>438</v>
      </c>
      <c r="G759" s="4" t="str">
        <f t="shared" si="44"/>
        <v>84860</v>
      </c>
      <c r="H759" t="str">
        <f t="shared" si="45"/>
        <v>Veysel ALİŞAN</v>
      </c>
      <c r="I759" t="str">
        <f t="shared" si="46"/>
        <v>10H Otomotiv Mekanikerliği</v>
      </c>
      <c r="J759" t="str">
        <f t="shared" si="47"/>
        <v>10H</v>
      </c>
    </row>
    <row r="760" spans="1:10" x14ac:dyDescent="0.25">
      <c r="A760" s="3">
        <v>48238576126</v>
      </c>
      <c r="B760" s="3" t="s">
        <v>836</v>
      </c>
      <c r="C760" s="3" t="s">
        <v>12</v>
      </c>
      <c r="D760" s="3" t="s">
        <v>314</v>
      </c>
      <c r="E760" s="3">
        <v>10</v>
      </c>
      <c r="F760" s="3" t="s">
        <v>438</v>
      </c>
      <c r="G760" s="4" t="str">
        <f t="shared" si="44"/>
        <v>76126</v>
      </c>
      <c r="H760" t="str">
        <f t="shared" si="45"/>
        <v>Veysel GÖKÇE</v>
      </c>
      <c r="I760" t="str">
        <f t="shared" si="46"/>
        <v>10H Otomotiv Mekanikerliği</v>
      </c>
      <c r="J760" t="str">
        <f t="shared" si="47"/>
        <v>10H</v>
      </c>
    </row>
    <row r="761" spans="1:10" x14ac:dyDescent="0.25">
      <c r="A761" s="3">
        <v>47281607320</v>
      </c>
      <c r="B761" s="3" t="s">
        <v>837</v>
      </c>
      <c r="C761" s="3" t="s">
        <v>12</v>
      </c>
      <c r="D761" s="3" t="s">
        <v>314</v>
      </c>
      <c r="E761" s="3">
        <v>10</v>
      </c>
      <c r="F761" s="3" t="s">
        <v>166</v>
      </c>
      <c r="G761" s="4" t="str">
        <f t="shared" si="44"/>
        <v>07320</v>
      </c>
      <c r="H761" t="str">
        <f t="shared" si="45"/>
        <v>Veysel YILDIRIM</v>
      </c>
      <c r="I761" t="str">
        <f t="shared" si="46"/>
        <v>10F Otomotiv Mekanikerliği</v>
      </c>
      <c r="J761" t="str">
        <f t="shared" si="47"/>
        <v>10F</v>
      </c>
    </row>
    <row r="762" spans="1:10" x14ac:dyDescent="0.25">
      <c r="A762" s="3">
        <v>32576098112</v>
      </c>
      <c r="B762" s="3" t="s">
        <v>838</v>
      </c>
      <c r="C762" s="3" t="s">
        <v>12</v>
      </c>
      <c r="D762" s="3" t="s">
        <v>314</v>
      </c>
      <c r="E762" s="3">
        <v>10</v>
      </c>
      <c r="F762" s="3" t="s">
        <v>55</v>
      </c>
      <c r="G762" s="4" t="str">
        <f t="shared" si="44"/>
        <v>98112</v>
      </c>
      <c r="H762" t="str">
        <f t="shared" si="45"/>
        <v>Yiğit Can SEVİM</v>
      </c>
      <c r="I762" t="str">
        <f t="shared" si="46"/>
        <v>10G Otomotiv Mekanikerliği</v>
      </c>
      <c r="J762" t="str">
        <f t="shared" si="47"/>
        <v>10G</v>
      </c>
    </row>
    <row r="763" spans="1:10" x14ac:dyDescent="0.25">
      <c r="A763" s="3">
        <v>19964354630</v>
      </c>
      <c r="B763" s="3" t="s">
        <v>839</v>
      </c>
      <c r="C763" s="3" t="s">
        <v>12</v>
      </c>
      <c r="D763" s="3" t="s">
        <v>314</v>
      </c>
      <c r="E763" s="3">
        <v>10</v>
      </c>
      <c r="F763" s="3" t="s">
        <v>642</v>
      </c>
      <c r="G763" s="4" t="str">
        <f t="shared" si="44"/>
        <v>54630</v>
      </c>
      <c r="H763" t="str">
        <f t="shared" si="45"/>
        <v>Yiğit KAHRAMAN</v>
      </c>
      <c r="I763" t="str">
        <f t="shared" si="46"/>
        <v>10İ Otomotiv Mekanikerliği</v>
      </c>
      <c r="J763" t="str">
        <f t="shared" si="47"/>
        <v>10İ</v>
      </c>
    </row>
    <row r="764" spans="1:10" x14ac:dyDescent="0.25">
      <c r="A764" s="3">
        <v>47458602332</v>
      </c>
      <c r="B764" s="3" t="s">
        <v>840</v>
      </c>
      <c r="C764" s="3" t="s">
        <v>12</v>
      </c>
      <c r="D764" s="3" t="s">
        <v>314</v>
      </c>
      <c r="E764" s="3">
        <v>10</v>
      </c>
      <c r="F764" s="3" t="s">
        <v>55</v>
      </c>
      <c r="G764" s="4" t="str">
        <f t="shared" si="44"/>
        <v>02332</v>
      </c>
      <c r="H764" t="str">
        <f t="shared" si="45"/>
        <v>Yiğit PEKMEZCİ</v>
      </c>
      <c r="I764" t="str">
        <f t="shared" si="46"/>
        <v>10G Otomotiv Mekanikerliği</v>
      </c>
      <c r="J764" t="str">
        <f t="shared" si="47"/>
        <v>10G</v>
      </c>
    </row>
    <row r="765" spans="1:10" x14ac:dyDescent="0.25">
      <c r="A765" s="3">
        <v>19826522498</v>
      </c>
      <c r="B765" s="3" t="s">
        <v>841</v>
      </c>
      <c r="C765" s="3" t="s">
        <v>12</v>
      </c>
      <c r="D765" s="3" t="s">
        <v>314</v>
      </c>
      <c r="E765" s="3">
        <v>10</v>
      </c>
      <c r="F765" s="3" t="s">
        <v>434</v>
      </c>
      <c r="G765" s="4" t="str">
        <f t="shared" si="44"/>
        <v>22498</v>
      </c>
      <c r="H765" t="str">
        <f t="shared" si="45"/>
        <v>Yunus Emre YILDIZ</v>
      </c>
      <c r="I765" t="str">
        <f t="shared" si="46"/>
        <v>10K Otomotiv Mekanikerliği</v>
      </c>
      <c r="J765" t="str">
        <f t="shared" si="47"/>
        <v>10K</v>
      </c>
    </row>
    <row r="766" spans="1:10" x14ac:dyDescent="0.25">
      <c r="A766" s="3">
        <v>64210043998</v>
      </c>
      <c r="B766" s="3" t="s">
        <v>842</v>
      </c>
      <c r="C766" s="3" t="s">
        <v>12</v>
      </c>
      <c r="D766" s="3" t="s">
        <v>314</v>
      </c>
      <c r="E766" s="3">
        <v>10</v>
      </c>
      <c r="F766" s="3" t="s">
        <v>55</v>
      </c>
      <c r="G766" s="4" t="str">
        <f t="shared" si="44"/>
        <v>43998</v>
      </c>
      <c r="H766" t="str">
        <f t="shared" si="45"/>
        <v>Yusuf Yiğit ARPACI</v>
      </c>
      <c r="I766" t="str">
        <f t="shared" si="46"/>
        <v>10G Otomotiv Mekanikerliği</v>
      </c>
      <c r="J766" t="str">
        <f t="shared" si="47"/>
        <v>10G</v>
      </c>
    </row>
    <row r="767" spans="1:10" x14ac:dyDescent="0.25">
      <c r="A767" s="3">
        <v>35488610656</v>
      </c>
      <c r="B767" s="3" t="s">
        <v>843</v>
      </c>
      <c r="C767" s="3" t="s">
        <v>12</v>
      </c>
      <c r="D767" s="3" t="s">
        <v>345</v>
      </c>
      <c r="E767" s="3">
        <v>10</v>
      </c>
      <c r="F767" s="3" t="s">
        <v>166</v>
      </c>
      <c r="G767" s="4" t="str">
        <f t="shared" si="44"/>
        <v>10656</v>
      </c>
      <c r="H767" t="str">
        <f t="shared" si="45"/>
        <v>Berat YAVUZ</v>
      </c>
      <c r="I767" t="str">
        <f t="shared" si="46"/>
        <v>10F Otomotiv Motor Yenileştirmeciliği</v>
      </c>
      <c r="J767" t="str">
        <f t="shared" si="47"/>
        <v>10F</v>
      </c>
    </row>
    <row r="768" spans="1:10" x14ac:dyDescent="0.25">
      <c r="A768" s="3">
        <v>48841555808</v>
      </c>
      <c r="B768" s="3" t="s">
        <v>844</v>
      </c>
      <c r="C768" s="3" t="s">
        <v>12</v>
      </c>
      <c r="D768" s="3" t="s">
        <v>345</v>
      </c>
      <c r="E768" s="3">
        <v>10</v>
      </c>
      <c r="F768" s="3" t="s">
        <v>434</v>
      </c>
      <c r="G768" s="4" t="str">
        <f t="shared" si="44"/>
        <v>55808</v>
      </c>
      <c r="H768" t="str">
        <f t="shared" si="45"/>
        <v>Ümit YILMAZ</v>
      </c>
      <c r="I768" t="str">
        <f t="shared" si="46"/>
        <v>10K Otomotiv Motor Yenileştirmeciliği</v>
      </c>
      <c r="J768" t="str">
        <f t="shared" si="47"/>
        <v>10K</v>
      </c>
    </row>
    <row r="769" spans="1:10" x14ac:dyDescent="0.25">
      <c r="A769" s="3">
        <v>20564558410</v>
      </c>
      <c r="B769" s="3" t="s">
        <v>845</v>
      </c>
      <c r="C769" s="3" t="s">
        <v>12</v>
      </c>
      <c r="D769" s="3" t="s">
        <v>348</v>
      </c>
      <c r="E769" s="3">
        <v>10</v>
      </c>
      <c r="F769" s="3" t="s">
        <v>166</v>
      </c>
      <c r="G769" s="4" t="str">
        <f t="shared" si="44"/>
        <v>58410</v>
      </c>
      <c r="H769" t="str">
        <f t="shared" si="45"/>
        <v>Abdulservet ŞAHİN</v>
      </c>
      <c r="I769" t="str">
        <f t="shared" si="46"/>
        <v>10F Ön Düzen Ayarcılığı Ve Lastikçilik</v>
      </c>
      <c r="J769" t="str">
        <f t="shared" si="47"/>
        <v>10F</v>
      </c>
    </row>
    <row r="770" spans="1:10" x14ac:dyDescent="0.25">
      <c r="A770" s="3">
        <v>36823955876</v>
      </c>
      <c r="B770" s="3" t="s">
        <v>846</v>
      </c>
      <c r="C770" s="3" t="s">
        <v>12</v>
      </c>
      <c r="D770" s="3" t="s">
        <v>348</v>
      </c>
      <c r="E770" s="3">
        <v>10</v>
      </c>
      <c r="F770" s="3" t="s">
        <v>434</v>
      </c>
      <c r="G770" s="4" t="str">
        <f t="shared" si="44"/>
        <v>55876</v>
      </c>
      <c r="H770" t="str">
        <f t="shared" si="45"/>
        <v>Ali Can YANIKCI</v>
      </c>
      <c r="I770" t="str">
        <f t="shared" si="46"/>
        <v>10K Ön Düzen Ayarcılığı Ve Lastikçilik</v>
      </c>
      <c r="J770" t="str">
        <f t="shared" si="47"/>
        <v>10K</v>
      </c>
    </row>
    <row r="771" spans="1:10" x14ac:dyDescent="0.25">
      <c r="A771" s="3">
        <v>50200510946</v>
      </c>
      <c r="B771" s="3" t="s">
        <v>847</v>
      </c>
      <c r="C771" s="3" t="s">
        <v>12</v>
      </c>
      <c r="D771" s="3" t="s">
        <v>348</v>
      </c>
      <c r="E771" s="3">
        <v>10</v>
      </c>
      <c r="F771" s="3" t="s">
        <v>55</v>
      </c>
      <c r="G771" s="4" t="str">
        <f t="shared" si="44"/>
        <v>10946</v>
      </c>
      <c r="H771" t="str">
        <f t="shared" si="45"/>
        <v>Ata İŞLER</v>
      </c>
      <c r="I771" t="str">
        <f t="shared" si="46"/>
        <v>10G Ön Düzen Ayarcılığı Ve Lastikçilik</v>
      </c>
      <c r="J771" t="str">
        <f t="shared" si="47"/>
        <v>10G</v>
      </c>
    </row>
    <row r="772" spans="1:10" x14ac:dyDescent="0.25">
      <c r="A772" s="3">
        <v>39742771886</v>
      </c>
      <c r="B772" s="3" t="s">
        <v>848</v>
      </c>
      <c r="C772" s="3" t="s">
        <v>12</v>
      </c>
      <c r="D772" s="3" t="s">
        <v>348</v>
      </c>
      <c r="E772" s="3">
        <v>10</v>
      </c>
      <c r="F772" s="3" t="s">
        <v>434</v>
      </c>
      <c r="G772" s="4" t="str">
        <f t="shared" si="44"/>
        <v>71886</v>
      </c>
      <c r="H772" t="str">
        <f t="shared" si="45"/>
        <v>Batuhan ÖZBURUN</v>
      </c>
      <c r="I772" t="str">
        <f t="shared" si="46"/>
        <v>10K Ön Düzen Ayarcılığı Ve Lastikçilik</v>
      </c>
      <c r="J772" t="str">
        <f t="shared" si="47"/>
        <v>10K</v>
      </c>
    </row>
    <row r="773" spans="1:10" x14ac:dyDescent="0.25">
      <c r="A773" s="3">
        <v>26576083636</v>
      </c>
      <c r="B773" s="3" t="s">
        <v>849</v>
      </c>
      <c r="C773" s="3" t="s">
        <v>12</v>
      </c>
      <c r="D773" s="3" t="s">
        <v>348</v>
      </c>
      <c r="E773" s="3">
        <v>10</v>
      </c>
      <c r="F773" s="3" t="s">
        <v>55</v>
      </c>
      <c r="G773" s="4" t="str">
        <f t="shared" ref="G773:G836" si="48">RIGHT(A773,5)</f>
        <v>83636</v>
      </c>
      <c r="H773" t="str">
        <f t="shared" ref="H773:H836" si="49">B773</f>
        <v>Bedirhan KOÇ</v>
      </c>
      <c r="I773" t="str">
        <f t="shared" ref="I773:I836" si="50">CONCATENATE(E773,F773," ",D773)</f>
        <v>10G Ön Düzen Ayarcılığı Ve Lastikçilik</v>
      </c>
      <c r="J773" t="str">
        <f t="shared" ref="J773:J836" si="51">LEFT(I773,3)</f>
        <v>10G</v>
      </c>
    </row>
    <row r="774" spans="1:10" x14ac:dyDescent="0.25">
      <c r="A774" s="3">
        <v>53965754532</v>
      </c>
      <c r="B774" s="3" t="s">
        <v>850</v>
      </c>
      <c r="C774" s="3" t="s">
        <v>12</v>
      </c>
      <c r="D774" s="3" t="s">
        <v>348</v>
      </c>
      <c r="E774" s="3">
        <v>10</v>
      </c>
      <c r="F774" s="3" t="s">
        <v>642</v>
      </c>
      <c r="G774" s="4" t="str">
        <f t="shared" si="48"/>
        <v>54532</v>
      </c>
      <c r="H774" t="str">
        <f t="shared" si="49"/>
        <v>Beytullah AKYÜZ</v>
      </c>
      <c r="I774" t="str">
        <f t="shared" si="50"/>
        <v>10İ Ön Düzen Ayarcılığı Ve Lastikçilik</v>
      </c>
      <c r="J774" t="str">
        <f t="shared" si="51"/>
        <v>10İ</v>
      </c>
    </row>
    <row r="775" spans="1:10" x14ac:dyDescent="0.25">
      <c r="A775" s="3">
        <v>33659121864</v>
      </c>
      <c r="B775" s="3" t="s">
        <v>851</v>
      </c>
      <c r="C775" s="3" t="s">
        <v>12</v>
      </c>
      <c r="D775" s="3" t="s">
        <v>348</v>
      </c>
      <c r="E775" s="3">
        <v>10</v>
      </c>
      <c r="F775" s="3" t="s">
        <v>438</v>
      </c>
      <c r="G775" s="4" t="str">
        <f t="shared" si="48"/>
        <v>21864</v>
      </c>
      <c r="H775" t="str">
        <f t="shared" si="49"/>
        <v>Bilal ÖZBEK</v>
      </c>
      <c r="I775" t="str">
        <f t="shared" si="50"/>
        <v>10H Ön Düzen Ayarcılığı Ve Lastikçilik</v>
      </c>
      <c r="J775" t="str">
        <f t="shared" si="51"/>
        <v>10H</v>
      </c>
    </row>
    <row r="776" spans="1:10" x14ac:dyDescent="0.25">
      <c r="A776" s="3">
        <v>30212360210</v>
      </c>
      <c r="B776" s="3" t="s">
        <v>852</v>
      </c>
      <c r="C776" s="3" t="s">
        <v>12</v>
      </c>
      <c r="D776" s="3" t="s">
        <v>348</v>
      </c>
      <c r="E776" s="3">
        <v>10</v>
      </c>
      <c r="F776" s="3" t="s">
        <v>55</v>
      </c>
      <c r="G776" s="4" t="str">
        <f t="shared" si="48"/>
        <v>60210</v>
      </c>
      <c r="H776" t="str">
        <f t="shared" si="49"/>
        <v>Burak ACAR</v>
      </c>
      <c r="I776" t="str">
        <f t="shared" si="50"/>
        <v>10G Ön Düzen Ayarcılığı Ve Lastikçilik</v>
      </c>
      <c r="J776" t="str">
        <f t="shared" si="51"/>
        <v>10G</v>
      </c>
    </row>
    <row r="777" spans="1:10" x14ac:dyDescent="0.25">
      <c r="A777" s="3">
        <v>32069484422</v>
      </c>
      <c r="B777" s="3" t="s">
        <v>853</v>
      </c>
      <c r="C777" s="3" t="s">
        <v>12</v>
      </c>
      <c r="D777" s="3" t="s">
        <v>348</v>
      </c>
      <c r="E777" s="3">
        <v>10</v>
      </c>
      <c r="F777" s="3" t="s">
        <v>55</v>
      </c>
      <c r="G777" s="4" t="str">
        <f t="shared" si="48"/>
        <v>84422</v>
      </c>
      <c r="H777" t="str">
        <f t="shared" si="49"/>
        <v>Enver ÜNAL</v>
      </c>
      <c r="I777" t="str">
        <f t="shared" si="50"/>
        <v>10G Ön Düzen Ayarcılığı Ve Lastikçilik</v>
      </c>
      <c r="J777" t="str">
        <f t="shared" si="51"/>
        <v>10G</v>
      </c>
    </row>
    <row r="778" spans="1:10" x14ac:dyDescent="0.25">
      <c r="A778" s="3">
        <v>62974454258</v>
      </c>
      <c r="B778" s="3" t="s">
        <v>854</v>
      </c>
      <c r="C778" s="3" t="s">
        <v>12</v>
      </c>
      <c r="D778" s="3" t="s">
        <v>348</v>
      </c>
      <c r="E778" s="3">
        <v>10</v>
      </c>
      <c r="F778" s="3" t="s">
        <v>642</v>
      </c>
      <c r="G778" s="4" t="str">
        <f t="shared" si="48"/>
        <v>54258</v>
      </c>
      <c r="H778" t="str">
        <f t="shared" si="49"/>
        <v>Mahmut YILDIRIM</v>
      </c>
      <c r="I778" t="str">
        <f t="shared" si="50"/>
        <v>10İ Ön Düzen Ayarcılığı Ve Lastikçilik</v>
      </c>
      <c r="J778" t="str">
        <f t="shared" si="51"/>
        <v>10İ</v>
      </c>
    </row>
    <row r="779" spans="1:10" x14ac:dyDescent="0.25">
      <c r="A779" s="3">
        <v>30791157980</v>
      </c>
      <c r="B779" s="3" t="s">
        <v>855</v>
      </c>
      <c r="C779" s="3" t="s">
        <v>12</v>
      </c>
      <c r="D779" s="3" t="s">
        <v>348</v>
      </c>
      <c r="E779" s="3">
        <v>10</v>
      </c>
      <c r="F779" s="3" t="s">
        <v>438</v>
      </c>
      <c r="G779" s="4" t="str">
        <f t="shared" si="48"/>
        <v>57980</v>
      </c>
      <c r="H779" t="str">
        <f t="shared" si="49"/>
        <v>Mert Can TEKDOĞAN</v>
      </c>
      <c r="I779" t="str">
        <f t="shared" si="50"/>
        <v>10H Ön Düzen Ayarcılığı Ve Lastikçilik</v>
      </c>
      <c r="J779" t="str">
        <f t="shared" si="51"/>
        <v>10H</v>
      </c>
    </row>
    <row r="780" spans="1:10" x14ac:dyDescent="0.25">
      <c r="A780" s="3">
        <v>12953752486</v>
      </c>
      <c r="B780" s="3" t="s">
        <v>856</v>
      </c>
      <c r="C780" s="3" t="s">
        <v>12</v>
      </c>
      <c r="D780" s="3" t="s">
        <v>348</v>
      </c>
      <c r="E780" s="3">
        <v>10</v>
      </c>
      <c r="F780" s="3" t="s">
        <v>166</v>
      </c>
      <c r="G780" s="4" t="str">
        <f t="shared" si="48"/>
        <v>52486</v>
      </c>
      <c r="H780" t="str">
        <f t="shared" si="49"/>
        <v>Muhammed Eren KAR</v>
      </c>
      <c r="I780" t="str">
        <f t="shared" si="50"/>
        <v>10F Ön Düzen Ayarcılığı Ve Lastikçilik</v>
      </c>
      <c r="J780" t="str">
        <f t="shared" si="51"/>
        <v>10F</v>
      </c>
    </row>
    <row r="781" spans="1:10" x14ac:dyDescent="0.25">
      <c r="A781" s="3">
        <v>30734218952</v>
      </c>
      <c r="B781" s="3" t="s">
        <v>857</v>
      </c>
      <c r="C781" s="3" t="s">
        <v>12</v>
      </c>
      <c r="D781" s="3" t="s">
        <v>348</v>
      </c>
      <c r="E781" s="3">
        <v>10</v>
      </c>
      <c r="F781" s="3" t="s">
        <v>438</v>
      </c>
      <c r="G781" s="4" t="str">
        <f t="shared" si="48"/>
        <v>18952</v>
      </c>
      <c r="H781" t="str">
        <f t="shared" si="49"/>
        <v>Muhammed KOÇ</v>
      </c>
      <c r="I781" t="str">
        <f t="shared" si="50"/>
        <v>10H Ön Düzen Ayarcılığı Ve Lastikçilik</v>
      </c>
      <c r="J781" t="str">
        <f t="shared" si="51"/>
        <v>10H</v>
      </c>
    </row>
    <row r="782" spans="1:10" x14ac:dyDescent="0.25">
      <c r="A782" s="3">
        <v>26471670160</v>
      </c>
      <c r="B782" s="3" t="s">
        <v>858</v>
      </c>
      <c r="C782" s="3" t="s">
        <v>12</v>
      </c>
      <c r="D782" s="3" t="s">
        <v>348</v>
      </c>
      <c r="E782" s="3">
        <v>10</v>
      </c>
      <c r="F782" s="3" t="s">
        <v>438</v>
      </c>
      <c r="G782" s="4" t="str">
        <f t="shared" si="48"/>
        <v>70160</v>
      </c>
      <c r="H782" t="str">
        <f t="shared" si="49"/>
        <v>Ramazan GÜNEŞ</v>
      </c>
      <c r="I782" t="str">
        <f t="shared" si="50"/>
        <v>10H Ön Düzen Ayarcılığı Ve Lastikçilik</v>
      </c>
      <c r="J782" t="str">
        <f t="shared" si="51"/>
        <v>10H</v>
      </c>
    </row>
    <row r="783" spans="1:10" x14ac:dyDescent="0.25">
      <c r="A783" s="3">
        <v>51295473826</v>
      </c>
      <c r="B783" s="3" t="s">
        <v>859</v>
      </c>
      <c r="C783" s="3" t="s">
        <v>12</v>
      </c>
      <c r="D783" s="3" t="s">
        <v>348</v>
      </c>
      <c r="E783" s="3">
        <v>10</v>
      </c>
      <c r="F783" s="3" t="s">
        <v>434</v>
      </c>
      <c r="G783" s="4" t="str">
        <f t="shared" si="48"/>
        <v>73826</v>
      </c>
      <c r="H783" t="str">
        <f t="shared" si="49"/>
        <v>Samet BEBE</v>
      </c>
      <c r="I783" t="str">
        <f t="shared" si="50"/>
        <v>10K Ön Düzen Ayarcılığı Ve Lastikçilik</v>
      </c>
      <c r="J783" t="str">
        <f t="shared" si="51"/>
        <v>10K</v>
      </c>
    </row>
    <row r="784" spans="1:10" x14ac:dyDescent="0.25">
      <c r="A784" s="3">
        <v>47881737038</v>
      </c>
      <c r="B784" s="3" t="s">
        <v>860</v>
      </c>
      <c r="C784" s="3" t="s">
        <v>12</v>
      </c>
      <c r="D784" s="3" t="s">
        <v>348</v>
      </c>
      <c r="E784" s="3">
        <v>10</v>
      </c>
      <c r="F784" s="3" t="s">
        <v>438</v>
      </c>
      <c r="G784" s="4" t="str">
        <f t="shared" si="48"/>
        <v>37038</v>
      </c>
      <c r="H784" t="str">
        <f t="shared" si="49"/>
        <v>Sefa YILMAZ</v>
      </c>
      <c r="I784" t="str">
        <f t="shared" si="50"/>
        <v>10H Ön Düzen Ayarcılığı Ve Lastikçilik</v>
      </c>
      <c r="J784" t="str">
        <f t="shared" si="51"/>
        <v>10H</v>
      </c>
    </row>
    <row r="785" spans="1:10" x14ac:dyDescent="0.25">
      <c r="A785" s="3">
        <v>19748780150</v>
      </c>
      <c r="B785" s="3" t="s">
        <v>861</v>
      </c>
      <c r="C785" s="3" t="s">
        <v>12</v>
      </c>
      <c r="D785" s="3" t="s">
        <v>348</v>
      </c>
      <c r="E785" s="3">
        <v>10</v>
      </c>
      <c r="F785" s="3" t="s">
        <v>166</v>
      </c>
      <c r="G785" s="4" t="str">
        <f t="shared" si="48"/>
        <v>80150</v>
      </c>
      <c r="H785" t="str">
        <f t="shared" si="49"/>
        <v>Soner ÖZMENTEŞ</v>
      </c>
      <c r="I785" t="str">
        <f t="shared" si="50"/>
        <v>10F Ön Düzen Ayarcılığı Ve Lastikçilik</v>
      </c>
      <c r="J785" t="str">
        <f t="shared" si="51"/>
        <v>10F</v>
      </c>
    </row>
    <row r="786" spans="1:10" x14ac:dyDescent="0.25">
      <c r="A786" s="3">
        <v>49627899666</v>
      </c>
      <c r="B786" s="3" t="s">
        <v>862</v>
      </c>
      <c r="C786" s="3" t="s">
        <v>12</v>
      </c>
      <c r="D786" s="3" t="s">
        <v>348</v>
      </c>
      <c r="E786" s="3">
        <v>10</v>
      </c>
      <c r="F786" s="3" t="s">
        <v>642</v>
      </c>
      <c r="G786" s="4" t="str">
        <f t="shared" si="48"/>
        <v>99666</v>
      </c>
      <c r="H786" t="str">
        <f t="shared" si="49"/>
        <v>Yakup Mehmet YÜKSEL</v>
      </c>
      <c r="I786" t="str">
        <f t="shared" si="50"/>
        <v>10İ Ön Düzen Ayarcılığı Ve Lastikçilik</v>
      </c>
      <c r="J786" t="str">
        <f t="shared" si="51"/>
        <v>10İ</v>
      </c>
    </row>
    <row r="787" spans="1:10" x14ac:dyDescent="0.25">
      <c r="A787" s="3">
        <v>39034942284</v>
      </c>
      <c r="B787" s="3" t="s">
        <v>863</v>
      </c>
      <c r="C787" s="3" t="s">
        <v>12</v>
      </c>
      <c r="D787" s="3" t="s">
        <v>348</v>
      </c>
      <c r="E787" s="3">
        <v>10</v>
      </c>
      <c r="F787" s="3" t="s">
        <v>642</v>
      </c>
      <c r="G787" s="4" t="str">
        <f t="shared" si="48"/>
        <v>42284</v>
      </c>
      <c r="H787" t="str">
        <f t="shared" si="49"/>
        <v>Yusuf ÇİFTÇİ</v>
      </c>
      <c r="I787" t="str">
        <f t="shared" si="50"/>
        <v>10İ Ön Düzen Ayarcılığı Ve Lastikçilik</v>
      </c>
      <c r="J787" t="str">
        <f t="shared" si="51"/>
        <v>10İ</v>
      </c>
    </row>
    <row r="788" spans="1:10" x14ac:dyDescent="0.25">
      <c r="A788" s="3">
        <v>25037349632</v>
      </c>
      <c r="B788" s="3" t="s">
        <v>864</v>
      </c>
      <c r="C788" s="3" t="s">
        <v>12</v>
      </c>
      <c r="D788" s="3" t="s">
        <v>348</v>
      </c>
      <c r="E788" s="3">
        <v>10</v>
      </c>
      <c r="F788" s="3" t="s">
        <v>55</v>
      </c>
      <c r="G788" s="4" t="str">
        <f t="shared" si="48"/>
        <v>49632</v>
      </c>
      <c r="H788" t="str">
        <f t="shared" si="49"/>
        <v>Yusuf Eren ÇUKADAR</v>
      </c>
      <c r="I788" t="str">
        <f t="shared" si="50"/>
        <v>10G Ön Düzen Ayarcılığı Ve Lastikçilik</v>
      </c>
      <c r="J788" t="str">
        <f t="shared" si="51"/>
        <v>10G</v>
      </c>
    </row>
    <row r="789" spans="1:10" x14ac:dyDescent="0.25">
      <c r="A789" s="3">
        <v>48739558706</v>
      </c>
      <c r="B789" s="3" t="s">
        <v>865</v>
      </c>
      <c r="C789" s="3" t="s">
        <v>12</v>
      </c>
      <c r="D789" s="3" t="s">
        <v>348</v>
      </c>
      <c r="E789" s="3">
        <v>10</v>
      </c>
      <c r="F789" s="3" t="s">
        <v>434</v>
      </c>
      <c r="G789" s="4" t="str">
        <f t="shared" si="48"/>
        <v>58706</v>
      </c>
      <c r="H789" t="str">
        <f t="shared" si="49"/>
        <v>Yusuf Ziya BAYRAM</v>
      </c>
      <c r="I789" t="str">
        <f t="shared" si="50"/>
        <v>10K Ön Düzen Ayarcılığı Ve Lastikçilik</v>
      </c>
      <c r="J789" t="str">
        <f t="shared" si="51"/>
        <v>10K</v>
      </c>
    </row>
    <row r="790" spans="1:10" x14ac:dyDescent="0.25">
      <c r="A790" s="3">
        <v>47743591976</v>
      </c>
      <c r="B790" s="3" t="s">
        <v>866</v>
      </c>
      <c r="C790" s="3" t="s">
        <v>12</v>
      </c>
      <c r="D790" s="3" t="s">
        <v>354</v>
      </c>
      <c r="E790" s="3">
        <v>10</v>
      </c>
      <c r="F790" s="3" t="s">
        <v>374</v>
      </c>
      <c r="G790" s="4" t="str">
        <f t="shared" si="48"/>
        <v>91976</v>
      </c>
      <c r="H790" t="str">
        <f t="shared" si="49"/>
        <v>Ahmed GÜNEŞ</v>
      </c>
      <c r="I790" t="str">
        <f t="shared" si="50"/>
        <v>10M Pasta Ve Tatlı Yapımı</v>
      </c>
      <c r="J790" t="str">
        <f t="shared" si="51"/>
        <v>10M</v>
      </c>
    </row>
    <row r="791" spans="1:10" x14ac:dyDescent="0.25">
      <c r="A791" s="3">
        <v>22829792898</v>
      </c>
      <c r="B791" s="3" t="s">
        <v>867</v>
      </c>
      <c r="C791" s="3" t="s">
        <v>12</v>
      </c>
      <c r="D791" s="3" t="s">
        <v>354</v>
      </c>
      <c r="E791" s="3">
        <v>10</v>
      </c>
      <c r="F791" s="3" t="s">
        <v>374</v>
      </c>
      <c r="G791" s="4" t="str">
        <f t="shared" si="48"/>
        <v>92898</v>
      </c>
      <c r="H791" t="str">
        <f t="shared" si="49"/>
        <v>Avesta Damla OKŞAK</v>
      </c>
      <c r="I791" t="str">
        <f t="shared" si="50"/>
        <v>10M Pasta Ve Tatlı Yapımı</v>
      </c>
      <c r="J791" t="str">
        <f t="shared" si="51"/>
        <v>10M</v>
      </c>
    </row>
    <row r="792" spans="1:10" x14ac:dyDescent="0.25">
      <c r="A792" s="3">
        <v>52819423228</v>
      </c>
      <c r="B792" s="3" t="s">
        <v>868</v>
      </c>
      <c r="C792" s="3" t="s">
        <v>12</v>
      </c>
      <c r="D792" s="3" t="s">
        <v>354</v>
      </c>
      <c r="E792" s="3">
        <v>10</v>
      </c>
      <c r="F792" s="3" t="s">
        <v>374</v>
      </c>
      <c r="G792" s="4" t="str">
        <f t="shared" si="48"/>
        <v>23228</v>
      </c>
      <c r="H792" t="str">
        <f t="shared" si="49"/>
        <v>Beyzanur KARATAŞ</v>
      </c>
      <c r="I792" t="str">
        <f t="shared" si="50"/>
        <v>10M Pasta Ve Tatlı Yapımı</v>
      </c>
      <c r="J792" t="str">
        <f t="shared" si="51"/>
        <v>10M</v>
      </c>
    </row>
    <row r="793" spans="1:10" x14ac:dyDescent="0.25">
      <c r="A793" s="3">
        <v>34538399374</v>
      </c>
      <c r="B793" s="3" t="s">
        <v>869</v>
      </c>
      <c r="C793" s="3" t="s">
        <v>12</v>
      </c>
      <c r="D793" s="3" t="s">
        <v>354</v>
      </c>
      <c r="E793" s="3">
        <v>10</v>
      </c>
      <c r="F793" s="3" t="s">
        <v>374</v>
      </c>
      <c r="G793" s="4" t="str">
        <f t="shared" si="48"/>
        <v>99374</v>
      </c>
      <c r="H793" t="str">
        <f t="shared" si="49"/>
        <v>Ceren Betül DURMUŞ</v>
      </c>
      <c r="I793" t="str">
        <f t="shared" si="50"/>
        <v>10M Pasta Ve Tatlı Yapımı</v>
      </c>
      <c r="J793" t="str">
        <f t="shared" si="51"/>
        <v>10M</v>
      </c>
    </row>
    <row r="794" spans="1:10" x14ac:dyDescent="0.25">
      <c r="A794" s="3">
        <v>28334239576</v>
      </c>
      <c r="B794" s="3" t="s">
        <v>870</v>
      </c>
      <c r="C794" s="3" t="s">
        <v>12</v>
      </c>
      <c r="D794" s="3" t="s">
        <v>354</v>
      </c>
      <c r="E794" s="3">
        <v>10</v>
      </c>
      <c r="F794" s="3" t="s">
        <v>374</v>
      </c>
      <c r="G794" s="4" t="str">
        <f t="shared" si="48"/>
        <v>39576</v>
      </c>
      <c r="H794" t="str">
        <f t="shared" si="49"/>
        <v>Ceylin ÖKSÜZ</v>
      </c>
      <c r="I794" t="str">
        <f t="shared" si="50"/>
        <v>10M Pasta Ve Tatlı Yapımı</v>
      </c>
      <c r="J794" t="str">
        <f t="shared" si="51"/>
        <v>10M</v>
      </c>
    </row>
    <row r="795" spans="1:10" x14ac:dyDescent="0.25">
      <c r="A795" s="3">
        <v>21227536042</v>
      </c>
      <c r="B795" s="3" t="s">
        <v>871</v>
      </c>
      <c r="C795" s="3" t="s">
        <v>12</v>
      </c>
      <c r="D795" s="3" t="s">
        <v>354</v>
      </c>
      <c r="E795" s="3">
        <v>10</v>
      </c>
      <c r="F795" s="3" t="s">
        <v>374</v>
      </c>
      <c r="G795" s="4" t="str">
        <f t="shared" si="48"/>
        <v>36042</v>
      </c>
      <c r="H795" t="str">
        <f t="shared" si="49"/>
        <v>Delil SÖYLEMEZ</v>
      </c>
      <c r="I795" t="str">
        <f t="shared" si="50"/>
        <v>10M Pasta Ve Tatlı Yapımı</v>
      </c>
      <c r="J795" t="str">
        <f t="shared" si="51"/>
        <v>10M</v>
      </c>
    </row>
    <row r="796" spans="1:10" x14ac:dyDescent="0.25">
      <c r="A796" s="3">
        <v>23609396794</v>
      </c>
      <c r="B796" s="3" t="s">
        <v>872</v>
      </c>
      <c r="C796" s="3" t="s">
        <v>12</v>
      </c>
      <c r="D796" s="3" t="s">
        <v>354</v>
      </c>
      <c r="E796" s="3">
        <v>10</v>
      </c>
      <c r="F796" s="3" t="s">
        <v>374</v>
      </c>
      <c r="G796" s="4" t="str">
        <f t="shared" si="48"/>
        <v>96794</v>
      </c>
      <c r="H796" t="str">
        <f t="shared" si="49"/>
        <v>Ecrin Naz KARAMAN</v>
      </c>
      <c r="I796" t="str">
        <f t="shared" si="50"/>
        <v>10M Pasta Ve Tatlı Yapımı</v>
      </c>
      <c r="J796" t="str">
        <f t="shared" si="51"/>
        <v>10M</v>
      </c>
    </row>
    <row r="797" spans="1:10" x14ac:dyDescent="0.25">
      <c r="A797" s="3">
        <v>26549552558</v>
      </c>
      <c r="B797" s="3" t="s">
        <v>873</v>
      </c>
      <c r="C797" s="3" t="s">
        <v>12</v>
      </c>
      <c r="D797" s="3" t="s">
        <v>354</v>
      </c>
      <c r="E797" s="3">
        <v>10</v>
      </c>
      <c r="F797" s="3" t="s">
        <v>374</v>
      </c>
      <c r="G797" s="4" t="str">
        <f t="shared" si="48"/>
        <v>52558</v>
      </c>
      <c r="H797" t="str">
        <f t="shared" si="49"/>
        <v>Enes ERDEM</v>
      </c>
      <c r="I797" t="str">
        <f t="shared" si="50"/>
        <v>10M Pasta Ve Tatlı Yapımı</v>
      </c>
      <c r="J797" t="str">
        <f t="shared" si="51"/>
        <v>10M</v>
      </c>
    </row>
    <row r="798" spans="1:10" x14ac:dyDescent="0.25">
      <c r="A798" s="3">
        <v>24860080132</v>
      </c>
      <c r="B798" s="3" t="s">
        <v>874</v>
      </c>
      <c r="C798" s="3" t="s">
        <v>12</v>
      </c>
      <c r="D798" s="3" t="s">
        <v>354</v>
      </c>
      <c r="E798" s="3">
        <v>10</v>
      </c>
      <c r="F798" s="3" t="s">
        <v>374</v>
      </c>
      <c r="G798" s="4" t="str">
        <f t="shared" si="48"/>
        <v>80132</v>
      </c>
      <c r="H798" t="str">
        <f t="shared" si="49"/>
        <v>Kardelen İLTER</v>
      </c>
      <c r="I798" t="str">
        <f t="shared" si="50"/>
        <v>10M Pasta Ve Tatlı Yapımı</v>
      </c>
      <c r="J798" t="str">
        <f t="shared" si="51"/>
        <v>10M</v>
      </c>
    </row>
    <row r="799" spans="1:10" x14ac:dyDescent="0.25">
      <c r="A799" s="3">
        <v>17450601756</v>
      </c>
      <c r="B799" s="3" t="s">
        <v>875</v>
      </c>
      <c r="C799" s="3" t="s">
        <v>12</v>
      </c>
      <c r="D799" s="3" t="s">
        <v>354</v>
      </c>
      <c r="E799" s="3">
        <v>10</v>
      </c>
      <c r="F799" s="3" t="s">
        <v>374</v>
      </c>
      <c r="G799" s="4" t="str">
        <f t="shared" si="48"/>
        <v>01756</v>
      </c>
      <c r="H799" t="str">
        <f t="shared" si="49"/>
        <v>Nesrin KINIK</v>
      </c>
      <c r="I799" t="str">
        <f t="shared" si="50"/>
        <v>10M Pasta Ve Tatlı Yapımı</v>
      </c>
      <c r="J799" t="str">
        <f t="shared" si="51"/>
        <v>10M</v>
      </c>
    </row>
    <row r="800" spans="1:10" x14ac:dyDescent="0.25">
      <c r="A800" s="3">
        <v>40267567052</v>
      </c>
      <c r="B800" s="3" t="s">
        <v>876</v>
      </c>
      <c r="C800" s="3" t="s">
        <v>12</v>
      </c>
      <c r="D800" s="3" t="s">
        <v>354</v>
      </c>
      <c r="E800" s="3">
        <v>10</v>
      </c>
      <c r="F800" s="3" t="s">
        <v>374</v>
      </c>
      <c r="G800" s="4" t="str">
        <f t="shared" si="48"/>
        <v>67052</v>
      </c>
      <c r="H800" t="str">
        <f t="shared" si="49"/>
        <v>Poyraz COŞKUN</v>
      </c>
      <c r="I800" t="str">
        <f t="shared" si="50"/>
        <v>10M Pasta Ve Tatlı Yapımı</v>
      </c>
      <c r="J800" t="str">
        <f t="shared" si="51"/>
        <v>10M</v>
      </c>
    </row>
    <row r="801" spans="1:10" x14ac:dyDescent="0.25">
      <c r="A801" s="3">
        <v>18326572408</v>
      </c>
      <c r="B801" s="3" t="s">
        <v>877</v>
      </c>
      <c r="C801" s="3" t="s">
        <v>12</v>
      </c>
      <c r="D801" s="3" t="s">
        <v>354</v>
      </c>
      <c r="E801" s="3">
        <v>10</v>
      </c>
      <c r="F801" s="3" t="s">
        <v>374</v>
      </c>
      <c r="G801" s="4" t="str">
        <f t="shared" si="48"/>
        <v>72408</v>
      </c>
      <c r="H801" t="str">
        <f t="shared" si="49"/>
        <v>Sahra Saliha SARIGÜL</v>
      </c>
      <c r="I801" t="str">
        <f t="shared" si="50"/>
        <v>10M Pasta Ve Tatlı Yapımı</v>
      </c>
      <c r="J801" t="str">
        <f t="shared" si="51"/>
        <v>10M</v>
      </c>
    </row>
    <row r="802" spans="1:10" x14ac:dyDescent="0.25">
      <c r="A802" s="3">
        <v>35612364820</v>
      </c>
      <c r="B802" s="3" t="s">
        <v>878</v>
      </c>
      <c r="C802" s="3" t="s">
        <v>12</v>
      </c>
      <c r="D802" s="3" t="s">
        <v>354</v>
      </c>
      <c r="E802" s="3">
        <v>10</v>
      </c>
      <c r="F802" s="3" t="s">
        <v>374</v>
      </c>
      <c r="G802" s="4" t="str">
        <f t="shared" si="48"/>
        <v>64820</v>
      </c>
      <c r="H802" t="str">
        <f t="shared" si="49"/>
        <v>Sümeyye SIRDAŞ</v>
      </c>
      <c r="I802" t="str">
        <f t="shared" si="50"/>
        <v>10M Pasta Ve Tatlı Yapımı</v>
      </c>
      <c r="J802" t="str">
        <f t="shared" si="51"/>
        <v>10M</v>
      </c>
    </row>
    <row r="803" spans="1:10" x14ac:dyDescent="0.25">
      <c r="A803" s="3">
        <v>19820522852</v>
      </c>
      <c r="B803" s="3" t="s">
        <v>879</v>
      </c>
      <c r="C803" s="3" t="s">
        <v>12</v>
      </c>
      <c r="D803" s="3" t="s">
        <v>354</v>
      </c>
      <c r="E803" s="3">
        <v>10</v>
      </c>
      <c r="F803" s="3" t="s">
        <v>374</v>
      </c>
      <c r="G803" s="4" t="str">
        <f t="shared" si="48"/>
        <v>22852</v>
      </c>
      <c r="H803" t="str">
        <f t="shared" si="49"/>
        <v>Şüheda GÖNÜL</v>
      </c>
      <c r="I803" t="str">
        <f t="shared" si="50"/>
        <v>10M Pasta Ve Tatlı Yapımı</v>
      </c>
      <c r="J803" t="str">
        <f t="shared" si="51"/>
        <v>10M</v>
      </c>
    </row>
    <row r="804" spans="1:10" x14ac:dyDescent="0.25">
      <c r="A804" s="3">
        <v>35225009972</v>
      </c>
      <c r="B804" s="3" t="s">
        <v>880</v>
      </c>
      <c r="C804" s="3" t="s">
        <v>12</v>
      </c>
      <c r="D804" s="3" t="s">
        <v>354</v>
      </c>
      <c r="E804" s="3">
        <v>10</v>
      </c>
      <c r="F804" s="3" t="s">
        <v>374</v>
      </c>
      <c r="G804" s="4" t="str">
        <f t="shared" si="48"/>
        <v>09972</v>
      </c>
      <c r="H804" t="str">
        <f t="shared" si="49"/>
        <v>Yasin Erdinç AKINCI</v>
      </c>
      <c r="I804" t="str">
        <f t="shared" si="50"/>
        <v>10M Pasta Ve Tatlı Yapımı</v>
      </c>
      <c r="J804" t="str">
        <f t="shared" si="51"/>
        <v>10M</v>
      </c>
    </row>
    <row r="805" spans="1:10" x14ac:dyDescent="0.25">
      <c r="A805" s="3">
        <v>34307040056</v>
      </c>
      <c r="B805" s="3" t="s">
        <v>881</v>
      </c>
      <c r="C805" s="3" t="s">
        <v>12</v>
      </c>
      <c r="D805" s="3" t="s">
        <v>354</v>
      </c>
      <c r="E805" s="3">
        <v>10</v>
      </c>
      <c r="F805" s="3" t="s">
        <v>374</v>
      </c>
      <c r="G805" s="4" t="str">
        <f t="shared" si="48"/>
        <v>40056</v>
      </c>
      <c r="H805" t="str">
        <f t="shared" si="49"/>
        <v>Yeşim BALANDI</v>
      </c>
      <c r="I805" t="str">
        <f t="shared" si="50"/>
        <v>10M Pasta Ve Tatlı Yapımı</v>
      </c>
      <c r="J805" t="str">
        <f t="shared" si="51"/>
        <v>10M</v>
      </c>
    </row>
    <row r="806" spans="1:10" x14ac:dyDescent="0.25">
      <c r="A806" s="3">
        <v>50863130130</v>
      </c>
      <c r="B806" s="3" t="s">
        <v>882</v>
      </c>
      <c r="C806" s="3" t="s">
        <v>12</v>
      </c>
      <c r="D806" s="3" t="s">
        <v>354</v>
      </c>
      <c r="E806" s="3">
        <v>10</v>
      </c>
      <c r="F806" s="3" t="s">
        <v>374</v>
      </c>
      <c r="G806" s="4" t="str">
        <f t="shared" si="48"/>
        <v>30130</v>
      </c>
      <c r="H806" t="str">
        <f t="shared" si="49"/>
        <v>Yunus ALADAĞ</v>
      </c>
      <c r="I806" t="str">
        <f t="shared" si="50"/>
        <v>10M Pasta Ve Tatlı Yapımı</v>
      </c>
      <c r="J806" t="str">
        <f t="shared" si="51"/>
        <v>10M</v>
      </c>
    </row>
    <row r="807" spans="1:10" x14ac:dyDescent="0.25">
      <c r="A807" s="3">
        <v>50239231140</v>
      </c>
      <c r="B807" s="3" t="s">
        <v>883</v>
      </c>
      <c r="C807" s="3" t="s">
        <v>12</v>
      </c>
      <c r="D807" s="3" t="s">
        <v>354</v>
      </c>
      <c r="E807" s="3">
        <v>10</v>
      </c>
      <c r="F807" s="3" t="s">
        <v>374</v>
      </c>
      <c r="G807" s="4" t="str">
        <f t="shared" si="48"/>
        <v>31140</v>
      </c>
      <c r="H807" t="str">
        <f t="shared" si="49"/>
        <v>Yusuf Sami ÖZEL</v>
      </c>
      <c r="I807" t="str">
        <f t="shared" si="50"/>
        <v>10M Pasta Ve Tatlı Yapımı</v>
      </c>
      <c r="J807" t="str">
        <f t="shared" si="51"/>
        <v>10M</v>
      </c>
    </row>
    <row r="808" spans="1:10" x14ac:dyDescent="0.25">
      <c r="A808" s="3">
        <v>30380518468</v>
      </c>
      <c r="B808" s="3" t="s">
        <v>884</v>
      </c>
      <c r="C808" s="3" t="s">
        <v>12</v>
      </c>
      <c r="D808" s="3" t="s">
        <v>354</v>
      </c>
      <c r="E808" s="3">
        <v>10</v>
      </c>
      <c r="F808" s="2"/>
      <c r="G808" s="4" t="str">
        <f t="shared" si="48"/>
        <v>18468</v>
      </c>
      <c r="H808" t="str">
        <f t="shared" si="49"/>
        <v>Zeynep AYNA</v>
      </c>
      <c r="I808" t="str">
        <f t="shared" si="50"/>
        <v>10 Pasta Ve Tatlı Yapımı</v>
      </c>
      <c r="J808" t="str">
        <f t="shared" si="51"/>
        <v xml:space="preserve">10 </v>
      </c>
    </row>
    <row r="809" spans="1:10" x14ac:dyDescent="0.25">
      <c r="A809" s="3">
        <v>31244300434</v>
      </c>
      <c r="B809" s="3" t="s">
        <v>885</v>
      </c>
      <c r="C809" s="3" t="s">
        <v>12</v>
      </c>
      <c r="D809" s="3" t="s">
        <v>886</v>
      </c>
      <c r="E809" s="3">
        <v>10</v>
      </c>
      <c r="F809" s="3" t="s">
        <v>625</v>
      </c>
      <c r="G809" s="4" t="str">
        <f t="shared" si="48"/>
        <v>00434</v>
      </c>
      <c r="H809" t="str">
        <f t="shared" si="49"/>
        <v>Mustafa TAŞHAN</v>
      </c>
      <c r="I809" t="str">
        <f t="shared" si="50"/>
        <v>10C1 Sac İşleri</v>
      </c>
      <c r="J809" t="str">
        <f t="shared" si="51"/>
        <v>10C</v>
      </c>
    </row>
    <row r="810" spans="1:10" x14ac:dyDescent="0.25">
      <c r="A810" s="3">
        <v>58396237654</v>
      </c>
      <c r="B810" s="3" t="s">
        <v>887</v>
      </c>
      <c r="C810" s="3" t="s">
        <v>12</v>
      </c>
      <c r="D810" s="3" t="s">
        <v>888</v>
      </c>
      <c r="E810" s="3">
        <v>10</v>
      </c>
      <c r="F810" s="3" t="s">
        <v>889</v>
      </c>
      <c r="G810" s="4" t="str">
        <f t="shared" si="48"/>
        <v>37654</v>
      </c>
      <c r="H810" t="str">
        <f t="shared" si="49"/>
        <v>Muhammed Muaz ÇAVUŞOĞLU</v>
      </c>
      <c r="I810" t="str">
        <f t="shared" si="50"/>
        <v>10A3 Satış Elemanlığı</v>
      </c>
      <c r="J810" t="str">
        <f t="shared" si="51"/>
        <v>10A</v>
      </c>
    </row>
    <row r="811" spans="1:10" x14ac:dyDescent="0.25">
      <c r="A811" s="3">
        <v>57832255726</v>
      </c>
      <c r="B811" s="3" t="s">
        <v>890</v>
      </c>
      <c r="C811" s="3" t="s">
        <v>12</v>
      </c>
      <c r="D811" s="3" t="s">
        <v>891</v>
      </c>
      <c r="E811" s="3">
        <v>10</v>
      </c>
      <c r="F811" s="3" t="s">
        <v>558</v>
      </c>
      <c r="G811" s="4" t="str">
        <f t="shared" si="48"/>
        <v>55726</v>
      </c>
      <c r="H811" t="str">
        <f t="shared" si="49"/>
        <v>Enes NAZLIGÜL</v>
      </c>
      <c r="I811" t="str">
        <f t="shared" si="50"/>
        <v>10L1 Soğutma Sistemleri</v>
      </c>
      <c r="J811" t="str">
        <f t="shared" si="51"/>
        <v>10L</v>
      </c>
    </row>
    <row r="812" spans="1:10" x14ac:dyDescent="0.25">
      <c r="A812" s="3">
        <v>47026891366</v>
      </c>
      <c r="B812" s="3" t="s">
        <v>892</v>
      </c>
      <c r="C812" s="3" t="s">
        <v>12</v>
      </c>
      <c r="D812" s="3" t="s">
        <v>893</v>
      </c>
      <c r="E812" s="3">
        <v>10</v>
      </c>
      <c r="F812" s="3" t="s">
        <v>32</v>
      </c>
      <c r="G812" s="4" t="str">
        <f t="shared" si="48"/>
        <v>91366</v>
      </c>
      <c r="H812" t="str">
        <f t="shared" si="49"/>
        <v>Alperen ÖZDEMİR</v>
      </c>
      <c r="I812" t="str">
        <f t="shared" si="50"/>
        <v>10E1 Yazılım Geliştirme</v>
      </c>
      <c r="J812" t="str">
        <f t="shared" si="51"/>
        <v>10E</v>
      </c>
    </row>
    <row r="813" spans="1:10" x14ac:dyDescent="0.25">
      <c r="A813" s="3">
        <v>51190477486</v>
      </c>
      <c r="B813" s="3" t="s">
        <v>894</v>
      </c>
      <c r="C813" s="3" t="s">
        <v>12</v>
      </c>
      <c r="D813" s="3" t="s">
        <v>893</v>
      </c>
      <c r="E813" s="3">
        <v>10</v>
      </c>
      <c r="F813" s="3" t="s">
        <v>32</v>
      </c>
      <c r="G813" s="4" t="str">
        <f t="shared" si="48"/>
        <v>77486</v>
      </c>
      <c r="H813" t="str">
        <f t="shared" si="49"/>
        <v>Ömer Fatih CENGİZ</v>
      </c>
      <c r="I813" t="str">
        <f t="shared" si="50"/>
        <v>10E1 Yazılım Geliştirme</v>
      </c>
      <c r="J813" t="str">
        <f t="shared" si="51"/>
        <v>10E</v>
      </c>
    </row>
    <row r="814" spans="1:10" x14ac:dyDescent="0.25">
      <c r="A814" s="3">
        <v>38651030084</v>
      </c>
      <c r="B814" s="3" t="s">
        <v>895</v>
      </c>
      <c r="C814" s="3" t="s">
        <v>12</v>
      </c>
      <c r="D814" s="3" t="s">
        <v>362</v>
      </c>
      <c r="E814" s="3">
        <v>11</v>
      </c>
      <c r="F814" s="3" t="s">
        <v>896</v>
      </c>
      <c r="G814" s="4" t="str">
        <f t="shared" si="48"/>
        <v>30084</v>
      </c>
      <c r="H814" t="str">
        <f t="shared" si="49"/>
        <v>Ercan YILMAZ</v>
      </c>
      <c r="I814" t="str">
        <f t="shared" si="50"/>
        <v>11K7 Ahşap Doğrama Teknolojisi</v>
      </c>
      <c r="J814" t="str">
        <f t="shared" si="51"/>
        <v>11K</v>
      </c>
    </row>
    <row r="815" spans="1:10" x14ac:dyDescent="0.25">
      <c r="A815" s="3">
        <v>21074110488</v>
      </c>
      <c r="B815" s="3" t="s">
        <v>897</v>
      </c>
      <c r="C815" s="3" t="s">
        <v>898</v>
      </c>
      <c r="D815" s="3" t="s">
        <v>13</v>
      </c>
      <c r="E815" s="3">
        <v>11</v>
      </c>
      <c r="F815" s="3" t="s">
        <v>899</v>
      </c>
      <c r="G815" s="4" t="str">
        <f t="shared" si="48"/>
        <v>10488</v>
      </c>
      <c r="H815" t="str">
        <f t="shared" si="49"/>
        <v>Kemal Tuna BAŞARAN</v>
      </c>
      <c r="I815" t="str">
        <f t="shared" si="50"/>
        <v>11K9 Asansör Sistemleri</v>
      </c>
      <c r="J815" t="str">
        <f t="shared" si="51"/>
        <v>11K</v>
      </c>
    </row>
    <row r="816" spans="1:10" x14ac:dyDescent="0.25">
      <c r="A816" s="3">
        <v>36832955898</v>
      </c>
      <c r="B816" s="3" t="s">
        <v>900</v>
      </c>
      <c r="C816" s="3" t="s">
        <v>12</v>
      </c>
      <c r="D816" s="3" t="s">
        <v>16</v>
      </c>
      <c r="E816" s="3">
        <v>11</v>
      </c>
      <c r="F816" s="3" t="s">
        <v>14</v>
      </c>
      <c r="G816" s="4" t="str">
        <f t="shared" si="48"/>
        <v>55898</v>
      </c>
      <c r="H816" t="str">
        <f t="shared" si="49"/>
        <v>Asya YAMAN</v>
      </c>
      <c r="I816" t="str">
        <f t="shared" si="50"/>
        <v>11D Aşçılık</v>
      </c>
      <c r="J816" t="str">
        <f t="shared" si="51"/>
        <v>11D</v>
      </c>
    </row>
    <row r="817" spans="1:10" x14ac:dyDescent="0.25">
      <c r="A817" s="3">
        <v>10316009864</v>
      </c>
      <c r="B817" s="3" t="s">
        <v>901</v>
      </c>
      <c r="C817" s="3" t="s">
        <v>898</v>
      </c>
      <c r="D817" s="3" t="s">
        <v>16</v>
      </c>
      <c r="E817" s="3">
        <v>11</v>
      </c>
      <c r="F817" s="3" t="s">
        <v>14</v>
      </c>
      <c r="G817" s="4" t="str">
        <f t="shared" si="48"/>
        <v>09864</v>
      </c>
      <c r="H817" t="str">
        <f t="shared" si="49"/>
        <v>Azra SÖYLEMEZ</v>
      </c>
      <c r="I817" t="str">
        <f t="shared" si="50"/>
        <v>11D Aşçılık</v>
      </c>
      <c r="J817" t="str">
        <f t="shared" si="51"/>
        <v>11D</v>
      </c>
    </row>
    <row r="818" spans="1:10" x14ac:dyDescent="0.25">
      <c r="A818" s="3">
        <v>61009515940</v>
      </c>
      <c r="B818" s="3" t="s">
        <v>902</v>
      </c>
      <c r="C818" s="3" t="s">
        <v>12</v>
      </c>
      <c r="D818" s="3" t="s">
        <v>16</v>
      </c>
      <c r="E818" s="3">
        <v>11</v>
      </c>
      <c r="F818" s="3" t="s">
        <v>14</v>
      </c>
      <c r="G818" s="4" t="str">
        <f t="shared" si="48"/>
        <v>15940</v>
      </c>
      <c r="H818" t="str">
        <f t="shared" si="49"/>
        <v>Bulut DEMİR</v>
      </c>
      <c r="I818" t="str">
        <f t="shared" si="50"/>
        <v>11D Aşçılık</v>
      </c>
      <c r="J818" t="str">
        <f t="shared" si="51"/>
        <v>11D</v>
      </c>
    </row>
    <row r="819" spans="1:10" x14ac:dyDescent="0.25">
      <c r="A819" s="3">
        <v>41830789482</v>
      </c>
      <c r="B819" s="3" t="s">
        <v>903</v>
      </c>
      <c r="C819" s="3" t="s">
        <v>12</v>
      </c>
      <c r="D819" s="3" t="s">
        <v>16</v>
      </c>
      <c r="E819" s="3">
        <v>11</v>
      </c>
      <c r="F819" s="3" t="s">
        <v>14</v>
      </c>
      <c r="G819" s="4" t="str">
        <f t="shared" si="48"/>
        <v>89482</v>
      </c>
      <c r="H819" t="str">
        <f t="shared" si="49"/>
        <v>Elif BAGIRAN</v>
      </c>
      <c r="I819" t="str">
        <f t="shared" si="50"/>
        <v>11D Aşçılık</v>
      </c>
      <c r="J819" t="str">
        <f t="shared" si="51"/>
        <v>11D</v>
      </c>
    </row>
    <row r="820" spans="1:10" x14ac:dyDescent="0.25">
      <c r="A820" s="3">
        <v>68527150240</v>
      </c>
      <c r="B820" s="3" t="s">
        <v>904</v>
      </c>
      <c r="C820" s="3" t="s">
        <v>12</v>
      </c>
      <c r="D820" s="3" t="s">
        <v>16</v>
      </c>
      <c r="E820" s="3">
        <v>11</v>
      </c>
      <c r="F820" s="3" t="s">
        <v>14</v>
      </c>
      <c r="G820" s="4" t="str">
        <f t="shared" si="48"/>
        <v>50240</v>
      </c>
      <c r="H820" t="str">
        <f t="shared" si="49"/>
        <v>Emirhan BAYDEDE</v>
      </c>
      <c r="I820" t="str">
        <f t="shared" si="50"/>
        <v>11D Aşçılık</v>
      </c>
      <c r="J820" t="str">
        <f t="shared" si="51"/>
        <v>11D</v>
      </c>
    </row>
    <row r="821" spans="1:10" x14ac:dyDescent="0.25">
      <c r="A821" s="3">
        <v>62860456120</v>
      </c>
      <c r="B821" s="3" t="s">
        <v>905</v>
      </c>
      <c r="C821" s="3" t="s">
        <v>12</v>
      </c>
      <c r="D821" s="3" t="s">
        <v>16</v>
      </c>
      <c r="E821" s="3">
        <v>11</v>
      </c>
      <c r="F821" s="3" t="s">
        <v>14</v>
      </c>
      <c r="G821" s="4" t="str">
        <f t="shared" si="48"/>
        <v>56120</v>
      </c>
      <c r="H821" t="str">
        <f t="shared" si="49"/>
        <v>Fatmanur AYDIN</v>
      </c>
      <c r="I821" t="str">
        <f t="shared" si="50"/>
        <v>11D Aşçılık</v>
      </c>
      <c r="J821" t="str">
        <f t="shared" si="51"/>
        <v>11D</v>
      </c>
    </row>
    <row r="822" spans="1:10" x14ac:dyDescent="0.25">
      <c r="A822" s="3">
        <v>99161428662</v>
      </c>
      <c r="B822" s="3" t="s">
        <v>906</v>
      </c>
      <c r="C822" s="3" t="s">
        <v>12</v>
      </c>
      <c r="D822" s="3" t="s">
        <v>16</v>
      </c>
      <c r="E822" s="3">
        <v>11</v>
      </c>
      <c r="F822" s="3" t="s">
        <v>14</v>
      </c>
      <c r="G822" s="4" t="str">
        <f t="shared" si="48"/>
        <v>28662</v>
      </c>
      <c r="H822" t="str">
        <f t="shared" si="49"/>
        <v>Huriye ŞEYHAHMED</v>
      </c>
      <c r="I822" t="str">
        <f t="shared" si="50"/>
        <v>11D Aşçılık</v>
      </c>
      <c r="J822" t="str">
        <f t="shared" si="51"/>
        <v>11D</v>
      </c>
    </row>
    <row r="823" spans="1:10" x14ac:dyDescent="0.25">
      <c r="A823" s="3">
        <v>53842214166</v>
      </c>
      <c r="B823" s="3" t="s">
        <v>907</v>
      </c>
      <c r="C823" s="3" t="s">
        <v>12</v>
      </c>
      <c r="D823" s="3" t="s">
        <v>16</v>
      </c>
      <c r="E823" s="3">
        <v>11</v>
      </c>
      <c r="F823" s="3" t="s">
        <v>14</v>
      </c>
      <c r="G823" s="4" t="str">
        <f t="shared" si="48"/>
        <v>14166</v>
      </c>
      <c r="H823" t="str">
        <f t="shared" si="49"/>
        <v>Muhammet Batuhan AYDIN</v>
      </c>
      <c r="I823" t="str">
        <f t="shared" si="50"/>
        <v>11D Aşçılık</v>
      </c>
      <c r="J823" t="str">
        <f t="shared" si="51"/>
        <v>11D</v>
      </c>
    </row>
    <row r="824" spans="1:10" x14ac:dyDescent="0.25">
      <c r="A824" s="3">
        <v>32567466616</v>
      </c>
      <c r="B824" s="3" t="s">
        <v>908</v>
      </c>
      <c r="C824" s="3" t="s">
        <v>12</v>
      </c>
      <c r="D824" s="3" t="s">
        <v>16</v>
      </c>
      <c r="E824" s="3">
        <v>11</v>
      </c>
      <c r="F824" s="3" t="s">
        <v>14</v>
      </c>
      <c r="G824" s="4" t="str">
        <f t="shared" si="48"/>
        <v>66616</v>
      </c>
      <c r="H824" t="str">
        <f t="shared" si="49"/>
        <v>Musa TÜRKAY</v>
      </c>
      <c r="I824" t="str">
        <f t="shared" si="50"/>
        <v>11D Aşçılık</v>
      </c>
      <c r="J824" t="str">
        <f t="shared" si="51"/>
        <v>11D</v>
      </c>
    </row>
    <row r="825" spans="1:10" x14ac:dyDescent="0.25">
      <c r="A825" s="3">
        <v>48268942946</v>
      </c>
      <c r="B825" s="3" t="s">
        <v>909</v>
      </c>
      <c r="C825" s="3" t="s">
        <v>12</v>
      </c>
      <c r="D825" s="3" t="s">
        <v>16</v>
      </c>
      <c r="E825" s="3">
        <v>11</v>
      </c>
      <c r="F825" s="3" t="s">
        <v>14</v>
      </c>
      <c r="G825" s="4" t="str">
        <f t="shared" si="48"/>
        <v>42946</v>
      </c>
      <c r="H825" t="str">
        <f t="shared" si="49"/>
        <v>Mustafa Efe DEMİR</v>
      </c>
      <c r="I825" t="str">
        <f t="shared" si="50"/>
        <v>11D Aşçılık</v>
      </c>
      <c r="J825" t="str">
        <f t="shared" si="51"/>
        <v>11D</v>
      </c>
    </row>
    <row r="826" spans="1:10" x14ac:dyDescent="0.25">
      <c r="A826" s="3">
        <v>61987117426</v>
      </c>
      <c r="B826" s="3" t="s">
        <v>910</v>
      </c>
      <c r="C826" s="3" t="s">
        <v>12</v>
      </c>
      <c r="D826" s="3" t="s">
        <v>16</v>
      </c>
      <c r="E826" s="3">
        <v>11</v>
      </c>
      <c r="F826" s="3" t="s">
        <v>14</v>
      </c>
      <c r="G826" s="4" t="str">
        <f t="shared" si="48"/>
        <v>17426</v>
      </c>
      <c r="H826" t="str">
        <f t="shared" si="49"/>
        <v>Necati Levent HEBEBCİ</v>
      </c>
      <c r="I826" t="str">
        <f t="shared" si="50"/>
        <v>11D Aşçılık</v>
      </c>
      <c r="J826" t="str">
        <f t="shared" si="51"/>
        <v>11D</v>
      </c>
    </row>
    <row r="827" spans="1:10" x14ac:dyDescent="0.25">
      <c r="A827" s="3">
        <v>54361371460</v>
      </c>
      <c r="B827" s="3" t="s">
        <v>911</v>
      </c>
      <c r="C827" s="3" t="s">
        <v>12</v>
      </c>
      <c r="D827" s="3" t="s">
        <v>16</v>
      </c>
      <c r="E827" s="3">
        <v>11</v>
      </c>
      <c r="F827" s="3" t="s">
        <v>14</v>
      </c>
      <c r="G827" s="4" t="str">
        <f t="shared" si="48"/>
        <v>71460</v>
      </c>
      <c r="H827" t="str">
        <f t="shared" si="49"/>
        <v>Oğuzhan SAPİL</v>
      </c>
      <c r="I827" t="str">
        <f t="shared" si="50"/>
        <v>11D Aşçılık</v>
      </c>
      <c r="J827" t="str">
        <f t="shared" si="51"/>
        <v>11D</v>
      </c>
    </row>
    <row r="828" spans="1:10" x14ac:dyDescent="0.25">
      <c r="A828" s="3">
        <v>49789524390</v>
      </c>
      <c r="B828" s="3" t="s">
        <v>912</v>
      </c>
      <c r="C828" s="3" t="s">
        <v>12</v>
      </c>
      <c r="D828" s="3" t="s">
        <v>16</v>
      </c>
      <c r="E828" s="3">
        <v>11</v>
      </c>
      <c r="F828" s="3" t="s">
        <v>14</v>
      </c>
      <c r="G828" s="4" t="str">
        <f t="shared" si="48"/>
        <v>24390</v>
      </c>
      <c r="H828" t="str">
        <f t="shared" si="49"/>
        <v>Sinem BİLECEN</v>
      </c>
      <c r="I828" t="str">
        <f t="shared" si="50"/>
        <v>11D Aşçılık</v>
      </c>
      <c r="J828" t="str">
        <f t="shared" si="51"/>
        <v>11D</v>
      </c>
    </row>
    <row r="829" spans="1:10" x14ac:dyDescent="0.25">
      <c r="A829" s="3">
        <v>64699027250</v>
      </c>
      <c r="B829" s="3" t="s">
        <v>913</v>
      </c>
      <c r="C829" s="3" t="s">
        <v>12</v>
      </c>
      <c r="D829" s="3" t="s">
        <v>16</v>
      </c>
      <c r="E829" s="3">
        <v>11</v>
      </c>
      <c r="F829" s="3" t="s">
        <v>14</v>
      </c>
      <c r="G829" s="4" t="str">
        <f t="shared" si="48"/>
        <v>27250</v>
      </c>
      <c r="H829" t="str">
        <f t="shared" si="49"/>
        <v>Şeref DÜZENLİ</v>
      </c>
      <c r="I829" t="str">
        <f t="shared" si="50"/>
        <v>11D Aşçılık</v>
      </c>
      <c r="J829" t="str">
        <f t="shared" si="51"/>
        <v>11D</v>
      </c>
    </row>
    <row r="830" spans="1:10" x14ac:dyDescent="0.25">
      <c r="A830" s="3">
        <v>34682027260</v>
      </c>
      <c r="B830" s="3" t="s">
        <v>914</v>
      </c>
      <c r="C830" s="3" t="s">
        <v>12</v>
      </c>
      <c r="D830" s="3" t="s">
        <v>16</v>
      </c>
      <c r="E830" s="3">
        <v>11</v>
      </c>
      <c r="F830" s="3" t="s">
        <v>14</v>
      </c>
      <c r="G830" s="4" t="str">
        <f t="shared" si="48"/>
        <v>27260</v>
      </c>
      <c r="H830" t="str">
        <f t="shared" si="49"/>
        <v>Taha ÇAKMAK</v>
      </c>
      <c r="I830" t="str">
        <f t="shared" si="50"/>
        <v>11D Aşçılık</v>
      </c>
      <c r="J830" t="str">
        <f t="shared" si="51"/>
        <v>11D</v>
      </c>
    </row>
    <row r="831" spans="1:10" x14ac:dyDescent="0.25">
      <c r="A831" s="3">
        <v>60601322000</v>
      </c>
      <c r="B831" s="3" t="s">
        <v>915</v>
      </c>
      <c r="C831" s="3" t="s">
        <v>12</v>
      </c>
      <c r="D831" s="3" t="s">
        <v>16</v>
      </c>
      <c r="E831" s="3">
        <v>11</v>
      </c>
      <c r="F831" s="3" t="s">
        <v>14</v>
      </c>
      <c r="G831" s="4" t="str">
        <f t="shared" si="48"/>
        <v>22000</v>
      </c>
      <c r="H831" t="str">
        <f t="shared" si="49"/>
        <v>Yiğit AŞCI</v>
      </c>
      <c r="I831" t="str">
        <f t="shared" si="50"/>
        <v>11D Aşçılık</v>
      </c>
      <c r="J831" t="str">
        <f t="shared" si="51"/>
        <v>11D</v>
      </c>
    </row>
    <row r="832" spans="1:10" x14ac:dyDescent="0.25">
      <c r="A832" s="3">
        <v>61960117900</v>
      </c>
      <c r="B832" s="3" t="s">
        <v>916</v>
      </c>
      <c r="C832" s="3" t="s">
        <v>12</v>
      </c>
      <c r="D832" s="3" t="s">
        <v>27</v>
      </c>
      <c r="E832" s="3">
        <v>11</v>
      </c>
      <c r="F832" s="3" t="s">
        <v>917</v>
      </c>
      <c r="G832" s="4" t="str">
        <f t="shared" si="48"/>
        <v>17900</v>
      </c>
      <c r="H832" t="str">
        <f t="shared" si="49"/>
        <v>Fatih BUDAK</v>
      </c>
      <c r="I832" t="str">
        <f t="shared" si="50"/>
        <v>11K4 Bilgisayar Teknik Servisi</v>
      </c>
      <c r="J832" t="str">
        <f t="shared" si="51"/>
        <v>11K</v>
      </c>
    </row>
    <row r="833" spans="1:10" x14ac:dyDescent="0.25">
      <c r="A833" s="3">
        <v>50551498726</v>
      </c>
      <c r="B833" s="3" t="s">
        <v>918</v>
      </c>
      <c r="C833" s="3" t="s">
        <v>12</v>
      </c>
      <c r="D833" s="3" t="s">
        <v>27</v>
      </c>
      <c r="E833" s="3">
        <v>11</v>
      </c>
      <c r="F833" s="3" t="s">
        <v>917</v>
      </c>
      <c r="G833" s="4" t="str">
        <f t="shared" si="48"/>
        <v>98726</v>
      </c>
      <c r="H833" t="str">
        <f t="shared" si="49"/>
        <v>Yunus Emre KURT</v>
      </c>
      <c r="I833" t="str">
        <f t="shared" si="50"/>
        <v>11K4 Bilgisayar Teknik Servisi</v>
      </c>
      <c r="J833" t="str">
        <f t="shared" si="51"/>
        <v>11K</v>
      </c>
    </row>
    <row r="834" spans="1:10" x14ac:dyDescent="0.25">
      <c r="A834" s="3">
        <v>47767591792</v>
      </c>
      <c r="B834" s="3" t="s">
        <v>919</v>
      </c>
      <c r="C834" s="3" t="s">
        <v>12</v>
      </c>
      <c r="D834" s="3" t="s">
        <v>27</v>
      </c>
      <c r="E834" s="3">
        <v>11</v>
      </c>
      <c r="F834" s="3" t="s">
        <v>917</v>
      </c>
      <c r="G834" s="4" t="str">
        <f t="shared" si="48"/>
        <v>91792</v>
      </c>
      <c r="H834" t="str">
        <f t="shared" si="49"/>
        <v>Yusuf Aybars ÇELİK</v>
      </c>
      <c r="I834" t="str">
        <f t="shared" si="50"/>
        <v>11K4 Bilgisayar Teknik Servisi</v>
      </c>
      <c r="J834" t="str">
        <f t="shared" si="51"/>
        <v>11K</v>
      </c>
    </row>
    <row r="835" spans="1:10" x14ac:dyDescent="0.25">
      <c r="A835" s="3">
        <v>62428102858</v>
      </c>
      <c r="B835" s="3" t="s">
        <v>920</v>
      </c>
      <c r="C835" s="3" t="s">
        <v>12</v>
      </c>
      <c r="D835" s="3" t="s">
        <v>31</v>
      </c>
      <c r="E835" s="3">
        <v>11</v>
      </c>
      <c r="F835" s="3" t="s">
        <v>642</v>
      </c>
      <c r="G835" s="4" t="str">
        <f t="shared" si="48"/>
        <v>02858</v>
      </c>
      <c r="H835" t="str">
        <f t="shared" si="49"/>
        <v>Arda DİŞLİ</v>
      </c>
      <c r="I835" t="str">
        <f t="shared" si="50"/>
        <v>11İ Bilgisayarlı Makine İmalatı</v>
      </c>
      <c r="J835" t="str">
        <f t="shared" si="51"/>
        <v>11İ</v>
      </c>
    </row>
    <row r="836" spans="1:10" x14ac:dyDescent="0.25">
      <c r="A836" s="3">
        <v>47104613668</v>
      </c>
      <c r="B836" s="3" t="s">
        <v>921</v>
      </c>
      <c r="C836" s="3" t="s">
        <v>12</v>
      </c>
      <c r="D836" s="3" t="s">
        <v>31</v>
      </c>
      <c r="E836" s="3">
        <v>11</v>
      </c>
      <c r="F836" s="3" t="s">
        <v>642</v>
      </c>
      <c r="G836" s="4" t="str">
        <f t="shared" si="48"/>
        <v>13668</v>
      </c>
      <c r="H836" t="str">
        <f t="shared" si="49"/>
        <v>Barış ATTİLLA</v>
      </c>
      <c r="I836" t="str">
        <f t="shared" si="50"/>
        <v>11İ Bilgisayarlı Makine İmalatı</v>
      </c>
      <c r="J836" t="str">
        <f t="shared" si="51"/>
        <v>11İ</v>
      </c>
    </row>
    <row r="837" spans="1:10" x14ac:dyDescent="0.25">
      <c r="A837" s="3">
        <v>17915586192</v>
      </c>
      <c r="B837" s="3" t="s">
        <v>922</v>
      </c>
      <c r="C837" s="3" t="s">
        <v>12</v>
      </c>
      <c r="D837" s="3" t="s">
        <v>31</v>
      </c>
      <c r="E837" s="3">
        <v>11</v>
      </c>
      <c r="F837" s="3" t="s">
        <v>642</v>
      </c>
      <c r="G837" s="4" t="str">
        <f t="shared" ref="G837:G900" si="52">RIGHT(A837,5)</f>
        <v>86192</v>
      </c>
      <c r="H837" t="str">
        <f t="shared" ref="H837:H900" si="53">B837</f>
        <v>Batuhan GÜNDOĞAN</v>
      </c>
      <c r="I837" t="str">
        <f t="shared" ref="I837:I900" si="54">CONCATENATE(E837,F837," ",D837)</f>
        <v>11İ Bilgisayarlı Makine İmalatı</v>
      </c>
      <c r="J837" t="str">
        <f t="shared" ref="J837:J900" si="55">LEFT(I837,3)</f>
        <v>11İ</v>
      </c>
    </row>
    <row r="838" spans="1:10" x14ac:dyDescent="0.25">
      <c r="A838" s="3">
        <v>19253541628</v>
      </c>
      <c r="B838" s="3" t="s">
        <v>923</v>
      </c>
      <c r="C838" s="3" t="s">
        <v>12</v>
      </c>
      <c r="D838" s="3" t="s">
        <v>31</v>
      </c>
      <c r="E838" s="3">
        <v>11</v>
      </c>
      <c r="F838" s="3" t="s">
        <v>642</v>
      </c>
      <c r="G838" s="4" t="str">
        <f t="shared" si="52"/>
        <v>41628</v>
      </c>
      <c r="H838" t="str">
        <f t="shared" si="53"/>
        <v>Doğukan ÖZMEN</v>
      </c>
      <c r="I838" t="str">
        <f t="shared" si="54"/>
        <v>11İ Bilgisayarlı Makine İmalatı</v>
      </c>
      <c r="J838" t="str">
        <f t="shared" si="55"/>
        <v>11İ</v>
      </c>
    </row>
    <row r="839" spans="1:10" x14ac:dyDescent="0.25">
      <c r="A839" s="3">
        <v>69292057796</v>
      </c>
      <c r="B839" s="3" t="s">
        <v>924</v>
      </c>
      <c r="C839" s="3" t="s">
        <v>12</v>
      </c>
      <c r="D839" s="3" t="s">
        <v>31</v>
      </c>
      <c r="E839" s="3">
        <v>11</v>
      </c>
      <c r="F839" s="3" t="s">
        <v>642</v>
      </c>
      <c r="G839" s="4" t="str">
        <f t="shared" si="52"/>
        <v>57796</v>
      </c>
      <c r="H839" t="str">
        <f t="shared" si="53"/>
        <v>Efe ÇAMURCU</v>
      </c>
      <c r="I839" t="str">
        <f t="shared" si="54"/>
        <v>11İ Bilgisayarlı Makine İmalatı</v>
      </c>
      <c r="J839" t="str">
        <f t="shared" si="55"/>
        <v>11İ</v>
      </c>
    </row>
    <row r="840" spans="1:10" x14ac:dyDescent="0.25">
      <c r="A840" s="3">
        <v>19559357824</v>
      </c>
      <c r="B840" s="3" t="s">
        <v>925</v>
      </c>
      <c r="C840" s="3" t="s">
        <v>12</v>
      </c>
      <c r="D840" s="3" t="s">
        <v>31</v>
      </c>
      <c r="E840" s="3">
        <v>11</v>
      </c>
      <c r="F840" s="3" t="s">
        <v>642</v>
      </c>
      <c r="G840" s="4" t="str">
        <f t="shared" si="52"/>
        <v>57824</v>
      </c>
      <c r="H840" t="str">
        <f t="shared" si="53"/>
        <v>Kaan TELLİ</v>
      </c>
      <c r="I840" t="str">
        <f t="shared" si="54"/>
        <v>11İ Bilgisayarlı Makine İmalatı</v>
      </c>
      <c r="J840" t="str">
        <f t="shared" si="55"/>
        <v>11İ</v>
      </c>
    </row>
    <row r="841" spans="1:10" x14ac:dyDescent="0.25">
      <c r="A841" s="3">
        <v>29989970586</v>
      </c>
      <c r="B841" s="3" t="s">
        <v>926</v>
      </c>
      <c r="C841" s="3" t="s">
        <v>12</v>
      </c>
      <c r="D841" s="3" t="s">
        <v>31</v>
      </c>
      <c r="E841" s="3">
        <v>11</v>
      </c>
      <c r="F841" s="3" t="s">
        <v>642</v>
      </c>
      <c r="G841" s="4" t="str">
        <f t="shared" si="52"/>
        <v>70586</v>
      </c>
      <c r="H841" t="str">
        <f t="shared" si="53"/>
        <v>Kemal ÇETİNKAYA</v>
      </c>
      <c r="I841" t="str">
        <f t="shared" si="54"/>
        <v>11İ Bilgisayarlı Makine İmalatı</v>
      </c>
      <c r="J841" t="str">
        <f t="shared" si="55"/>
        <v>11İ</v>
      </c>
    </row>
    <row r="842" spans="1:10" x14ac:dyDescent="0.25">
      <c r="A842" s="3">
        <v>48121922290</v>
      </c>
      <c r="B842" s="3" t="s">
        <v>927</v>
      </c>
      <c r="C842" s="3" t="s">
        <v>12</v>
      </c>
      <c r="D842" s="3" t="s">
        <v>31</v>
      </c>
      <c r="E842" s="3">
        <v>11</v>
      </c>
      <c r="F842" s="3" t="s">
        <v>642</v>
      </c>
      <c r="G842" s="4" t="str">
        <f t="shared" si="52"/>
        <v>22290</v>
      </c>
      <c r="H842" t="str">
        <f t="shared" si="53"/>
        <v>Muhammed Mümtaz AŞIROĞLU</v>
      </c>
      <c r="I842" t="str">
        <f t="shared" si="54"/>
        <v>11İ Bilgisayarlı Makine İmalatı</v>
      </c>
      <c r="J842" t="str">
        <f t="shared" si="55"/>
        <v>11İ</v>
      </c>
    </row>
    <row r="843" spans="1:10" x14ac:dyDescent="0.25">
      <c r="A843" s="3">
        <v>61663127800</v>
      </c>
      <c r="B843" s="3" t="s">
        <v>928</v>
      </c>
      <c r="C843" s="3" t="s">
        <v>12</v>
      </c>
      <c r="D843" s="3" t="s">
        <v>31</v>
      </c>
      <c r="E843" s="3">
        <v>11</v>
      </c>
      <c r="F843" s="3" t="s">
        <v>642</v>
      </c>
      <c r="G843" s="4" t="str">
        <f t="shared" si="52"/>
        <v>27800</v>
      </c>
      <c r="H843" t="str">
        <f t="shared" si="53"/>
        <v>Mustafa AKBABA</v>
      </c>
      <c r="I843" t="str">
        <f t="shared" si="54"/>
        <v>11İ Bilgisayarlı Makine İmalatı</v>
      </c>
      <c r="J843" t="str">
        <f t="shared" si="55"/>
        <v>11İ</v>
      </c>
    </row>
    <row r="844" spans="1:10" x14ac:dyDescent="0.25">
      <c r="A844" s="3">
        <v>53539399220</v>
      </c>
      <c r="B844" s="3" t="s">
        <v>929</v>
      </c>
      <c r="C844" s="3" t="s">
        <v>12</v>
      </c>
      <c r="D844" s="3" t="s">
        <v>31</v>
      </c>
      <c r="E844" s="3">
        <v>11</v>
      </c>
      <c r="F844" s="3" t="s">
        <v>642</v>
      </c>
      <c r="G844" s="4" t="str">
        <f t="shared" si="52"/>
        <v>99220</v>
      </c>
      <c r="H844" t="str">
        <f t="shared" si="53"/>
        <v>Oğuz ÇOKDER</v>
      </c>
      <c r="I844" t="str">
        <f t="shared" si="54"/>
        <v>11İ Bilgisayarlı Makine İmalatı</v>
      </c>
      <c r="J844" t="str">
        <f t="shared" si="55"/>
        <v>11İ</v>
      </c>
    </row>
    <row r="845" spans="1:10" x14ac:dyDescent="0.25">
      <c r="A845" s="3">
        <v>38293907966</v>
      </c>
      <c r="B845" s="3" t="s">
        <v>930</v>
      </c>
      <c r="C845" s="3" t="s">
        <v>12</v>
      </c>
      <c r="D845" s="3" t="s">
        <v>31</v>
      </c>
      <c r="E845" s="3">
        <v>11</v>
      </c>
      <c r="F845" s="3" t="s">
        <v>642</v>
      </c>
      <c r="G845" s="4" t="str">
        <f t="shared" si="52"/>
        <v>07966</v>
      </c>
      <c r="H845" t="str">
        <f t="shared" si="53"/>
        <v>Ömer Emin Can ATEŞ</v>
      </c>
      <c r="I845" t="str">
        <f t="shared" si="54"/>
        <v>11İ Bilgisayarlı Makine İmalatı</v>
      </c>
      <c r="J845" t="str">
        <f t="shared" si="55"/>
        <v>11İ</v>
      </c>
    </row>
    <row r="846" spans="1:10" x14ac:dyDescent="0.25">
      <c r="A846" s="3">
        <v>56371304346</v>
      </c>
      <c r="B846" s="3" t="s">
        <v>931</v>
      </c>
      <c r="C846" s="3" t="s">
        <v>12</v>
      </c>
      <c r="D846" s="3" t="s">
        <v>31</v>
      </c>
      <c r="E846" s="3">
        <v>11</v>
      </c>
      <c r="F846" s="3" t="s">
        <v>642</v>
      </c>
      <c r="G846" s="4" t="str">
        <f t="shared" si="52"/>
        <v>04346</v>
      </c>
      <c r="H846" t="str">
        <f t="shared" si="53"/>
        <v>Serhat ÇETİNKAYA</v>
      </c>
      <c r="I846" t="str">
        <f t="shared" si="54"/>
        <v>11İ Bilgisayarlı Makine İmalatı</v>
      </c>
      <c r="J846" t="str">
        <f t="shared" si="55"/>
        <v>11İ</v>
      </c>
    </row>
    <row r="847" spans="1:10" x14ac:dyDescent="0.25">
      <c r="A847" s="3">
        <v>59683193936</v>
      </c>
      <c r="B847" s="3" t="s">
        <v>932</v>
      </c>
      <c r="C847" s="3" t="s">
        <v>12</v>
      </c>
      <c r="D847" s="3" t="s">
        <v>31</v>
      </c>
      <c r="E847" s="3">
        <v>11</v>
      </c>
      <c r="F847" s="3" t="s">
        <v>642</v>
      </c>
      <c r="G847" s="4" t="str">
        <f t="shared" si="52"/>
        <v>93936</v>
      </c>
      <c r="H847" t="str">
        <f t="shared" si="53"/>
        <v>Yasin TATAR</v>
      </c>
      <c r="I847" t="str">
        <f t="shared" si="54"/>
        <v>11İ Bilgisayarlı Makine İmalatı</v>
      </c>
      <c r="J847" t="str">
        <f t="shared" si="55"/>
        <v>11İ</v>
      </c>
    </row>
    <row r="848" spans="1:10" x14ac:dyDescent="0.25">
      <c r="A848" s="3">
        <v>17207978124</v>
      </c>
      <c r="B848" s="3" t="s">
        <v>933</v>
      </c>
      <c r="C848" s="3" t="s">
        <v>12</v>
      </c>
      <c r="D848" s="3" t="s">
        <v>50</v>
      </c>
      <c r="E848" s="3">
        <v>11</v>
      </c>
      <c r="F848" s="3" t="s">
        <v>625</v>
      </c>
      <c r="G848" s="4" t="str">
        <f t="shared" si="52"/>
        <v>78124</v>
      </c>
      <c r="H848" t="str">
        <f t="shared" si="53"/>
        <v>Caner ÇOMAK</v>
      </c>
      <c r="I848" t="str">
        <f t="shared" si="54"/>
        <v>11C1 Bobinaj</v>
      </c>
      <c r="J848" t="str">
        <f t="shared" si="55"/>
        <v>11C</v>
      </c>
    </row>
    <row r="849" spans="1:10" x14ac:dyDescent="0.25">
      <c r="A849" s="3">
        <v>23675759936</v>
      </c>
      <c r="B849" s="3" t="s">
        <v>934</v>
      </c>
      <c r="C849" s="3" t="s">
        <v>12</v>
      </c>
      <c r="D849" s="3" t="s">
        <v>50</v>
      </c>
      <c r="E849" s="3">
        <v>11</v>
      </c>
      <c r="F849" s="3" t="s">
        <v>625</v>
      </c>
      <c r="G849" s="4" t="str">
        <f t="shared" si="52"/>
        <v>59936</v>
      </c>
      <c r="H849" t="str">
        <f t="shared" si="53"/>
        <v>Emirhan DEĞERLİ</v>
      </c>
      <c r="I849" t="str">
        <f t="shared" si="54"/>
        <v>11C1 Bobinaj</v>
      </c>
      <c r="J849" t="str">
        <f t="shared" si="55"/>
        <v>11C</v>
      </c>
    </row>
    <row r="850" spans="1:10" x14ac:dyDescent="0.25">
      <c r="A850" s="3">
        <v>44047715428</v>
      </c>
      <c r="B850" s="3" t="s">
        <v>935</v>
      </c>
      <c r="C850" s="3" t="s">
        <v>12</v>
      </c>
      <c r="D850" s="3" t="s">
        <v>50</v>
      </c>
      <c r="E850" s="3">
        <v>11</v>
      </c>
      <c r="F850" s="3" t="s">
        <v>625</v>
      </c>
      <c r="G850" s="4" t="str">
        <f t="shared" si="52"/>
        <v>15428</v>
      </c>
      <c r="H850" t="str">
        <f t="shared" si="53"/>
        <v>Samet TONBUL</v>
      </c>
      <c r="I850" t="str">
        <f t="shared" si="54"/>
        <v>11C1 Bobinaj</v>
      </c>
      <c r="J850" t="str">
        <f t="shared" si="55"/>
        <v>11C</v>
      </c>
    </row>
    <row r="851" spans="1:10" x14ac:dyDescent="0.25">
      <c r="A851" s="3">
        <v>60526314760</v>
      </c>
      <c r="B851" s="3" t="s">
        <v>936</v>
      </c>
      <c r="C851" s="3" t="s">
        <v>12</v>
      </c>
      <c r="D851" s="3" t="s">
        <v>50</v>
      </c>
      <c r="E851" s="3">
        <v>11</v>
      </c>
      <c r="F851" s="3" t="s">
        <v>625</v>
      </c>
      <c r="G851" s="4" t="str">
        <f t="shared" si="52"/>
        <v>14760</v>
      </c>
      <c r="H851" t="str">
        <f t="shared" si="53"/>
        <v>Yasin ÖZKAYA</v>
      </c>
      <c r="I851" t="str">
        <f t="shared" si="54"/>
        <v>11C1 Bobinaj</v>
      </c>
      <c r="J851" t="str">
        <f t="shared" si="55"/>
        <v>11C</v>
      </c>
    </row>
    <row r="852" spans="1:10" x14ac:dyDescent="0.25">
      <c r="A852" s="3">
        <v>61978117572</v>
      </c>
      <c r="B852" s="3" t="s">
        <v>937</v>
      </c>
      <c r="C852" s="3" t="s">
        <v>12</v>
      </c>
      <c r="D852" s="3" t="s">
        <v>53</v>
      </c>
      <c r="E852" s="3">
        <v>11</v>
      </c>
      <c r="F852" s="3" t="s">
        <v>219</v>
      </c>
      <c r="G852" s="4" t="str">
        <f t="shared" si="52"/>
        <v>17572</v>
      </c>
      <c r="H852" t="str">
        <f t="shared" si="53"/>
        <v>Çisem Berna ÖNDARÖ</v>
      </c>
      <c r="I852" t="str">
        <f t="shared" si="54"/>
        <v>11A1 Cilt Bakımı Ve Makyaj</v>
      </c>
      <c r="J852" t="str">
        <f t="shared" si="55"/>
        <v>11A</v>
      </c>
    </row>
    <row r="853" spans="1:10" x14ac:dyDescent="0.25">
      <c r="A853" s="3">
        <v>17146776706</v>
      </c>
      <c r="B853" s="3" t="s">
        <v>938</v>
      </c>
      <c r="C853" s="3" t="s">
        <v>12</v>
      </c>
      <c r="D853" s="3" t="s">
        <v>53</v>
      </c>
      <c r="E853" s="3">
        <v>11</v>
      </c>
      <c r="F853" s="3" t="s">
        <v>219</v>
      </c>
      <c r="G853" s="4" t="str">
        <f t="shared" si="52"/>
        <v>76706</v>
      </c>
      <c r="H853" t="str">
        <f t="shared" si="53"/>
        <v>Elif MACAR</v>
      </c>
      <c r="I853" t="str">
        <f t="shared" si="54"/>
        <v>11A1 Cilt Bakımı Ve Makyaj</v>
      </c>
      <c r="J853" t="str">
        <f t="shared" si="55"/>
        <v>11A</v>
      </c>
    </row>
    <row r="854" spans="1:10" x14ac:dyDescent="0.25">
      <c r="A854" s="3">
        <v>36574673630</v>
      </c>
      <c r="B854" s="3" t="s">
        <v>939</v>
      </c>
      <c r="C854" s="3" t="s">
        <v>12</v>
      </c>
      <c r="D854" s="3" t="s">
        <v>53</v>
      </c>
      <c r="E854" s="3">
        <v>11</v>
      </c>
      <c r="F854" s="3" t="s">
        <v>219</v>
      </c>
      <c r="G854" s="4" t="str">
        <f t="shared" si="52"/>
        <v>73630</v>
      </c>
      <c r="H854" t="str">
        <f t="shared" si="53"/>
        <v>Fatma Zehra DEMİREL</v>
      </c>
      <c r="I854" t="str">
        <f t="shared" si="54"/>
        <v>11A1 Cilt Bakımı Ve Makyaj</v>
      </c>
      <c r="J854" t="str">
        <f t="shared" si="55"/>
        <v>11A</v>
      </c>
    </row>
    <row r="855" spans="1:10" x14ac:dyDescent="0.25">
      <c r="A855" s="3">
        <v>43484099696</v>
      </c>
      <c r="B855" s="3" t="s">
        <v>940</v>
      </c>
      <c r="C855" s="3" t="s">
        <v>12</v>
      </c>
      <c r="D855" s="3" t="s">
        <v>53</v>
      </c>
      <c r="E855" s="3">
        <v>11</v>
      </c>
      <c r="F855" s="3" t="s">
        <v>219</v>
      </c>
      <c r="G855" s="4" t="str">
        <f t="shared" si="52"/>
        <v>99696</v>
      </c>
      <c r="H855" t="str">
        <f t="shared" si="53"/>
        <v>Nisanur ATICI</v>
      </c>
      <c r="I855" t="str">
        <f t="shared" si="54"/>
        <v>11A1 Cilt Bakımı Ve Makyaj</v>
      </c>
      <c r="J855" t="str">
        <f t="shared" si="55"/>
        <v>11A</v>
      </c>
    </row>
    <row r="856" spans="1:10" x14ac:dyDescent="0.25">
      <c r="A856" s="3">
        <v>30767528806</v>
      </c>
      <c r="B856" s="3" t="s">
        <v>941</v>
      </c>
      <c r="C856" s="3" t="s">
        <v>12</v>
      </c>
      <c r="D856" s="3" t="s">
        <v>53</v>
      </c>
      <c r="E856" s="3">
        <v>11</v>
      </c>
      <c r="F856" s="3" t="s">
        <v>219</v>
      </c>
      <c r="G856" s="4" t="str">
        <f t="shared" si="52"/>
        <v>28806</v>
      </c>
      <c r="H856" t="str">
        <f t="shared" si="53"/>
        <v>Nisanur KOCAR</v>
      </c>
      <c r="I856" t="str">
        <f t="shared" si="54"/>
        <v>11A1 Cilt Bakımı Ve Makyaj</v>
      </c>
      <c r="J856" t="str">
        <f t="shared" si="55"/>
        <v>11A</v>
      </c>
    </row>
    <row r="857" spans="1:10" x14ac:dyDescent="0.25">
      <c r="A857" s="3">
        <v>12398386246</v>
      </c>
      <c r="B857" s="3" t="s">
        <v>942</v>
      </c>
      <c r="C857" s="3" t="s">
        <v>12</v>
      </c>
      <c r="D857" s="3" t="s">
        <v>53</v>
      </c>
      <c r="E857" s="3">
        <v>11</v>
      </c>
      <c r="F857" s="3" t="s">
        <v>219</v>
      </c>
      <c r="G857" s="4" t="str">
        <f t="shared" si="52"/>
        <v>86246</v>
      </c>
      <c r="H857" t="str">
        <f t="shared" si="53"/>
        <v>Yağmur ÇETİNKAYA</v>
      </c>
      <c r="I857" t="str">
        <f t="shared" si="54"/>
        <v>11A1 Cilt Bakımı Ve Makyaj</v>
      </c>
      <c r="J857" t="str">
        <f t="shared" si="55"/>
        <v>11A</v>
      </c>
    </row>
    <row r="858" spans="1:10" x14ac:dyDescent="0.25">
      <c r="A858" s="3">
        <v>51985450670</v>
      </c>
      <c r="B858" s="3" t="s">
        <v>943</v>
      </c>
      <c r="C858" s="3" t="s">
        <v>12</v>
      </c>
      <c r="D858" s="3" t="s">
        <v>53</v>
      </c>
      <c r="E858" s="3">
        <v>11</v>
      </c>
      <c r="F858" s="3" t="s">
        <v>219</v>
      </c>
      <c r="G858" s="4" t="str">
        <f t="shared" si="52"/>
        <v>50670</v>
      </c>
      <c r="H858" t="str">
        <f t="shared" si="53"/>
        <v>Yasmin YALIM</v>
      </c>
      <c r="I858" t="str">
        <f t="shared" si="54"/>
        <v>11A1 Cilt Bakımı Ve Makyaj</v>
      </c>
      <c r="J858" t="str">
        <f t="shared" si="55"/>
        <v>11A</v>
      </c>
    </row>
    <row r="859" spans="1:10" x14ac:dyDescent="0.25">
      <c r="A859" s="3">
        <v>40325027306</v>
      </c>
      <c r="B859" s="3" t="s">
        <v>944</v>
      </c>
      <c r="C859" s="3" t="s">
        <v>12</v>
      </c>
      <c r="D859" s="3" t="s">
        <v>57</v>
      </c>
      <c r="E859" s="3">
        <v>11</v>
      </c>
      <c r="F859" s="3" t="s">
        <v>32</v>
      </c>
      <c r="G859" s="4" t="str">
        <f t="shared" si="52"/>
        <v>27306</v>
      </c>
      <c r="H859" t="str">
        <f t="shared" si="53"/>
        <v>Yunus Emre KORCAN</v>
      </c>
      <c r="I859" t="str">
        <f t="shared" si="54"/>
        <v>11E1 Dizel Motorları Yakıt Pompası Ve Enjektör Ayarcılığı</v>
      </c>
      <c r="J859" t="str">
        <f t="shared" si="55"/>
        <v>11E</v>
      </c>
    </row>
    <row r="860" spans="1:10" x14ac:dyDescent="0.25">
      <c r="A860" s="3">
        <v>34330613036</v>
      </c>
      <c r="B860" s="3" t="s">
        <v>945</v>
      </c>
      <c r="C860" s="3" t="s">
        <v>12</v>
      </c>
      <c r="D860" s="3" t="s">
        <v>57</v>
      </c>
      <c r="E860" s="3">
        <v>11</v>
      </c>
      <c r="F860" s="3" t="s">
        <v>92</v>
      </c>
      <c r="G860" s="4" t="str">
        <f t="shared" si="52"/>
        <v>13036</v>
      </c>
      <c r="H860" t="str">
        <f t="shared" si="53"/>
        <v>Yusuf Ali DAĞ</v>
      </c>
      <c r="I860" t="str">
        <f t="shared" si="54"/>
        <v>11E Dizel Motorları Yakıt Pompası Ve Enjektör Ayarcılığı</v>
      </c>
      <c r="J860" t="str">
        <f t="shared" si="55"/>
        <v>11E</v>
      </c>
    </row>
    <row r="861" spans="1:10" x14ac:dyDescent="0.25">
      <c r="A861" s="3">
        <v>47041336446</v>
      </c>
      <c r="B861" s="3" t="s">
        <v>946</v>
      </c>
      <c r="C861" s="3" t="s">
        <v>12</v>
      </c>
      <c r="D861" s="3" t="s">
        <v>60</v>
      </c>
      <c r="E861" s="3">
        <v>11</v>
      </c>
      <c r="F861" s="3" t="s">
        <v>164</v>
      </c>
      <c r="G861" s="4" t="str">
        <f t="shared" si="52"/>
        <v>36446</v>
      </c>
      <c r="H861" t="str">
        <f t="shared" si="53"/>
        <v>Alperen ÜNLÜ</v>
      </c>
      <c r="I861" t="str">
        <f t="shared" si="54"/>
        <v>11C Elektrik Tesisatları Ve Pano Montörlüğü</v>
      </c>
      <c r="J861" t="str">
        <f t="shared" si="55"/>
        <v>11C</v>
      </c>
    </row>
    <row r="862" spans="1:10" x14ac:dyDescent="0.25">
      <c r="A862" s="3">
        <v>75271042738</v>
      </c>
      <c r="B862" s="3" t="s">
        <v>947</v>
      </c>
      <c r="C862" s="3" t="s">
        <v>12</v>
      </c>
      <c r="D862" s="3" t="s">
        <v>60</v>
      </c>
      <c r="E862" s="3">
        <v>11</v>
      </c>
      <c r="F862" s="3" t="s">
        <v>948</v>
      </c>
      <c r="G862" s="4" t="str">
        <f t="shared" si="52"/>
        <v>42738</v>
      </c>
      <c r="H862" t="str">
        <f t="shared" si="53"/>
        <v>Arda HAS</v>
      </c>
      <c r="I862" t="str">
        <f t="shared" si="54"/>
        <v>11K8 Elektrik Tesisatları Ve Pano Montörlüğü</v>
      </c>
      <c r="J862" t="str">
        <f t="shared" si="55"/>
        <v>11K</v>
      </c>
    </row>
    <row r="863" spans="1:10" x14ac:dyDescent="0.25">
      <c r="A863" s="3">
        <v>45208736498</v>
      </c>
      <c r="B863" s="3" t="s">
        <v>949</v>
      </c>
      <c r="C863" s="3" t="s">
        <v>898</v>
      </c>
      <c r="D863" s="3" t="s">
        <v>60</v>
      </c>
      <c r="E863" s="3">
        <v>11</v>
      </c>
      <c r="F863" s="3" t="s">
        <v>948</v>
      </c>
      <c r="G863" s="4" t="str">
        <f t="shared" si="52"/>
        <v>36498</v>
      </c>
      <c r="H863" t="str">
        <f t="shared" si="53"/>
        <v>Barış OK</v>
      </c>
      <c r="I863" t="str">
        <f t="shared" si="54"/>
        <v>11K8 Elektrik Tesisatları Ve Pano Montörlüğü</v>
      </c>
      <c r="J863" t="str">
        <f t="shared" si="55"/>
        <v>11K</v>
      </c>
    </row>
    <row r="864" spans="1:10" x14ac:dyDescent="0.25">
      <c r="A864" s="3">
        <v>32768226118</v>
      </c>
      <c r="B864" s="3" t="s">
        <v>950</v>
      </c>
      <c r="C864" s="3" t="s">
        <v>12</v>
      </c>
      <c r="D864" s="3" t="s">
        <v>60</v>
      </c>
      <c r="E864" s="3">
        <v>11</v>
      </c>
      <c r="F864" s="3" t="s">
        <v>948</v>
      </c>
      <c r="G864" s="4" t="str">
        <f t="shared" si="52"/>
        <v>26118</v>
      </c>
      <c r="H864" t="str">
        <f t="shared" si="53"/>
        <v>Batuhan ÇALIŞKAN</v>
      </c>
      <c r="I864" t="str">
        <f t="shared" si="54"/>
        <v>11K8 Elektrik Tesisatları Ve Pano Montörlüğü</v>
      </c>
      <c r="J864" t="str">
        <f t="shared" si="55"/>
        <v>11K</v>
      </c>
    </row>
    <row r="865" spans="1:10" x14ac:dyDescent="0.25">
      <c r="A865" s="3">
        <v>21605463748</v>
      </c>
      <c r="B865" s="3" t="s">
        <v>951</v>
      </c>
      <c r="C865" s="3" t="s">
        <v>12</v>
      </c>
      <c r="D865" s="3" t="s">
        <v>60</v>
      </c>
      <c r="E865" s="3">
        <v>11</v>
      </c>
      <c r="F865" s="3" t="s">
        <v>164</v>
      </c>
      <c r="G865" s="4" t="str">
        <f t="shared" si="52"/>
        <v>63748</v>
      </c>
      <c r="H865" t="str">
        <f t="shared" si="53"/>
        <v>Egemen BİRYAN</v>
      </c>
      <c r="I865" t="str">
        <f t="shared" si="54"/>
        <v>11C Elektrik Tesisatları Ve Pano Montörlüğü</v>
      </c>
      <c r="J865" t="str">
        <f t="shared" si="55"/>
        <v>11C</v>
      </c>
    </row>
    <row r="866" spans="1:10" x14ac:dyDescent="0.25">
      <c r="A866" s="3">
        <v>29276207746</v>
      </c>
      <c r="B866" s="3" t="s">
        <v>952</v>
      </c>
      <c r="C866" s="3" t="s">
        <v>12</v>
      </c>
      <c r="D866" s="3" t="s">
        <v>60</v>
      </c>
      <c r="E866" s="3">
        <v>11</v>
      </c>
      <c r="F866" s="3" t="s">
        <v>948</v>
      </c>
      <c r="G866" s="4" t="str">
        <f t="shared" si="52"/>
        <v>07746</v>
      </c>
      <c r="H866" t="str">
        <f t="shared" si="53"/>
        <v>Emirhan ELİTAŞ</v>
      </c>
      <c r="I866" t="str">
        <f t="shared" si="54"/>
        <v>11K8 Elektrik Tesisatları Ve Pano Montörlüğü</v>
      </c>
      <c r="J866" t="str">
        <f t="shared" si="55"/>
        <v>11K</v>
      </c>
    </row>
    <row r="867" spans="1:10" x14ac:dyDescent="0.25">
      <c r="A867" s="3">
        <v>18485567420</v>
      </c>
      <c r="B867" s="3" t="s">
        <v>953</v>
      </c>
      <c r="C867" s="3" t="s">
        <v>12</v>
      </c>
      <c r="D867" s="3" t="s">
        <v>60</v>
      </c>
      <c r="E867" s="3">
        <v>11</v>
      </c>
      <c r="F867" s="3" t="s">
        <v>164</v>
      </c>
      <c r="G867" s="4" t="str">
        <f t="shared" si="52"/>
        <v>67420</v>
      </c>
      <c r="H867" t="str">
        <f t="shared" si="53"/>
        <v>Enes KARAMAN</v>
      </c>
      <c r="I867" t="str">
        <f t="shared" si="54"/>
        <v>11C Elektrik Tesisatları Ve Pano Montörlüğü</v>
      </c>
      <c r="J867" t="str">
        <f t="shared" si="55"/>
        <v>11C</v>
      </c>
    </row>
    <row r="868" spans="1:10" x14ac:dyDescent="0.25">
      <c r="A868" s="3">
        <v>21764518464</v>
      </c>
      <c r="B868" s="3" t="s">
        <v>954</v>
      </c>
      <c r="C868" s="3" t="s">
        <v>12</v>
      </c>
      <c r="D868" s="3" t="s">
        <v>60</v>
      </c>
      <c r="E868" s="3">
        <v>11</v>
      </c>
      <c r="F868" s="3" t="s">
        <v>164</v>
      </c>
      <c r="G868" s="4" t="str">
        <f t="shared" si="52"/>
        <v>18464</v>
      </c>
      <c r="H868" t="str">
        <f t="shared" si="53"/>
        <v>Ercan EREN</v>
      </c>
      <c r="I868" t="str">
        <f t="shared" si="54"/>
        <v>11C Elektrik Tesisatları Ve Pano Montörlüğü</v>
      </c>
      <c r="J868" t="str">
        <f t="shared" si="55"/>
        <v>11C</v>
      </c>
    </row>
    <row r="869" spans="1:10" x14ac:dyDescent="0.25">
      <c r="A869" s="3">
        <v>16394637098</v>
      </c>
      <c r="B869" s="3" t="s">
        <v>955</v>
      </c>
      <c r="C869" s="3" t="s">
        <v>12</v>
      </c>
      <c r="D869" s="3" t="s">
        <v>60</v>
      </c>
      <c r="E869" s="3">
        <v>11</v>
      </c>
      <c r="F869" s="3" t="s">
        <v>948</v>
      </c>
      <c r="G869" s="4" t="str">
        <f t="shared" si="52"/>
        <v>37098</v>
      </c>
      <c r="H869" t="str">
        <f t="shared" si="53"/>
        <v>Hüseyin YAMAN</v>
      </c>
      <c r="I869" t="str">
        <f t="shared" si="54"/>
        <v>11K8 Elektrik Tesisatları Ve Pano Montörlüğü</v>
      </c>
      <c r="J869" t="str">
        <f t="shared" si="55"/>
        <v>11K</v>
      </c>
    </row>
    <row r="870" spans="1:10" x14ac:dyDescent="0.25">
      <c r="A870" s="3">
        <v>61153145062</v>
      </c>
      <c r="B870" s="3" t="s">
        <v>956</v>
      </c>
      <c r="C870" s="3" t="s">
        <v>12</v>
      </c>
      <c r="D870" s="3" t="s">
        <v>60</v>
      </c>
      <c r="E870" s="3">
        <v>11</v>
      </c>
      <c r="F870" s="3" t="s">
        <v>164</v>
      </c>
      <c r="G870" s="4" t="str">
        <f t="shared" si="52"/>
        <v>45062</v>
      </c>
      <c r="H870" t="str">
        <f t="shared" si="53"/>
        <v>Kadim AĞRAŞ</v>
      </c>
      <c r="I870" t="str">
        <f t="shared" si="54"/>
        <v>11C Elektrik Tesisatları Ve Pano Montörlüğü</v>
      </c>
      <c r="J870" t="str">
        <f t="shared" si="55"/>
        <v>11C</v>
      </c>
    </row>
    <row r="871" spans="1:10" x14ac:dyDescent="0.25">
      <c r="A871" s="3">
        <v>57745258654</v>
      </c>
      <c r="B871" s="3" t="s">
        <v>957</v>
      </c>
      <c r="C871" s="3" t="s">
        <v>12</v>
      </c>
      <c r="D871" s="3" t="s">
        <v>60</v>
      </c>
      <c r="E871" s="3">
        <v>11</v>
      </c>
      <c r="F871" s="3" t="s">
        <v>164</v>
      </c>
      <c r="G871" s="4" t="str">
        <f t="shared" si="52"/>
        <v>58654</v>
      </c>
      <c r="H871" t="str">
        <f t="shared" si="53"/>
        <v>Mehmet UZUN</v>
      </c>
      <c r="I871" t="str">
        <f t="shared" si="54"/>
        <v>11C Elektrik Tesisatları Ve Pano Montörlüğü</v>
      </c>
      <c r="J871" t="str">
        <f t="shared" si="55"/>
        <v>11C</v>
      </c>
    </row>
    <row r="872" spans="1:10" x14ac:dyDescent="0.25">
      <c r="A872" s="3">
        <v>25505333590</v>
      </c>
      <c r="B872" s="3" t="s">
        <v>958</v>
      </c>
      <c r="C872" s="3" t="s">
        <v>12</v>
      </c>
      <c r="D872" s="3" t="s">
        <v>60</v>
      </c>
      <c r="E872" s="3">
        <v>11</v>
      </c>
      <c r="F872" s="3" t="s">
        <v>948</v>
      </c>
      <c r="G872" s="4" t="str">
        <f t="shared" si="52"/>
        <v>33590</v>
      </c>
      <c r="H872" t="str">
        <f t="shared" si="53"/>
        <v>Mert ÇETİNKAYA</v>
      </c>
      <c r="I872" t="str">
        <f t="shared" si="54"/>
        <v>11K8 Elektrik Tesisatları Ve Pano Montörlüğü</v>
      </c>
      <c r="J872" t="str">
        <f t="shared" si="55"/>
        <v>11K</v>
      </c>
    </row>
    <row r="873" spans="1:10" x14ac:dyDescent="0.25">
      <c r="A873" s="3">
        <v>51328472574</v>
      </c>
      <c r="B873" s="3" t="s">
        <v>959</v>
      </c>
      <c r="C873" s="3" t="s">
        <v>12</v>
      </c>
      <c r="D873" s="3" t="s">
        <v>60</v>
      </c>
      <c r="E873" s="3">
        <v>11</v>
      </c>
      <c r="F873" s="3" t="s">
        <v>164</v>
      </c>
      <c r="G873" s="4" t="str">
        <f t="shared" si="52"/>
        <v>72574</v>
      </c>
      <c r="H873" t="str">
        <f t="shared" si="53"/>
        <v>Mert DERENBİK</v>
      </c>
      <c r="I873" t="str">
        <f t="shared" si="54"/>
        <v>11C Elektrik Tesisatları Ve Pano Montörlüğü</v>
      </c>
      <c r="J873" t="str">
        <f t="shared" si="55"/>
        <v>11C</v>
      </c>
    </row>
    <row r="874" spans="1:10" x14ac:dyDescent="0.25">
      <c r="A874" s="3">
        <v>24368622384</v>
      </c>
      <c r="B874" s="3" t="s">
        <v>960</v>
      </c>
      <c r="C874" s="3" t="s">
        <v>12</v>
      </c>
      <c r="D874" s="3" t="s">
        <v>60</v>
      </c>
      <c r="E874" s="3">
        <v>11</v>
      </c>
      <c r="F874" s="3" t="s">
        <v>948</v>
      </c>
      <c r="G874" s="4" t="str">
        <f t="shared" si="52"/>
        <v>22384</v>
      </c>
      <c r="H874" t="str">
        <f t="shared" si="53"/>
        <v>Samet İNCİ</v>
      </c>
      <c r="I874" t="str">
        <f t="shared" si="54"/>
        <v>11K8 Elektrik Tesisatları Ve Pano Montörlüğü</v>
      </c>
      <c r="J874" t="str">
        <f t="shared" si="55"/>
        <v>11K</v>
      </c>
    </row>
    <row r="875" spans="1:10" x14ac:dyDescent="0.25">
      <c r="A875" s="3">
        <v>10276542838</v>
      </c>
      <c r="B875" s="3" t="s">
        <v>961</v>
      </c>
      <c r="C875" s="3" t="s">
        <v>12</v>
      </c>
      <c r="D875" s="3" t="s">
        <v>60</v>
      </c>
      <c r="E875" s="3">
        <v>11</v>
      </c>
      <c r="F875" s="3" t="s">
        <v>948</v>
      </c>
      <c r="G875" s="4" t="str">
        <f t="shared" si="52"/>
        <v>42838</v>
      </c>
      <c r="H875" t="str">
        <f t="shared" si="53"/>
        <v>Şaban ÜNLÜ</v>
      </c>
      <c r="I875" t="str">
        <f t="shared" si="54"/>
        <v>11K8 Elektrik Tesisatları Ve Pano Montörlüğü</v>
      </c>
      <c r="J875" t="str">
        <f t="shared" si="55"/>
        <v>11K</v>
      </c>
    </row>
    <row r="876" spans="1:10" x14ac:dyDescent="0.25">
      <c r="A876" s="3">
        <v>12014411116</v>
      </c>
      <c r="B876" s="3" t="s">
        <v>962</v>
      </c>
      <c r="C876" s="3" t="s">
        <v>12</v>
      </c>
      <c r="D876" s="3" t="s">
        <v>60</v>
      </c>
      <c r="E876" s="3">
        <v>11</v>
      </c>
      <c r="F876" s="3" t="s">
        <v>164</v>
      </c>
      <c r="G876" s="4" t="str">
        <f t="shared" si="52"/>
        <v>11116</v>
      </c>
      <c r="H876" t="str">
        <f t="shared" si="53"/>
        <v>Taha DEMİR</v>
      </c>
      <c r="I876" t="str">
        <f t="shared" si="54"/>
        <v>11C Elektrik Tesisatları Ve Pano Montörlüğü</v>
      </c>
      <c r="J876" t="str">
        <f t="shared" si="55"/>
        <v>11C</v>
      </c>
    </row>
    <row r="877" spans="1:10" x14ac:dyDescent="0.25">
      <c r="A877" s="3">
        <v>60706220508</v>
      </c>
      <c r="B877" s="3" t="s">
        <v>963</v>
      </c>
      <c r="C877" s="3" t="s">
        <v>12</v>
      </c>
      <c r="D877" s="3" t="s">
        <v>60</v>
      </c>
      <c r="E877" s="3">
        <v>11</v>
      </c>
      <c r="F877" s="3" t="s">
        <v>948</v>
      </c>
      <c r="G877" s="4" t="str">
        <f t="shared" si="52"/>
        <v>20508</v>
      </c>
      <c r="H877" t="str">
        <f t="shared" si="53"/>
        <v>Yakup EREN</v>
      </c>
      <c r="I877" t="str">
        <f t="shared" si="54"/>
        <v>11K8 Elektrik Tesisatları Ve Pano Montörlüğü</v>
      </c>
      <c r="J877" t="str">
        <f t="shared" si="55"/>
        <v>11K</v>
      </c>
    </row>
    <row r="878" spans="1:10" x14ac:dyDescent="0.25">
      <c r="A878" s="3">
        <v>37393665394</v>
      </c>
      <c r="B878" s="3" t="s">
        <v>964</v>
      </c>
      <c r="C878" s="3" t="s">
        <v>12</v>
      </c>
      <c r="D878" s="3" t="s">
        <v>60</v>
      </c>
      <c r="E878" s="3">
        <v>11</v>
      </c>
      <c r="F878" s="3" t="s">
        <v>948</v>
      </c>
      <c r="G878" s="4" t="str">
        <f t="shared" si="52"/>
        <v>65394</v>
      </c>
      <c r="H878" t="str">
        <f t="shared" si="53"/>
        <v>Yiğit KIRCAOĞLU</v>
      </c>
      <c r="I878" t="str">
        <f t="shared" si="54"/>
        <v>11K8 Elektrik Tesisatları Ve Pano Montörlüğü</v>
      </c>
      <c r="J878" t="str">
        <f t="shared" si="55"/>
        <v>11K</v>
      </c>
    </row>
    <row r="879" spans="1:10" x14ac:dyDescent="0.25">
      <c r="A879" s="3">
        <v>60217176998</v>
      </c>
      <c r="B879" s="3" t="s">
        <v>965</v>
      </c>
      <c r="C879" s="3" t="s">
        <v>12</v>
      </c>
      <c r="D879" s="3" t="s">
        <v>60</v>
      </c>
      <c r="E879" s="3">
        <v>11</v>
      </c>
      <c r="F879" s="3" t="s">
        <v>164</v>
      </c>
      <c r="G879" s="4" t="str">
        <f t="shared" si="52"/>
        <v>76998</v>
      </c>
      <c r="H879" t="str">
        <f t="shared" si="53"/>
        <v>Yunus Bilal AKYÜZ</v>
      </c>
      <c r="I879" t="str">
        <f t="shared" si="54"/>
        <v>11C Elektrik Tesisatları Ve Pano Montörlüğü</v>
      </c>
      <c r="J879" t="str">
        <f t="shared" si="55"/>
        <v>11C</v>
      </c>
    </row>
    <row r="880" spans="1:10" x14ac:dyDescent="0.25">
      <c r="A880" s="3">
        <v>47266742862</v>
      </c>
      <c r="B880" s="3" t="s">
        <v>966</v>
      </c>
      <c r="C880" s="3" t="s">
        <v>12</v>
      </c>
      <c r="D880" s="3" t="s">
        <v>60</v>
      </c>
      <c r="E880" s="3">
        <v>11</v>
      </c>
      <c r="F880" s="3" t="s">
        <v>164</v>
      </c>
      <c r="G880" s="4" t="str">
        <f t="shared" si="52"/>
        <v>42862</v>
      </c>
      <c r="H880" t="str">
        <f t="shared" si="53"/>
        <v>Yunus Emre KALAYCI</v>
      </c>
      <c r="I880" t="str">
        <f t="shared" si="54"/>
        <v>11C Elektrik Tesisatları Ve Pano Montörlüğü</v>
      </c>
      <c r="J880" t="str">
        <f t="shared" si="55"/>
        <v>11C</v>
      </c>
    </row>
    <row r="881" spans="1:10" x14ac:dyDescent="0.25">
      <c r="A881" s="3">
        <v>48877705130</v>
      </c>
      <c r="B881" s="3" t="s">
        <v>967</v>
      </c>
      <c r="C881" s="3" t="s">
        <v>12</v>
      </c>
      <c r="D881" s="3" t="s">
        <v>79</v>
      </c>
      <c r="E881" s="3">
        <v>11</v>
      </c>
      <c r="F881" s="3" t="s">
        <v>637</v>
      </c>
      <c r="G881" s="4" t="str">
        <f t="shared" si="52"/>
        <v>05130</v>
      </c>
      <c r="H881" t="str">
        <f t="shared" si="53"/>
        <v>Baran AKINCI</v>
      </c>
      <c r="I881" t="str">
        <f t="shared" si="54"/>
        <v>11C2 Elektrikli Ev Aletleri Teknik Servisi</v>
      </c>
      <c r="J881" t="str">
        <f t="shared" si="55"/>
        <v>11C</v>
      </c>
    </row>
    <row r="882" spans="1:10" x14ac:dyDescent="0.25">
      <c r="A882" s="3">
        <v>32075303182</v>
      </c>
      <c r="B882" s="3" t="s">
        <v>968</v>
      </c>
      <c r="C882" s="3" t="s">
        <v>12</v>
      </c>
      <c r="D882" s="3" t="s">
        <v>79</v>
      </c>
      <c r="E882" s="3">
        <v>11</v>
      </c>
      <c r="F882" s="3" t="s">
        <v>637</v>
      </c>
      <c r="G882" s="4" t="str">
        <f t="shared" si="52"/>
        <v>03182</v>
      </c>
      <c r="H882" t="str">
        <f t="shared" si="53"/>
        <v>Metin Can TAŞKIRAN</v>
      </c>
      <c r="I882" t="str">
        <f t="shared" si="54"/>
        <v>11C2 Elektrikli Ev Aletleri Teknik Servisi</v>
      </c>
      <c r="J882" t="str">
        <f t="shared" si="55"/>
        <v>11C</v>
      </c>
    </row>
    <row r="883" spans="1:10" x14ac:dyDescent="0.25">
      <c r="A883" s="3">
        <v>72007148436</v>
      </c>
      <c r="B883" s="3" t="s">
        <v>969</v>
      </c>
      <c r="C883" s="3" t="s">
        <v>12</v>
      </c>
      <c r="D883" s="3" t="s">
        <v>79</v>
      </c>
      <c r="E883" s="3">
        <v>11</v>
      </c>
      <c r="F883" s="3" t="s">
        <v>637</v>
      </c>
      <c r="G883" s="4" t="str">
        <f t="shared" si="52"/>
        <v>48436</v>
      </c>
      <c r="H883" t="str">
        <f t="shared" si="53"/>
        <v>Uğur GÜLER</v>
      </c>
      <c r="I883" t="str">
        <f t="shared" si="54"/>
        <v>11C2 Elektrikli Ev Aletleri Teknik Servisi</v>
      </c>
      <c r="J883" t="str">
        <f t="shared" si="55"/>
        <v>11C</v>
      </c>
    </row>
    <row r="884" spans="1:10" x14ac:dyDescent="0.25">
      <c r="A884" s="3">
        <v>29644838688</v>
      </c>
      <c r="B884" s="3" t="s">
        <v>970</v>
      </c>
      <c r="C884" s="3" t="s">
        <v>12</v>
      </c>
      <c r="D884" s="3" t="s">
        <v>83</v>
      </c>
      <c r="E884" s="3">
        <v>11</v>
      </c>
      <c r="F884" s="3" t="s">
        <v>971</v>
      </c>
      <c r="G884" s="4" t="str">
        <f t="shared" si="52"/>
        <v>38688</v>
      </c>
      <c r="H884" t="str">
        <f t="shared" si="53"/>
        <v>Eyüp TEKTAŞ</v>
      </c>
      <c r="I884" t="str">
        <f t="shared" si="54"/>
        <v>11C3 Endüstriyel Bakım Onarım</v>
      </c>
      <c r="J884" t="str">
        <f t="shared" si="55"/>
        <v>11C</v>
      </c>
    </row>
    <row r="885" spans="1:10" x14ac:dyDescent="0.25">
      <c r="A885" s="3">
        <v>50125513282</v>
      </c>
      <c r="B885" s="3" t="s">
        <v>972</v>
      </c>
      <c r="C885" s="3" t="s">
        <v>12</v>
      </c>
      <c r="D885" s="3" t="s">
        <v>973</v>
      </c>
      <c r="E885" s="3">
        <v>11</v>
      </c>
      <c r="F885" s="3" t="s">
        <v>974</v>
      </c>
      <c r="G885" s="4" t="str">
        <f t="shared" si="52"/>
        <v>13282</v>
      </c>
      <c r="H885" t="str">
        <f t="shared" si="53"/>
        <v>Taha KARAER</v>
      </c>
      <c r="I885" t="str">
        <f t="shared" si="54"/>
        <v>11K12 Endüstriyel Reklamcı (Tabelacı)</v>
      </c>
      <c r="J885" t="str">
        <f t="shared" si="55"/>
        <v>11K</v>
      </c>
    </row>
    <row r="886" spans="1:10" x14ac:dyDescent="0.25">
      <c r="A886" s="3">
        <v>19103546582</v>
      </c>
      <c r="B886" s="3" t="s">
        <v>975</v>
      </c>
      <c r="C886" s="3" t="s">
        <v>12</v>
      </c>
      <c r="D886" s="3" t="s">
        <v>91</v>
      </c>
      <c r="E886" s="3">
        <v>11</v>
      </c>
      <c r="F886" s="3" t="s">
        <v>58</v>
      </c>
      <c r="G886" s="4" t="str">
        <f t="shared" si="52"/>
        <v>46582</v>
      </c>
      <c r="H886" t="str">
        <f t="shared" si="53"/>
        <v>Ahmet AYDOĞAN</v>
      </c>
      <c r="I886" t="str">
        <f t="shared" si="54"/>
        <v>11B Erkek Kuaförlüğü</v>
      </c>
      <c r="J886" t="str">
        <f t="shared" si="55"/>
        <v>11B</v>
      </c>
    </row>
    <row r="887" spans="1:10" x14ac:dyDescent="0.25">
      <c r="A887" s="3">
        <v>51892453726</v>
      </c>
      <c r="B887" s="3" t="s">
        <v>976</v>
      </c>
      <c r="C887" s="3" t="s">
        <v>12</v>
      </c>
      <c r="D887" s="3" t="s">
        <v>91</v>
      </c>
      <c r="E887" s="3">
        <v>11</v>
      </c>
      <c r="F887" s="3" t="s">
        <v>58</v>
      </c>
      <c r="G887" s="4" t="str">
        <f t="shared" si="52"/>
        <v>53726</v>
      </c>
      <c r="H887" t="str">
        <f t="shared" si="53"/>
        <v>Arda ÖZAYDIN</v>
      </c>
      <c r="I887" t="str">
        <f t="shared" si="54"/>
        <v>11B Erkek Kuaförlüğü</v>
      </c>
      <c r="J887" t="str">
        <f t="shared" si="55"/>
        <v>11B</v>
      </c>
    </row>
    <row r="888" spans="1:10" x14ac:dyDescent="0.25">
      <c r="A888" s="3">
        <v>39814856992</v>
      </c>
      <c r="B888" s="3" t="s">
        <v>977</v>
      </c>
      <c r="C888" s="3" t="s">
        <v>12</v>
      </c>
      <c r="D888" s="3" t="s">
        <v>91</v>
      </c>
      <c r="E888" s="3">
        <v>11</v>
      </c>
      <c r="F888" s="3" t="s">
        <v>58</v>
      </c>
      <c r="G888" s="4" t="str">
        <f t="shared" si="52"/>
        <v>56992</v>
      </c>
      <c r="H888" t="str">
        <f t="shared" si="53"/>
        <v>Arda YÜKSEL</v>
      </c>
      <c r="I888" t="str">
        <f t="shared" si="54"/>
        <v>11B Erkek Kuaförlüğü</v>
      </c>
      <c r="J888" t="str">
        <f t="shared" si="55"/>
        <v>11B</v>
      </c>
    </row>
    <row r="889" spans="1:10" x14ac:dyDescent="0.25">
      <c r="A889" s="3">
        <v>41206810024</v>
      </c>
      <c r="B889" s="3" t="s">
        <v>978</v>
      </c>
      <c r="C889" s="3" t="s">
        <v>12</v>
      </c>
      <c r="D889" s="3" t="s">
        <v>91</v>
      </c>
      <c r="E889" s="3">
        <v>11</v>
      </c>
      <c r="F889" s="3" t="s">
        <v>58</v>
      </c>
      <c r="G889" s="4" t="str">
        <f t="shared" si="52"/>
        <v>10024</v>
      </c>
      <c r="H889" t="str">
        <f t="shared" si="53"/>
        <v>Batuhan ÖZEN</v>
      </c>
      <c r="I889" t="str">
        <f t="shared" si="54"/>
        <v>11B Erkek Kuaförlüğü</v>
      </c>
      <c r="J889" t="str">
        <f t="shared" si="55"/>
        <v>11B</v>
      </c>
    </row>
    <row r="890" spans="1:10" x14ac:dyDescent="0.25">
      <c r="A890" s="3">
        <v>70606198074</v>
      </c>
      <c r="B890" s="3" t="s">
        <v>979</v>
      </c>
      <c r="C890" s="3" t="s">
        <v>12</v>
      </c>
      <c r="D890" s="3" t="s">
        <v>91</v>
      </c>
      <c r="E890" s="3">
        <v>11</v>
      </c>
      <c r="F890" s="3" t="s">
        <v>58</v>
      </c>
      <c r="G890" s="4" t="str">
        <f t="shared" si="52"/>
        <v>98074</v>
      </c>
      <c r="H890" t="str">
        <f t="shared" si="53"/>
        <v>Berat Kaan TATAR</v>
      </c>
      <c r="I890" t="str">
        <f t="shared" si="54"/>
        <v>11B Erkek Kuaförlüğü</v>
      </c>
      <c r="J890" t="str">
        <f t="shared" si="55"/>
        <v>11B</v>
      </c>
    </row>
    <row r="891" spans="1:10" x14ac:dyDescent="0.25">
      <c r="A891" s="3">
        <v>38332905946</v>
      </c>
      <c r="B891" s="3" t="s">
        <v>980</v>
      </c>
      <c r="C891" s="3" t="s">
        <v>12</v>
      </c>
      <c r="D891" s="3" t="s">
        <v>91</v>
      </c>
      <c r="E891" s="3">
        <v>11</v>
      </c>
      <c r="F891" s="3" t="s">
        <v>58</v>
      </c>
      <c r="G891" s="4" t="str">
        <f t="shared" si="52"/>
        <v>05946</v>
      </c>
      <c r="H891" t="str">
        <f t="shared" si="53"/>
        <v>Berat ÖZLÜ</v>
      </c>
      <c r="I891" t="str">
        <f t="shared" si="54"/>
        <v>11B Erkek Kuaförlüğü</v>
      </c>
      <c r="J891" t="str">
        <f t="shared" si="55"/>
        <v>11B</v>
      </c>
    </row>
    <row r="892" spans="1:10" x14ac:dyDescent="0.25">
      <c r="A892" s="3">
        <v>13580730984</v>
      </c>
      <c r="B892" s="3" t="s">
        <v>981</v>
      </c>
      <c r="C892" s="3" t="s">
        <v>898</v>
      </c>
      <c r="D892" s="3" t="s">
        <v>91</v>
      </c>
      <c r="E892" s="3">
        <v>11</v>
      </c>
      <c r="F892" s="3" t="s">
        <v>58</v>
      </c>
      <c r="G892" s="4" t="str">
        <f t="shared" si="52"/>
        <v>30984</v>
      </c>
      <c r="H892" t="str">
        <f t="shared" si="53"/>
        <v>Berkay ÇAMCI</v>
      </c>
      <c r="I892" t="str">
        <f t="shared" si="54"/>
        <v>11B Erkek Kuaförlüğü</v>
      </c>
      <c r="J892" t="str">
        <f t="shared" si="55"/>
        <v>11B</v>
      </c>
    </row>
    <row r="893" spans="1:10" x14ac:dyDescent="0.25">
      <c r="A893" s="3">
        <v>44032715792</v>
      </c>
      <c r="B893" s="3" t="s">
        <v>982</v>
      </c>
      <c r="C893" s="3" t="s">
        <v>12</v>
      </c>
      <c r="D893" s="3" t="s">
        <v>91</v>
      </c>
      <c r="E893" s="3">
        <v>11</v>
      </c>
      <c r="F893" s="3" t="s">
        <v>58</v>
      </c>
      <c r="G893" s="4" t="str">
        <f t="shared" si="52"/>
        <v>15792</v>
      </c>
      <c r="H893" t="str">
        <f t="shared" si="53"/>
        <v>Efe DOĞAN</v>
      </c>
      <c r="I893" t="str">
        <f t="shared" si="54"/>
        <v>11B Erkek Kuaförlüğü</v>
      </c>
      <c r="J893" t="str">
        <f t="shared" si="55"/>
        <v>11B</v>
      </c>
    </row>
    <row r="894" spans="1:10" x14ac:dyDescent="0.25">
      <c r="A894" s="3">
        <v>23900387248</v>
      </c>
      <c r="B894" s="3" t="s">
        <v>983</v>
      </c>
      <c r="C894" s="3" t="s">
        <v>12</v>
      </c>
      <c r="D894" s="3" t="s">
        <v>91</v>
      </c>
      <c r="E894" s="3">
        <v>11</v>
      </c>
      <c r="F894" s="3" t="s">
        <v>58</v>
      </c>
      <c r="G894" s="4" t="str">
        <f t="shared" si="52"/>
        <v>87248</v>
      </c>
      <c r="H894" t="str">
        <f t="shared" si="53"/>
        <v>Emre TÜRK</v>
      </c>
      <c r="I894" t="str">
        <f t="shared" si="54"/>
        <v>11B Erkek Kuaförlüğü</v>
      </c>
      <c r="J894" t="str">
        <f t="shared" si="55"/>
        <v>11B</v>
      </c>
    </row>
    <row r="895" spans="1:10" x14ac:dyDescent="0.25">
      <c r="A895" s="3">
        <v>25436589608</v>
      </c>
      <c r="B895" s="3" t="s">
        <v>984</v>
      </c>
      <c r="C895" s="3" t="s">
        <v>12</v>
      </c>
      <c r="D895" s="3" t="s">
        <v>91</v>
      </c>
      <c r="E895" s="3">
        <v>11</v>
      </c>
      <c r="F895" s="3" t="s">
        <v>58</v>
      </c>
      <c r="G895" s="4" t="str">
        <f t="shared" si="52"/>
        <v>89608</v>
      </c>
      <c r="H895" t="str">
        <f t="shared" si="53"/>
        <v>Erdem Eren BİLİCİ</v>
      </c>
      <c r="I895" t="str">
        <f t="shared" si="54"/>
        <v>11B Erkek Kuaförlüğü</v>
      </c>
      <c r="J895" t="str">
        <f t="shared" si="55"/>
        <v>11B</v>
      </c>
    </row>
    <row r="896" spans="1:10" x14ac:dyDescent="0.25">
      <c r="A896" s="3">
        <v>13433736224</v>
      </c>
      <c r="B896" s="3" t="s">
        <v>985</v>
      </c>
      <c r="C896" s="3" t="s">
        <v>898</v>
      </c>
      <c r="D896" s="3" t="s">
        <v>91</v>
      </c>
      <c r="E896" s="3">
        <v>11</v>
      </c>
      <c r="F896" s="3" t="s">
        <v>58</v>
      </c>
      <c r="G896" s="4" t="str">
        <f t="shared" si="52"/>
        <v>36224</v>
      </c>
      <c r="H896" t="str">
        <f t="shared" si="53"/>
        <v>Eren GÜRAY</v>
      </c>
      <c r="I896" t="str">
        <f t="shared" si="54"/>
        <v>11B Erkek Kuaförlüğü</v>
      </c>
      <c r="J896" t="str">
        <f t="shared" si="55"/>
        <v>11B</v>
      </c>
    </row>
    <row r="897" spans="1:10" x14ac:dyDescent="0.25">
      <c r="A897" s="3">
        <v>56650478898</v>
      </c>
      <c r="B897" s="3" t="s">
        <v>986</v>
      </c>
      <c r="C897" s="3" t="s">
        <v>12</v>
      </c>
      <c r="D897" s="3" t="s">
        <v>91</v>
      </c>
      <c r="E897" s="3">
        <v>11</v>
      </c>
      <c r="F897" s="3" t="s">
        <v>58</v>
      </c>
      <c r="G897" s="4" t="str">
        <f t="shared" si="52"/>
        <v>78898</v>
      </c>
      <c r="H897" t="str">
        <f t="shared" si="53"/>
        <v>Fırat YARIM</v>
      </c>
      <c r="I897" t="str">
        <f t="shared" si="54"/>
        <v>11B Erkek Kuaförlüğü</v>
      </c>
      <c r="J897" t="str">
        <f t="shared" si="55"/>
        <v>11B</v>
      </c>
    </row>
    <row r="898" spans="1:10" x14ac:dyDescent="0.25">
      <c r="A898" s="3">
        <v>60778237336</v>
      </c>
      <c r="B898" s="3" t="s">
        <v>987</v>
      </c>
      <c r="C898" s="3" t="s">
        <v>12</v>
      </c>
      <c r="D898" s="3" t="s">
        <v>91</v>
      </c>
      <c r="E898" s="3">
        <v>11</v>
      </c>
      <c r="F898" s="3" t="s">
        <v>58</v>
      </c>
      <c r="G898" s="4" t="str">
        <f t="shared" si="52"/>
        <v>37336</v>
      </c>
      <c r="H898" t="str">
        <f t="shared" si="53"/>
        <v>Fuat Efe EĞRİYOL</v>
      </c>
      <c r="I898" t="str">
        <f t="shared" si="54"/>
        <v>11B Erkek Kuaförlüğü</v>
      </c>
      <c r="J898" t="str">
        <f t="shared" si="55"/>
        <v>11B</v>
      </c>
    </row>
    <row r="899" spans="1:10" x14ac:dyDescent="0.25">
      <c r="A899" s="3">
        <v>59170049746</v>
      </c>
      <c r="B899" s="3" t="s">
        <v>988</v>
      </c>
      <c r="C899" s="3" t="s">
        <v>12</v>
      </c>
      <c r="D899" s="3" t="s">
        <v>91</v>
      </c>
      <c r="E899" s="3">
        <v>11</v>
      </c>
      <c r="F899" s="3" t="s">
        <v>58</v>
      </c>
      <c r="G899" s="4" t="str">
        <f t="shared" si="52"/>
        <v>49746</v>
      </c>
      <c r="H899" t="str">
        <f t="shared" si="53"/>
        <v>Hacı Mustafa TEKNE</v>
      </c>
      <c r="I899" t="str">
        <f t="shared" si="54"/>
        <v>11B Erkek Kuaförlüğü</v>
      </c>
      <c r="J899" t="str">
        <f t="shared" si="55"/>
        <v>11B</v>
      </c>
    </row>
    <row r="900" spans="1:10" x14ac:dyDescent="0.25">
      <c r="A900" s="3">
        <v>42127909330</v>
      </c>
      <c r="B900" s="3" t="s">
        <v>989</v>
      </c>
      <c r="C900" s="3" t="s">
        <v>12</v>
      </c>
      <c r="D900" s="3" t="s">
        <v>91</v>
      </c>
      <c r="E900" s="3">
        <v>11</v>
      </c>
      <c r="F900" s="3" t="s">
        <v>58</v>
      </c>
      <c r="G900" s="4" t="str">
        <f t="shared" si="52"/>
        <v>09330</v>
      </c>
      <c r="H900" t="str">
        <f t="shared" si="53"/>
        <v>Hüseyin Erdem AKSEL</v>
      </c>
      <c r="I900" t="str">
        <f t="shared" si="54"/>
        <v>11B Erkek Kuaförlüğü</v>
      </c>
      <c r="J900" t="str">
        <f t="shared" si="55"/>
        <v>11B</v>
      </c>
    </row>
    <row r="901" spans="1:10" x14ac:dyDescent="0.25">
      <c r="A901" s="3">
        <v>57271275354</v>
      </c>
      <c r="B901" s="3" t="s">
        <v>990</v>
      </c>
      <c r="C901" s="3" t="s">
        <v>12</v>
      </c>
      <c r="D901" s="3" t="s">
        <v>91</v>
      </c>
      <c r="E901" s="3">
        <v>11</v>
      </c>
      <c r="F901" s="3" t="s">
        <v>58</v>
      </c>
      <c r="G901" s="4" t="str">
        <f t="shared" ref="G901:G964" si="56">RIGHT(A901,5)</f>
        <v>75354</v>
      </c>
      <c r="H901" t="str">
        <f t="shared" ref="H901:H964" si="57">B901</f>
        <v>İbrahim DEMİR</v>
      </c>
      <c r="I901" t="str">
        <f t="shared" ref="I901:I964" si="58">CONCATENATE(E901,F901," ",D901)</f>
        <v>11B Erkek Kuaförlüğü</v>
      </c>
      <c r="J901" t="str">
        <f t="shared" ref="J901:J964" si="59">LEFT(I901,3)</f>
        <v>11B</v>
      </c>
    </row>
    <row r="902" spans="1:10" x14ac:dyDescent="0.25">
      <c r="A902" s="3">
        <v>67078007904</v>
      </c>
      <c r="B902" s="3" t="s">
        <v>990</v>
      </c>
      <c r="C902" s="3" t="s">
        <v>12</v>
      </c>
      <c r="D902" s="3" t="s">
        <v>91</v>
      </c>
      <c r="E902" s="3">
        <v>11</v>
      </c>
      <c r="F902" s="3" t="s">
        <v>58</v>
      </c>
      <c r="G902" s="4" t="str">
        <f t="shared" si="56"/>
        <v>07904</v>
      </c>
      <c r="H902" t="str">
        <f t="shared" si="57"/>
        <v>İbrahim DEMİR</v>
      </c>
      <c r="I902" t="str">
        <f t="shared" si="58"/>
        <v>11B Erkek Kuaförlüğü</v>
      </c>
      <c r="J902" t="str">
        <f t="shared" si="59"/>
        <v>11B</v>
      </c>
    </row>
    <row r="903" spans="1:10" x14ac:dyDescent="0.25">
      <c r="A903" s="3">
        <v>49294905912</v>
      </c>
      <c r="B903" s="3" t="s">
        <v>991</v>
      </c>
      <c r="C903" s="3" t="s">
        <v>12</v>
      </c>
      <c r="D903" s="3" t="s">
        <v>91</v>
      </c>
      <c r="E903" s="3">
        <v>11</v>
      </c>
      <c r="F903" s="3" t="s">
        <v>58</v>
      </c>
      <c r="G903" s="4" t="str">
        <f t="shared" si="56"/>
        <v>05912</v>
      </c>
      <c r="H903" t="str">
        <f t="shared" si="57"/>
        <v>İlker KARAASLAN</v>
      </c>
      <c r="I903" t="str">
        <f t="shared" si="58"/>
        <v>11B Erkek Kuaförlüğü</v>
      </c>
      <c r="J903" t="str">
        <f t="shared" si="59"/>
        <v>11B</v>
      </c>
    </row>
    <row r="904" spans="1:10" x14ac:dyDescent="0.25">
      <c r="A904" s="3">
        <v>67348192538</v>
      </c>
      <c r="B904" s="3" t="s">
        <v>992</v>
      </c>
      <c r="C904" s="3" t="s">
        <v>12</v>
      </c>
      <c r="D904" s="3" t="s">
        <v>91</v>
      </c>
      <c r="E904" s="3">
        <v>11</v>
      </c>
      <c r="F904" s="3" t="s">
        <v>58</v>
      </c>
      <c r="G904" s="4" t="str">
        <f t="shared" si="56"/>
        <v>92538</v>
      </c>
      <c r="H904" t="str">
        <f t="shared" si="57"/>
        <v>İsmail DEMİR</v>
      </c>
      <c r="I904" t="str">
        <f t="shared" si="58"/>
        <v>11B Erkek Kuaförlüğü</v>
      </c>
      <c r="J904" t="str">
        <f t="shared" si="59"/>
        <v>11B</v>
      </c>
    </row>
    <row r="905" spans="1:10" x14ac:dyDescent="0.25">
      <c r="A905" s="3">
        <v>19571531158</v>
      </c>
      <c r="B905" s="3" t="s">
        <v>993</v>
      </c>
      <c r="C905" s="3" t="s">
        <v>12</v>
      </c>
      <c r="D905" s="3" t="s">
        <v>91</v>
      </c>
      <c r="E905" s="3">
        <v>11</v>
      </c>
      <c r="F905" s="3" t="s">
        <v>58</v>
      </c>
      <c r="G905" s="4" t="str">
        <f t="shared" si="56"/>
        <v>31158</v>
      </c>
      <c r="H905" t="str">
        <f t="shared" si="57"/>
        <v>İsmet SİVRİ</v>
      </c>
      <c r="I905" t="str">
        <f t="shared" si="58"/>
        <v>11B Erkek Kuaförlüğü</v>
      </c>
      <c r="J905" t="str">
        <f t="shared" si="59"/>
        <v>11B</v>
      </c>
    </row>
    <row r="906" spans="1:10" x14ac:dyDescent="0.25">
      <c r="A906" s="3">
        <v>14465859776</v>
      </c>
      <c r="B906" s="3" t="s">
        <v>994</v>
      </c>
      <c r="C906" s="3" t="s">
        <v>12</v>
      </c>
      <c r="D906" s="3" t="s">
        <v>91</v>
      </c>
      <c r="E906" s="3">
        <v>11</v>
      </c>
      <c r="F906" s="3" t="s">
        <v>58</v>
      </c>
      <c r="G906" s="4" t="str">
        <f t="shared" si="56"/>
        <v>59776</v>
      </c>
      <c r="H906" t="str">
        <f t="shared" si="57"/>
        <v>Kadir TEKDOĞAN</v>
      </c>
      <c r="I906" t="str">
        <f t="shared" si="58"/>
        <v>11B Erkek Kuaförlüğü</v>
      </c>
      <c r="J906" t="str">
        <f t="shared" si="59"/>
        <v>11B</v>
      </c>
    </row>
    <row r="907" spans="1:10" x14ac:dyDescent="0.25">
      <c r="A907" s="3">
        <v>33794056816</v>
      </c>
      <c r="B907" s="3" t="s">
        <v>995</v>
      </c>
      <c r="C907" s="3" t="s">
        <v>12</v>
      </c>
      <c r="D907" s="3" t="s">
        <v>91</v>
      </c>
      <c r="E907" s="3">
        <v>11</v>
      </c>
      <c r="F907" s="3" t="s">
        <v>58</v>
      </c>
      <c r="G907" s="4" t="str">
        <f t="shared" si="56"/>
        <v>56816</v>
      </c>
      <c r="H907" t="str">
        <f t="shared" si="57"/>
        <v>Mehmet Ali ERYİĞİT</v>
      </c>
      <c r="I907" t="str">
        <f t="shared" si="58"/>
        <v>11B Erkek Kuaförlüğü</v>
      </c>
      <c r="J907" t="str">
        <f t="shared" si="59"/>
        <v>11B</v>
      </c>
    </row>
    <row r="908" spans="1:10" x14ac:dyDescent="0.25">
      <c r="A908" s="3">
        <v>35963353580</v>
      </c>
      <c r="B908" s="3" t="s">
        <v>996</v>
      </c>
      <c r="C908" s="3" t="s">
        <v>12</v>
      </c>
      <c r="D908" s="3" t="s">
        <v>91</v>
      </c>
      <c r="E908" s="3">
        <v>11</v>
      </c>
      <c r="F908" s="3" t="s">
        <v>58</v>
      </c>
      <c r="G908" s="4" t="str">
        <f t="shared" si="56"/>
        <v>53580</v>
      </c>
      <c r="H908" t="str">
        <f t="shared" si="57"/>
        <v>Mehmet Emre YEŞİLYURT</v>
      </c>
      <c r="I908" t="str">
        <f t="shared" si="58"/>
        <v>11B Erkek Kuaförlüğü</v>
      </c>
      <c r="J908" t="str">
        <f t="shared" si="59"/>
        <v>11B</v>
      </c>
    </row>
    <row r="909" spans="1:10" x14ac:dyDescent="0.25">
      <c r="A909" s="3">
        <v>62341387622</v>
      </c>
      <c r="B909" s="3" t="s">
        <v>997</v>
      </c>
      <c r="C909" s="3" t="s">
        <v>12</v>
      </c>
      <c r="D909" s="3" t="s">
        <v>91</v>
      </c>
      <c r="E909" s="3">
        <v>11</v>
      </c>
      <c r="F909" s="3" t="s">
        <v>58</v>
      </c>
      <c r="G909" s="4" t="str">
        <f t="shared" si="56"/>
        <v>87622</v>
      </c>
      <c r="H909" t="str">
        <f t="shared" si="57"/>
        <v>Melih SARAÇLI</v>
      </c>
      <c r="I909" t="str">
        <f t="shared" si="58"/>
        <v>11B Erkek Kuaförlüğü</v>
      </c>
      <c r="J909" t="str">
        <f t="shared" si="59"/>
        <v>11B</v>
      </c>
    </row>
    <row r="910" spans="1:10" x14ac:dyDescent="0.25">
      <c r="A910" s="3">
        <v>30803156512</v>
      </c>
      <c r="B910" s="3" t="s">
        <v>998</v>
      </c>
      <c r="C910" s="3" t="s">
        <v>12</v>
      </c>
      <c r="D910" s="3" t="s">
        <v>91</v>
      </c>
      <c r="E910" s="3">
        <v>11</v>
      </c>
      <c r="F910" s="3" t="s">
        <v>58</v>
      </c>
      <c r="G910" s="4" t="str">
        <f t="shared" si="56"/>
        <v>56512</v>
      </c>
      <c r="H910" t="str">
        <f t="shared" si="57"/>
        <v>Mert TÜRK</v>
      </c>
      <c r="I910" t="str">
        <f t="shared" si="58"/>
        <v>11B Erkek Kuaförlüğü</v>
      </c>
      <c r="J910" t="str">
        <f t="shared" si="59"/>
        <v>11B</v>
      </c>
    </row>
    <row r="911" spans="1:10" x14ac:dyDescent="0.25">
      <c r="A911" s="3">
        <v>57052282540</v>
      </c>
      <c r="B911" s="3" t="s">
        <v>999</v>
      </c>
      <c r="C911" s="3" t="s">
        <v>12</v>
      </c>
      <c r="D911" s="3" t="s">
        <v>91</v>
      </c>
      <c r="E911" s="3">
        <v>11</v>
      </c>
      <c r="F911" s="3" t="s">
        <v>58</v>
      </c>
      <c r="G911" s="4" t="str">
        <f t="shared" si="56"/>
        <v>82540</v>
      </c>
      <c r="H911" t="str">
        <f t="shared" si="57"/>
        <v>Miraç AKYÜZ</v>
      </c>
      <c r="I911" t="str">
        <f t="shared" si="58"/>
        <v>11B Erkek Kuaförlüğü</v>
      </c>
      <c r="J911" t="str">
        <f t="shared" si="59"/>
        <v>11B</v>
      </c>
    </row>
    <row r="912" spans="1:10" x14ac:dyDescent="0.25">
      <c r="A912" s="3">
        <v>42257142300</v>
      </c>
      <c r="B912" s="3" t="s">
        <v>1000</v>
      </c>
      <c r="C912" s="3" t="s">
        <v>12</v>
      </c>
      <c r="D912" s="3" t="s">
        <v>91</v>
      </c>
      <c r="E912" s="3">
        <v>11</v>
      </c>
      <c r="F912" s="3" t="s">
        <v>58</v>
      </c>
      <c r="G912" s="4" t="str">
        <f t="shared" si="56"/>
        <v>42300</v>
      </c>
      <c r="H912" t="str">
        <f t="shared" si="57"/>
        <v>Muhammed CANLI</v>
      </c>
      <c r="I912" t="str">
        <f t="shared" si="58"/>
        <v>11B Erkek Kuaförlüğü</v>
      </c>
      <c r="J912" t="str">
        <f t="shared" si="59"/>
        <v>11B</v>
      </c>
    </row>
    <row r="913" spans="1:10" x14ac:dyDescent="0.25">
      <c r="A913" s="3">
        <v>40651829162</v>
      </c>
      <c r="B913" s="3" t="s">
        <v>1001</v>
      </c>
      <c r="C913" s="3" t="s">
        <v>12</v>
      </c>
      <c r="D913" s="3" t="s">
        <v>91</v>
      </c>
      <c r="E913" s="3">
        <v>11</v>
      </c>
      <c r="F913" s="3" t="s">
        <v>58</v>
      </c>
      <c r="G913" s="4" t="str">
        <f t="shared" si="56"/>
        <v>29162</v>
      </c>
      <c r="H913" t="str">
        <f t="shared" si="57"/>
        <v>Mustafa YANIKCI</v>
      </c>
      <c r="I913" t="str">
        <f t="shared" si="58"/>
        <v>11B Erkek Kuaförlüğü</v>
      </c>
      <c r="J913" t="str">
        <f t="shared" si="59"/>
        <v>11B</v>
      </c>
    </row>
    <row r="914" spans="1:10" x14ac:dyDescent="0.25">
      <c r="A914" s="3">
        <v>21980236876</v>
      </c>
      <c r="B914" s="3" t="s">
        <v>1002</v>
      </c>
      <c r="C914" s="3" t="s">
        <v>12</v>
      </c>
      <c r="D914" s="3" t="s">
        <v>91</v>
      </c>
      <c r="E914" s="3">
        <v>11</v>
      </c>
      <c r="F914" s="3" t="s">
        <v>58</v>
      </c>
      <c r="G914" s="4" t="str">
        <f t="shared" si="56"/>
        <v>36876</v>
      </c>
      <c r="H914" t="str">
        <f t="shared" si="57"/>
        <v>Nurettin ÇOLAK</v>
      </c>
      <c r="I914" t="str">
        <f t="shared" si="58"/>
        <v>11B Erkek Kuaförlüğü</v>
      </c>
      <c r="J914" t="str">
        <f t="shared" si="59"/>
        <v>11B</v>
      </c>
    </row>
    <row r="915" spans="1:10" x14ac:dyDescent="0.25">
      <c r="A915" s="3">
        <v>68971030532</v>
      </c>
      <c r="B915" s="3" t="s">
        <v>1003</v>
      </c>
      <c r="C915" s="3" t="s">
        <v>12</v>
      </c>
      <c r="D915" s="3" t="s">
        <v>91</v>
      </c>
      <c r="E915" s="3">
        <v>11</v>
      </c>
      <c r="F915" s="3" t="s">
        <v>58</v>
      </c>
      <c r="G915" s="4" t="str">
        <f t="shared" si="56"/>
        <v>30532</v>
      </c>
      <c r="H915" t="str">
        <f t="shared" si="57"/>
        <v>Umut Arda ÇELİK</v>
      </c>
      <c r="I915" t="str">
        <f t="shared" si="58"/>
        <v>11B Erkek Kuaförlüğü</v>
      </c>
      <c r="J915" t="str">
        <f t="shared" si="59"/>
        <v>11B</v>
      </c>
    </row>
    <row r="916" spans="1:10" x14ac:dyDescent="0.25">
      <c r="A916" s="3">
        <v>32447102092</v>
      </c>
      <c r="B916" s="3" t="s">
        <v>1004</v>
      </c>
      <c r="C916" s="3" t="s">
        <v>12</v>
      </c>
      <c r="D916" s="3" t="s">
        <v>91</v>
      </c>
      <c r="E916" s="3">
        <v>11</v>
      </c>
      <c r="F916" s="3" t="s">
        <v>58</v>
      </c>
      <c r="G916" s="4" t="str">
        <f t="shared" si="56"/>
        <v>02092</v>
      </c>
      <c r="H916" t="str">
        <f t="shared" si="57"/>
        <v>Umut ŞAHİN</v>
      </c>
      <c r="I916" t="str">
        <f t="shared" si="58"/>
        <v>11B Erkek Kuaförlüğü</v>
      </c>
      <c r="J916" t="str">
        <f t="shared" si="59"/>
        <v>11B</v>
      </c>
    </row>
    <row r="917" spans="1:10" x14ac:dyDescent="0.25">
      <c r="A917" s="3">
        <v>29852188520</v>
      </c>
      <c r="B917" s="3" t="s">
        <v>1005</v>
      </c>
      <c r="C917" s="3" t="s">
        <v>12</v>
      </c>
      <c r="D917" s="3" t="s">
        <v>91</v>
      </c>
      <c r="E917" s="3">
        <v>11</v>
      </c>
      <c r="F917" s="3" t="s">
        <v>58</v>
      </c>
      <c r="G917" s="4" t="str">
        <f t="shared" si="56"/>
        <v>88520</v>
      </c>
      <c r="H917" t="str">
        <f t="shared" si="57"/>
        <v>Umutcan YURTSEVEN</v>
      </c>
      <c r="I917" t="str">
        <f t="shared" si="58"/>
        <v>11B Erkek Kuaförlüğü</v>
      </c>
      <c r="J917" t="str">
        <f t="shared" si="59"/>
        <v>11B</v>
      </c>
    </row>
    <row r="918" spans="1:10" x14ac:dyDescent="0.25">
      <c r="A918" s="3">
        <v>42817280350</v>
      </c>
      <c r="B918" s="3" t="s">
        <v>1006</v>
      </c>
      <c r="C918" s="3" t="s">
        <v>12</v>
      </c>
      <c r="D918" s="3" t="s">
        <v>91</v>
      </c>
      <c r="E918" s="3">
        <v>11</v>
      </c>
      <c r="F918" s="3" t="s">
        <v>58</v>
      </c>
      <c r="G918" s="4" t="str">
        <f t="shared" si="56"/>
        <v>80350</v>
      </c>
      <c r="H918" t="str">
        <f t="shared" si="57"/>
        <v>Veysel Aras SAVCI</v>
      </c>
      <c r="I918" t="str">
        <f t="shared" si="58"/>
        <v>11B Erkek Kuaförlüğü</v>
      </c>
      <c r="J918" t="str">
        <f t="shared" si="59"/>
        <v>11B</v>
      </c>
    </row>
    <row r="919" spans="1:10" x14ac:dyDescent="0.25">
      <c r="A919" s="3">
        <v>24602732466</v>
      </c>
      <c r="B919" s="3" t="s">
        <v>1007</v>
      </c>
      <c r="C919" s="3" t="s">
        <v>12</v>
      </c>
      <c r="D919" s="3" t="s">
        <v>91</v>
      </c>
      <c r="E919" s="3">
        <v>11</v>
      </c>
      <c r="F919" s="3" t="s">
        <v>58</v>
      </c>
      <c r="G919" s="4" t="str">
        <f t="shared" si="56"/>
        <v>32466</v>
      </c>
      <c r="H919" t="str">
        <f t="shared" si="57"/>
        <v>Volkan Ahmet KILIÇ</v>
      </c>
      <c r="I919" t="str">
        <f t="shared" si="58"/>
        <v>11B Erkek Kuaförlüğü</v>
      </c>
      <c r="J919" t="str">
        <f t="shared" si="59"/>
        <v>11B</v>
      </c>
    </row>
    <row r="920" spans="1:10" x14ac:dyDescent="0.25">
      <c r="A920" s="3">
        <v>27377271130</v>
      </c>
      <c r="B920" s="3" t="s">
        <v>1008</v>
      </c>
      <c r="C920" s="3" t="s">
        <v>12</v>
      </c>
      <c r="D920" s="3" t="s">
        <v>91</v>
      </c>
      <c r="E920" s="3">
        <v>11</v>
      </c>
      <c r="F920" s="3" t="s">
        <v>58</v>
      </c>
      <c r="G920" s="4" t="str">
        <f t="shared" si="56"/>
        <v>71130</v>
      </c>
      <c r="H920" t="str">
        <f t="shared" si="57"/>
        <v>Yasin BOZKURT</v>
      </c>
      <c r="I920" t="str">
        <f t="shared" si="58"/>
        <v>11B Erkek Kuaförlüğü</v>
      </c>
      <c r="J920" t="str">
        <f t="shared" si="59"/>
        <v>11B</v>
      </c>
    </row>
    <row r="921" spans="1:10" x14ac:dyDescent="0.25">
      <c r="A921" s="3">
        <v>34330825750</v>
      </c>
      <c r="B921" s="3" t="s">
        <v>1009</v>
      </c>
      <c r="C921" s="3" t="s">
        <v>12</v>
      </c>
      <c r="D921" s="3" t="s">
        <v>91</v>
      </c>
      <c r="E921" s="3">
        <v>11</v>
      </c>
      <c r="F921" s="3" t="s">
        <v>58</v>
      </c>
      <c r="G921" s="4" t="str">
        <f t="shared" si="56"/>
        <v>25750</v>
      </c>
      <c r="H921" t="str">
        <f t="shared" si="57"/>
        <v>Yasin GÜNDÜZ</v>
      </c>
      <c r="I921" t="str">
        <f t="shared" si="58"/>
        <v>11B Erkek Kuaförlüğü</v>
      </c>
      <c r="J921" t="str">
        <f t="shared" si="59"/>
        <v>11B</v>
      </c>
    </row>
    <row r="922" spans="1:10" x14ac:dyDescent="0.25">
      <c r="A922" s="3">
        <v>99512905538</v>
      </c>
      <c r="B922" s="3" t="s">
        <v>1010</v>
      </c>
      <c r="C922" s="3" t="s">
        <v>12</v>
      </c>
      <c r="D922" s="3" t="s">
        <v>91</v>
      </c>
      <c r="E922" s="3">
        <v>11</v>
      </c>
      <c r="F922" s="3" t="s">
        <v>58</v>
      </c>
      <c r="G922" s="4" t="str">
        <f t="shared" si="56"/>
        <v>05538</v>
      </c>
      <c r="H922" t="str">
        <f t="shared" si="57"/>
        <v>Ysmayyl MYRATNAZAROV</v>
      </c>
      <c r="I922" t="str">
        <f t="shared" si="58"/>
        <v>11B Erkek Kuaförlüğü</v>
      </c>
      <c r="J922" t="str">
        <f t="shared" si="59"/>
        <v>11B</v>
      </c>
    </row>
    <row r="923" spans="1:10" x14ac:dyDescent="0.25">
      <c r="A923" s="3">
        <v>45451668942</v>
      </c>
      <c r="B923" s="3" t="s">
        <v>1011</v>
      </c>
      <c r="C923" s="3" t="s">
        <v>12</v>
      </c>
      <c r="D923" s="3" t="s">
        <v>91</v>
      </c>
      <c r="E923" s="3">
        <v>11</v>
      </c>
      <c r="F923" s="3" t="s">
        <v>58</v>
      </c>
      <c r="G923" s="4" t="str">
        <f t="shared" si="56"/>
        <v>68942</v>
      </c>
      <c r="H923" t="str">
        <f t="shared" si="57"/>
        <v>Yunus Emre KAHRAMAN</v>
      </c>
      <c r="I923" t="str">
        <f t="shared" si="58"/>
        <v>11B Erkek Kuaförlüğü</v>
      </c>
      <c r="J923" t="str">
        <f t="shared" si="59"/>
        <v>11B</v>
      </c>
    </row>
    <row r="924" spans="1:10" x14ac:dyDescent="0.25">
      <c r="A924" s="3">
        <v>42184777606</v>
      </c>
      <c r="B924" s="3" t="s">
        <v>1012</v>
      </c>
      <c r="C924" s="3" t="s">
        <v>12</v>
      </c>
      <c r="D924" s="3" t="s">
        <v>1013</v>
      </c>
      <c r="E924" s="3">
        <v>11</v>
      </c>
      <c r="F924" s="3" t="s">
        <v>1014</v>
      </c>
      <c r="G924" s="4" t="str">
        <f t="shared" si="56"/>
        <v>77606</v>
      </c>
      <c r="H924" t="str">
        <f t="shared" si="57"/>
        <v>Enes BARAN</v>
      </c>
      <c r="I924" t="str">
        <f t="shared" si="58"/>
        <v>11H2 Fırıncılık</v>
      </c>
      <c r="J924" t="str">
        <f t="shared" si="59"/>
        <v>11H</v>
      </c>
    </row>
    <row r="925" spans="1:10" x14ac:dyDescent="0.25">
      <c r="A925" s="3">
        <v>21355485182</v>
      </c>
      <c r="B925" s="3" t="s">
        <v>1015</v>
      </c>
      <c r="C925" s="3" t="s">
        <v>12</v>
      </c>
      <c r="D925" s="3" t="s">
        <v>138</v>
      </c>
      <c r="E925" s="3">
        <v>11</v>
      </c>
      <c r="F925" s="3" t="s">
        <v>142</v>
      </c>
      <c r="G925" s="4" t="str">
        <f t="shared" si="56"/>
        <v>85182</v>
      </c>
      <c r="H925" t="str">
        <f t="shared" si="57"/>
        <v>Enes Buğra CEYLAN</v>
      </c>
      <c r="I925" t="str">
        <f t="shared" si="58"/>
        <v>11D2 Fotoğraf</v>
      </c>
      <c r="J925" t="str">
        <f t="shared" si="59"/>
        <v>11D</v>
      </c>
    </row>
    <row r="926" spans="1:10" x14ac:dyDescent="0.25">
      <c r="A926" s="3">
        <v>14438702122</v>
      </c>
      <c r="B926" s="3" t="s">
        <v>1016</v>
      </c>
      <c r="C926" s="3" t="s">
        <v>12</v>
      </c>
      <c r="D926" s="3" t="s">
        <v>138</v>
      </c>
      <c r="E926" s="3">
        <v>11</v>
      </c>
      <c r="F926" s="3" t="s">
        <v>142</v>
      </c>
      <c r="G926" s="4" t="str">
        <f t="shared" si="56"/>
        <v>02122</v>
      </c>
      <c r="H926" t="str">
        <f t="shared" si="57"/>
        <v>Ferhat YILDIRIM</v>
      </c>
      <c r="I926" t="str">
        <f t="shared" si="58"/>
        <v>11D2 Fotoğraf</v>
      </c>
      <c r="J926" t="str">
        <f t="shared" si="59"/>
        <v>11D</v>
      </c>
    </row>
    <row r="927" spans="1:10" x14ac:dyDescent="0.25">
      <c r="A927" s="3">
        <v>26023063372</v>
      </c>
      <c r="B927" s="3" t="s">
        <v>1017</v>
      </c>
      <c r="C927" s="3" t="s">
        <v>12</v>
      </c>
      <c r="D927" s="3" t="s">
        <v>138</v>
      </c>
      <c r="E927" s="3">
        <v>11</v>
      </c>
      <c r="F927" s="3" t="s">
        <v>142</v>
      </c>
      <c r="G927" s="4" t="str">
        <f t="shared" si="56"/>
        <v>63372</v>
      </c>
      <c r="H927" t="str">
        <f t="shared" si="57"/>
        <v>Göknur ATLI</v>
      </c>
      <c r="I927" t="str">
        <f t="shared" si="58"/>
        <v>11D2 Fotoğraf</v>
      </c>
      <c r="J927" t="str">
        <f t="shared" si="59"/>
        <v>11D</v>
      </c>
    </row>
    <row r="928" spans="1:10" x14ac:dyDescent="0.25">
      <c r="A928" s="3">
        <v>13658728134</v>
      </c>
      <c r="B928" s="3" t="s">
        <v>1018</v>
      </c>
      <c r="C928" s="3" t="s">
        <v>12</v>
      </c>
      <c r="D928" s="3" t="s">
        <v>1019</v>
      </c>
      <c r="E928" s="3">
        <v>11</v>
      </c>
      <c r="F928" s="3" t="s">
        <v>1020</v>
      </c>
      <c r="G928" s="4" t="str">
        <f t="shared" si="56"/>
        <v>28134</v>
      </c>
      <c r="H928" t="str">
        <f t="shared" si="57"/>
        <v>Hasan KARTAL</v>
      </c>
      <c r="I928" t="str">
        <f t="shared" si="58"/>
        <v>11İ4 Gaz Yakıcı Cihazlar Ve Servis</v>
      </c>
      <c r="J928" t="str">
        <f t="shared" si="59"/>
        <v>11İ</v>
      </c>
    </row>
    <row r="929" spans="1:10" x14ac:dyDescent="0.25">
      <c r="A929" s="3">
        <v>16574974272</v>
      </c>
      <c r="B929" s="3" t="s">
        <v>1021</v>
      </c>
      <c r="C929" s="3" t="s">
        <v>12</v>
      </c>
      <c r="D929" s="3" t="s">
        <v>1019</v>
      </c>
      <c r="E929" s="3">
        <v>11</v>
      </c>
      <c r="F929" s="3" t="s">
        <v>1020</v>
      </c>
      <c r="G929" s="4" t="str">
        <f t="shared" si="56"/>
        <v>74272</v>
      </c>
      <c r="H929" t="str">
        <f t="shared" si="57"/>
        <v>Mehmet Uğur DÖNER</v>
      </c>
      <c r="I929" t="str">
        <f t="shared" si="58"/>
        <v>11İ4 Gaz Yakıcı Cihazlar Ve Servis</v>
      </c>
      <c r="J929" t="str">
        <f t="shared" si="59"/>
        <v>11İ</v>
      </c>
    </row>
    <row r="930" spans="1:10" x14ac:dyDescent="0.25">
      <c r="A930" s="3">
        <v>12668761490</v>
      </c>
      <c r="B930" s="3" t="s">
        <v>1022</v>
      </c>
      <c r="C930" s="3" t="s">
        <v>12</v>
      </c>
      <c r="D930" s="3" t="s">
        <v>1019</v>
      </c>
      <c r="E930" s="3">
        <v>11</v>
      </c>
      <c r="F930" s="3" t="s">
        <v>1020</v>
      </c>
      <c r="G930" s="4" t="str">
        <f t="shared" si="56"/>
        <v>61490</v>
      </c>
      <c r="H930" t="str">
        <f t="shared" si="57"/>
        <v>Murat KARTAL</v>
      </c>
      <c r="I930" t="str">
        <f t="shared" si="58"/>
        <v>11İ4 Gaz Yakıcı Cihazlar Ve Servis</v>
      </c>
      <c r="J930" t="str">
        <f t="shared" si="59"/>
        <v>11İ</v>
      </c>
    </row>
    <row r="931" spans="1:10" x14ac:dyDescent="0.25">
      <c r="A931" s="3">
        <v>53824175140</v>
      </c>
      <c r="B931" s="3" t="s">
        <v>1023</v>
      </c>
      <c r="C931" s="3" t="s">
        <v>12</v>
      </c>
      <c r="D931" s="3" t="s">
        <v>1019</v>
      </c>
      <c r="E931" s="3">
        <v>11</v>
      </c>
      <c r="F931" s="3" t="s">
        <v>1020</v>
      </c>
      <c r="G931" s="4" t="str">
        <f t="shared" si="56"/>
        <v>75140</v>
      </c>
      <c r="H931" t="str">
        <f t="shared" si="57"/>
        <v>Tarık ÇELİK</v>
      </c>
      <c r="I931" t="str">
        <f t="shared" si="58"/>
        <v>11İ4 Gaz Yakıcı Cihazlar Ve Servis</v>
      </c>
      <c r="J931" t="str">
        <f t="shared" si="59"/>
        <v>11İ</v>
      </c>
    </row>
    <row r="932" spans="1:10" x14ac:dyDescent="0.25">
      <c r="A932" s="3">
        <v>12869812502</v>
      </c>
      <c r="B932" s="3" t="s">
        <v>1024</v>
      </c>
      <c r="C932" s="3" t="s">
        <v>898</v>
      </c>
      <c r="D932" s="3" t="s">
        <v>550</v>
      </c>
      <c r="E932" s="3">
        <v>11</v>
      </c>
      <c r="F932" s="3" t="s">
        <v>1025</v>
      </c>
      <c r="G932" s="4" t="str">
        <f t="shared" si="56"/>
        <v>12502</v>
      </c>
      <c r="H932" t="str">
        <f t="shared" si="57"/>
        <v>Erdoğan YEŞİLDAĞ</v>
      </c>
      <c r="I932" t="str">
        <f t="shared" si="58"/>
        <v>11K10 Görüntü Ve Ses Sistemleri</v>
      </c>
      <c r="J932" t="str">
        <f t="shared" si="59"/>
        <v>11K</v>
      </c>
    </row>
    <row r="933" spans="1:10" x14ac:dyDescent="0.25">
      <c r="A933" s="3">
        <v>50077514672</v>
      </c>
      <c r="B933" s="3" t="s">
        <v>1026</v>
      </c>
      <c r="C933" s="3" t="s">
        <v>12</v>
      </c>
      <c r="D933" s="3" t="s">
        <v>550</v>
      </c>
      <c r="E933" s="3">
        <v>11</v>
      </c>
      <c r="F933" s="3" t="s">
        <v>1025</v>
      </c>
      <c r="G933" s="4" t="str">
        <f t="shared" si="56"/>
        <v>14672</v>
      </c>
      <c r="H933" t="str">
        <f t="shared" si="57"/>
        <v>Mustafa Burak TARHAN</v>
      </c>
      <c r="I933" t="str">
        <f t="shared" si="58"/>
        <v>11K10 Görüntü Ve Ses Sistemleri</v>
      </c>
      <c r="J933" t="str">
        <f t="shared" si="59"/>
        <v>11K</v>
      </c>
    </row>
    <row r="934" spans="1:10" x14ac:dyDescent="0.25">
      <c r="A934" s="3">
        <v>35905987422</v>
      </c>
      <c r="B934" s="3" t="s">
        <v>1027</v>
      </c>
      <c r="C934" s="3" t="s">
        <v>12</v>
      </c>
      <c r="D934" s="3" t="s">
        <v>550</v>
      </c>
      <c r="E934" s="3">
        <v>11</v>
      </c>
      <c r="F934" s="3" t="s">
        <v>1025</v>
      </c>
      <c r="G934" s="4" t="str">
        <f t="shared" si="56"/>
        <v>87422</v>
      </c>
      <c r="H934" t="str">
        <f t="shared" si="57"/>
        <v>Yakup DÖMBEK</v>
      </c>
      <c r="I934" t="str">
        <f t="shared" si="58"/>
        <v>11K10 Görüntü Ve Ses Sistemleri</v>
      </c>
      <c r="J934" t="str">
        <f t="shared" si="59"/>
        <v>11K</v>
      </c>
    </row>
    <row r="935" spans="1:10" x14ac:dyDescent="0.25">
      <c r="A935" s="3">
        <v>38890887326</v>
      </c>
      <c r="B935" s="3" t="s">
        <v>1028</v>
      </c>
      <c r="C935" s="3" t="s">
        <v>12</v>
      </c>
      <c r="D935" s="3" t="s">
        <v>550</v>
      </c>
      <c r="E935" s="3">
        <v>11</v>
      </c>
      <c r="F935" s="3" t="s">
        <v>1025</v>
      </c>
      <c r="G935" s="4" t="str">
        <f t="shared" si="56"/>
        <v>87326</v>
      </c>
      <c r="H935" t="str">
        <f t="shared" si="57"/>
        <v>Yakup Efe DOĞMUŞ</v>
      </c>
      <c r="I935" t="str">
        <f t="shared" si="58"/>
        <v>11K10 Görüntü Ve Ses Sistemleri</v>
      </c>
      <c r="J935" t="str">
        <f t="shared" si="59"/>
        <v>11K</v>
      </c>
    </row>
    <row r="936" spans="1:10" x14ac:dyDescent="0.25">
      <c r="A936" s="3">
        <v>53668119706</v>
      </c>
      <c r="B936" s="3" t="s">
        <v>1029</v>
      </c>
      <c r="C936" s="3" t="s">
        <v>12</v>
      </c>
      <c r="D936" s="3" t="s">
        <v>556</v>
      </c>
      <c r="E936" s="3">
        <v>11</v>
      </c>
      <c r="F936" s="3" t="s">
        <v>1030</v>
      </c>
      <c r="G936" s="4" t="str">
        <f t="shared" si="56"/>
        <v>19706</v>
      </c>
      <c r="H936" t="str">
        <f t="shared" si="57"/>
        <v>Berat CİVELEK</v>
      </c>
      <c r="I936" t="str">
        <f t="shared" si="58"/>
        <v>11C4 Haberleşme Sistemleri</v>
      </c>
      <c r="J936" t="str">
        <f t="shared" si="59"/>
        <v>11C</v>
      </c>
    </row>
    <row r="937" spans="1:10" x14ac:dyDescent="0.25">
      <c r="A937" s="3">
        <v>18788501862</v>
      </c>
      <c r="B937" s="3" t="s">
        <v>1031</v>
      </c>
      <c r="C937" s="3" t="s">
        <v>12</v>
      </c>
      <c r="D937" s="3" t="s">
        <v>556</v>
      </c>
      <c r="E937" s="3">
        <v>11</v>
      </c>
      <c r="F937" s="3" t="s">
        <v>1030</v>
      </c>
      <c r="G937" s="4" t="str">
        <f t="shared" si="56"/>
        <v>01862</v>
      </c>
      <c r="H937" t="str">
        <f t="shared" si="57"/>
        <v>Yiğit Can KAÇMAZ</v>
      </c>
      <c r="I937" t="str">
        <f t="shared" si="58"/>
        <v>11C4 Haberleşme Sistemleri</v>
      </c>
      <c r="J937" t="str">
        <f t="shared" si="59"/>
        <v>11C</v>
      </c>
    </row>
    <row r="938" spans="1:10" x14ac:dyDescent="0.25">
      <c r="A938" s="3">
        <v>56242031272</v>
      </c>
      <c r="B938" s="3" t="s">
        <v>1032</v>
      </c>
      <c r="C938" s="3" t="s">
        <v>12</v>
      </c>
      <c r="D938" s="3" t="s">
        <v>556</v>
      </c>
      <c r="E938" s="3">
        <v>11</v>
      </c>
      <c r="F938" s="3" t="s">
        <v>1030</v>
      </c>
      <c r="G938" s="4" t="str">
        <f t="shared" si="56"/>
        <v>31272</v>
      </c>
      <c r="H938" t="str">
        <f t="shared" si="57"/>
        <v>Yusuf BAYRAM</v>
      </c>
      <c r="I938" t="str">
        <f t="shared" si="58"/>
        <v>11C4 Haberleşme Sistemleri</v>
      </c>
      <c r="J938" t="str">
        <f t="shared" si="59"/>
        <v>11C</v>
      </c>
    </row>
    <row r="939" spans="1:10" x14ac:dyDescent="0.25">
      <c r="A939" s="3">
        <v>14240769306</v>
      </c>
      <c r="B939" s="3" t="s">
        <v>1033</v>
      </c>
      <c r="C939" s="3" t="s">
        <v>12</v>
      </c>
      <c r="D939" s="3" t="s">
        <v>151</v>
      </c>
      <c r="E939" s="3">
        <v>11</v>
      </c>
      <c r="F939" s="3" t="s">
        <v>1034</v>
      </c>
      <c r="G939" s="4" t="str">
        <f t="shared" si="56"/>
        <v>69306</v>
      </c>
      <c r="H939" t="str">
        <f t="shared" si="57"/>
        <v>Delil EREN</v>
      </c>
      <c r="I939" t="str">
        <f t="shared" si="58"/>
        <v>11İ3 Isıtma Ve Sıhhi Tesisat Sistemleri</v>
      </c>
      <c r="J939" t="str">
        <f t="shared" si="59"/>
        <v>11İ</v>
      </c>
    </row>
    <row r="940" spans="1:10" x14ac:dyDescent="0.25">
      <c r="A940" s="3">
        <v>65866048092</v>
      </c>
      <c r="B940" s="3" t="s">
        <v>1035</v>
      </c>
      <c r="C940" s="3" t="s">
        <v>12</v>
      </c>
      <c r="D940" s="3" t="s">
        <v>151</v>
      </c>
      <c r="E940" s="3">
        <v>11</v>
      </c>
      <c r="F940" s="3" t="s">
        <v>1034</v>
      </c>
      <c r="G940" s="4" t="str">
        <f t="shared" si="56"/>
        <v>48092</v>
      </c>
      <c r="H940" t="str">
        <f t="shared" si="57"/>
        <v>Muhammet EREN</v>
      </c>
      <c r="I940" t="str">
        <f t="shared" si="58"/>
        <v>11İ3 Isıtma Ve Sıhhi Tesisat Sistemleri</v>
      </c>
      <c r="J940" t="str">
        <f t="shared" si="59"/>
        <v>11İ</v>
      </c>
    </row>
    <row r="941" spans="1:10" x14ac:dyDescent="0.25">
      <c r="A941" s="3">
        <v>38821889580</v>
      </c>
      <c r="B941" s="3" t="s">
        <v>1036</v>
      </c>
      <c r="C941" s="3" t="s">
        <v>12</v>
      </c>
      <c r="D941" s="3" t="s">
        <v>151</v>
      </c>
      <c r="E941" s="3">
        <v>11</v>
      </c>
      <c r="F941" s="3" t="s">
        <v>1034</v>
      </c>
      <c r="G941" s="4" t="str">
        <f t="shared" si="56"/>
        <v>89580</v>
      </c>
      <c r="H941" t="str">
        <f t="shared" si="57"/>
        <v>Sidar EREN</v>
      </c>
      <c r="I941" t="str">
        <f t="shared" si="58"/>
        <v>11İ3 Isıtma Ve Sıhhi Tesisat Sistemleri</v>
      </c>
      <c r="J941" t="str">
        <f t="shared" si="59"/>
        <v>11İ</v>
      </c>
    </row>
    <row r="942" spans="1:10" x14ac:dyDescent="0.25">
      <c r="A942" s="3">
        <v>42775817506</v>
      </c>
      <c r="B942" s="3" t="s">
        <v>1037</v>
      </c>
      <c r="C942" s="3" t="s">
        <v>12</v>
      </c>
      <c r="D942" s="3" t="s">
        <v>151</v>
      </c>
      <c r="E942" s="3">
        <v>11</v>
      </c>
      <c r="F942" s="3" t="s">
        <v>1034</v>
      </c>
      <c r="G942" s="4" t="str">
        <f t="shared" si="56"/>
        <v>17506</v>
      </c>
      <c r="H942" t="str">
        <f t="shared" si="57"/>
        <v>Vedat AKTEKİN</v>
      </c>
      <c r="I942" t="str">
        <f t="shared" si="58"/>
        <v>11İ3 Isıtma Ve Sıhhi Tesisat Sistemleri</v>
      </c>
      <c r="J942" t="str">
        <f t="shared" si="59"/>
        <v>11İ</v>
      </c>
    </row>
    <row r="943" spans="1:10" x14ac:dyDescent="0.25">
      <c r="A943" s="3">
        <v>19880580908</v>
      </c>
      <c r="B943" s="3" t="s">
        <v>1038</v>
      </c>
      <c r="C943" s="3" t="s">
        <v>12</v>
      </c>
      <c r="D943" s="3" t="s">
        <v>151</v>
      </c>
      <c r="E943" s="3">
        <v>11</v>
      </c>
      <c r="F943" s="3" t="s">
        <v>1034</v>
      </c>
      <c r="G943" s="4" t="str">
        <f t="shared" si="56"/>
        <v>80908</v>
      </c>
      <c r="H943" t="str">
        <f t="shared" si="57"/>
        <v>Yusuf AKTEKİN</v>
      </c>
      <c r="I943" t="str">
        <f t="shared" si="58"/>
        <v>11İ3 Isıtma Ve Sıhhi Tesisat Sistemleri</v>
      </c>
      <c r="J943" t="str">
        <f t="shared" si="59"/>
        <v>11İ</v>
      </c>
    </row>
    <row r="944" spans="1:10" x14ac:dyDescent="0.25">
      <c r="A944" s="3">
        <v>43222743164</v>
      </c>
      <c r="B944" s="3" t="s">
        <v>1039</v>
      </c>
      <c r="C944" s="3" t="s">
        <v>12</v>
      </c>
      <c r="D944" s="3" t="s">
        <v>156</v>
      </c>
      <c r="E944" s="3">
        <v>11</v>
      </c>
      <c r="F944" s="3" t="s">
        <v>1040</v>
      </c>
      <c r="G944" s="4" t="str">
        <f t="shared" si="56"/>
        <v>43164</v>
      </c>
      <c r="H944" t="str">
        <f t="shared" si="57"/>
        <v>Emre ZENBİLLİ</v>
      </c>
      <c r="I944" t="str">
        <f t="shared" si="58"/>
        <v>11K6 İç Mekân Ve Mobilya Teknolojisi</v>
      </c>
      <c r="J944" t="str">
        <f t="shared" si="59"/>
        <v>11K</v>
      </c>
    </row>
    <row r="945" spans="1:10" x14ac:dyDescent="0.25">
      <c r="A945" s="3">
        <v>52900420822</v>
      </c>
      <c r="B945" s="3" t="s">
        <v>1041</v>
      </c>
      <c r="C945" s="3" t="s">
        <v>12</v>
      </c>
      <c r="D945" s="3" t="s">
        <v>156</v>
      </c>
      <c r="E945" s="3">
        <v>11</v>
      </c>
      <c r="F945" s="3" t="s">
        <v>1040</v>
      </c>
      <c r="G945" s="4" t="str">
        <f t="shared" si="56"/>
        <v>20822</v>
      </c>
      <c r="H945" t="str">
        <f t="shared" si="57"/>
        <v>Eymen ÖNAL</v>
      </c>
      <c r="I945" t="str">
        <f t="shared" si="58"/>
        <v>11K6 İç Mekân Ve Mobilya Teknolojisi</v>
      </c>
      <c r="J945" t="str">
        <f t="shared" si="59"/>
        <v>11K</v>
      </c>
    </row>
    <row r="946" spans="1:10" x14ac:dyDescent="0.25">
      <c r="A946" s="3">
        <v>27440268654</v>
      </c>
      <c r="B946" s="3" t="s">
        <v>1042</v>
      </c>
      <c r="C946" s="3" t="s">
        <v>12</v>
      </c>
      <c r="D946" s="3" t="s">
        <v>156</v>
      </c>
      <c r="E946" s="3">
        <v>11</v>
      </c>
      <c r="F946" s="3" t="s">
        <v>1040</v>
      </c>
      <c r="G946" s="4" t="str">
        <f t="shared" si="56"/>
        <v>68654</v>
      </c>
      <c r="H946" t="str">
        <f t="shared" si="57"/>
        <v>Muhammet Emin KAYA</v>
      </c>
      <c r="I946" t="str">
        <f t="shared" si="58"/>
        <v>11K6 İç Mekân Ve Mobilya Teknolojisi</v>
      </c>
      <c r="J946" t="str">
        <f t="shared" si="59"/>
        <v>11K</v>
      </c>
    </row>
    <row r="947" spans="1:10" x14ac:dyDescent="0.25">
      <c r="A947" s="3">
        <v>59419568502</v>
      </c>
      <c r="B947" s="3" t="s">
        <v>1043</v>
      </c>
      <c r="C947" s="3" t="s">
        <v>12</v>
      </c>
      <c r="D947" s="3" t="s">
        <v>159</v>
      </c>
      <c r="E947" s="3">
        <v>11</v>
      </c>
      <c r="F947" s="3" t="s">
        <v>1044</v>
      </c>
      <c r="G947" s="4" t="str">
        <f t="shared" si="56"/>
        <v>68502</v>
      </c>
      <c r="H947" t="str">
        <f t="shared" si="57"/>
        <v>Burak YAVUZ</v>
      </c>
      <c r="I947" t="str">
        <f t="shared" si="58"/>
        <v>11İ5 İklimlendirme Sistemleri</v>
      </c>
      <c r="J947" t="str">
        <f t="shared" si="59"/>
        <v>11İ</v>
      </c>
    </row>
    <row r="948" spans="1:10" x14ac:dyDescent="0.25">
      <c r="A948" s="3">
        <v>50716493702</v>
      </c>
      <c r="B948" s="3" t="s">
        <v>1045</v>
      </c>
      <c r="C948" s="3" t="s">
        <v>12</v>
      </c>
      <c r="D948" s="3" t="s">
        <v>159</v>
      </c>
      <c r="E948" s="3">
        <v>11</v>
      </c>
      <c r="F948" s="3" t="s">
        <v>1044</v>
      </c>
      <c r="G948" s="4" t="str">
        <f t="shared" si="56"/>
        <v>93702</v>
      </c>
      <c r="H948" t="str">
        <f t="shared" si="57"/>
        <v>Demir YILDIRAN</v>
      </c>
      <c r="I948" t="str">
        <f t="shared" si="58"/>
        <v>11İ5 İklimlendirme Sistemleri</v>
      </c>
      <c r="J948" t="str">
        <f t="shared" si="59"/>
        <v>11İ</v>
      </c>
    </row>
    <row r="949" spans="1:10" x14ac:dyDescent="0.25">
      <c r="A949" s="3">
        <v>14639753558</v>
      </c>
      <c r="B949" s="3" t="s">
        <v>1046</v>
      </c>
      <c r="C949" s="3" t="s">
        <v>12</v>
      </c>
      <c r="D949" s="3" t="s">
        <v>162</v>
      </c>
      <c r="E949" s="3">
        <v>11</v>
      </c>
      <c r="F949" s="3" t="s">
        <v>1047</v>
      </c>
      <c r="G949" s="4" t="str">
        <f t="shared" si="56"/>
        <v>53558</v>
      </c>
      <c r="H949" t="str">
        <f t="shared" si="57"/>
        <v>Emircan SAATCI</v>
      </c>
      <c r="I949" t="str">
        <f t="shared" si="58"/>
        <v>11F1 İş Makineleri</v>
      </c>
      <c r="J949" t="str">
        <f t="shared" si="59"/>
        <v>11F</v>
      </c>
    </row>
    <row r="950" spans="1:10" x14ac:dyDescent="0.25">
      <c r="A950" s="3">
        <v>58906220800</v>
      </c>
      <c r="B950" s="3" t="s">
        <v>1048</v>
      </c>
      <c r="C950" s="3" t="s">
        <v>12</v>
      </c>
      <c r="D950" s="3" t="s">
        <v>162</v>
      </c>
      <c r="E950" s="3">
        <v>11</v>
      </c>
      <c r="F950" s="3" t="s">
        <v>1047</v>
      </c>
      <c r="G950" s="4" t="str">
        <f t="shared" si="56"/>
        <v>20800</v>
      </c>
      <c r="H950" t="str">
        <f t="shared" si="57"/>
        <v>Hikmet Eren SERTOĞLU</v>
      </c>
      <c r="I950" t="str">
        <f t="shared" si="58"/>
        <v>11F1 İş Makineleri</v>
      </c>
      <c r="J950" t="str">
        <f t="shared" si="59"/>
        <v>11F</v>
      </c>
    </row>
    <row r="951" spans="1:10" x14ac:dyDescent="0.25">
      <c r="A951" s="3">
        <v>37844046062</v>
      </c>
      <c r="B951" s="3" t="s">
        <v>1049</v>
      </c>
      <c r="C951" s="3" t="s">
        <v>12</v>
      </c>
      <c r="D951" s="3" t="s">
        <v>162</v>
      </c>
      <c r="E951" s="3">
        <v>11</v>
      </c>
      <c r="F951" s="3" t="s">
        <v>1047</v>
      </c>
      <c r="G951" s="4" t="str">
        <f t="shared" si="56"/>
        <v>46062</v>
      </c>
      <c r="H951" t="str">
        <f t="shared" si="57"/>
        <v>İbrahim Ersan TOZUN</v>
      </c>
      <c r="I951" t="str">
        <f t="shared" si="58"/>
        <v>11F1 İş Makineleri</v>
      </c>
      <c r="J951" t="str">
        <f t="shared" si="59"/>
        <v>11F</v>
      </c>
    </row>
    <row r="952" spans="1:10" x14ac:dyDescent="0.25">
      <c r="A952" s="3">
        <v>13253742344</v>
      </c>
      <c r="B952" s="3" t="s">
        <v>1050</v>
      </c>
      <c r="C952" s="3" t="s">
        <v>12</v>
      </c>
      <c r="D952" s="3" t="s">
        <v>168</v>
      </c>
      <c r="E952" s="3">
        <v>11</v>
      </c>
      <c r="F952" s="3" t="s">
        <v>94</v>
      </c>
      <c r="G952" s="4" t="str">
        <f t="shared" si="56"/>
        <v>42344</v>
      </c>
      <c r="H952" t="str">
        <f t="shared" si="57"/>
        <v>Aysu DEMİRKIR</v>
      </c>
      <c r="I952" t="str">
        <f t="shared" si="58"/>
        <v>11A Kadın Kuaförlüğü</v>
      </c>
      <c r="J952" t="str">
        <f t="shared" si="59"/>
        <v>11A</v>
      </c>
    </row>
    <row r="953" spans="1:10" x14ac:dyDescent="0.25">
      <c r="A953" s="3">
        <v>13166745418</v>
      </c>
      <c r="B953" s="3" t="s">
        <v>1051</v>
      </c>
      <c r="C953" s="3" t="s">
        <v>12</v>
      </c>
      <c r="D953" s="3" t="s">
        <v>168</v>
      </c>
      <c r="E953" s="3">
        <v>11</v>
      </c>
      <c r="F953" s="3" t="s">
        <v>94</v>
      </c>
      <c r="G953" s="4" t="str">
        <f t="shared" si="56"/>
        <v>45418</v>
      </c>
      <c r="H953" t="str">
        <f t="shared" si="57"/>
        <v>Azra ÇAĞAN</v>
      </c>
      <c r="I953" t="str">
        <f t="shared" si="58"/>
        <v>11A Kadın Kuaförlüğü</v>
      </c>
      <c r="J953" t="str">
        <f t="shared" si="59"/>
        <v>11A</v>
      </c>
    </row>
    <row r="954" spans="1:10" x14ac:dyDescent="0.25">
      <c r="A954" s="3">
        <v>25253628092</v>
      </c>
      <c r="B954" s="3" t="s">
        <v>1052</v>
      </c>
      <c r="C954" s="3" t="s">
        <v>12</v>
      </c>
      <c r="D954" s="3" t="s">
        <v>168</v>
      </c>
      <c r="E954" s="3">
        <v>11</v>
      </c>
      <c r="F954" s="3" t="s">
        <v>94</v>
      </c>
      <c r="G954" s="4" t="str">
        <f t="shared" si="56"/>
        <v>28092</v>
      </c>
      <c r="H954" t="str">
        <f t="shared" si="57"/>
        <v>Azra KENT</v>
      </c>
      <c r="I954" t="str">
        <f t="shared" si="58"/>
        <v>11A Kadın Kuaförlüğü</v>
      </c>
      <c r="J954" t="str">
        <f t="shared" si="59"/>
        <v>11A</v>
      </c>
    </row>
    <row r="955" spans="1:10" x14ac:dyDescent="0.25">
      <c r="A955" s="3">
        <v>46879007146</v>
      </c>
      <c r="B955" s="3" t="s">
        <v>1053</v>
      </c>
      <c r="C955" s="3" t="s">
        <v>898</v>
      </c>
      <c r="D955" s="3" t="s">
        <v>168</v>
      </c>
      <c r="E955" s="3">
        <v>11</v>
      </c>
      <c r="F955" s="3" t="s">
        <v>94</v>
      </c>
      <c r="G955" s="4" t="str">
        <f t="shared" si="56"/>
        <v>07146</v>
      </c>
      <c r="H955" t="str">
        <f t="shared" si="57"/>
        <v>Berfin ERYİĞİT</v>
      </c>
      <c r="I955" t="str">
        <f t="shared" si="58"/>
        <v>11A Kadın Kuaförlüğü</v>
      </c>
      <c r="J955" t="str">
        <f t="shared" si="59"/>
        <v>11A</v>
      </c>
    </row>
    <row r="956" spans="1:10" x14ac:dyDescent="0.25">
      <c r="A956" s="3">
        <v>53152411798</v>
      </c>
      <c r="B956" s="3" t="s">
        <v>1054</v>
      </c>
      <c r="C956" s="3" t="s">
        <v>12</v>
      </c>
      <c r="D956" s="3" t="s">
        <v>168</v>
      </c>
      <c r="E956" s="3">
        <v>11</v>
      </c>
      <c r="F956" s="3" t="s">
        <v>94</v>
      </c>
      <c r="G956" s="4" t="str">
        <f t="shared" si="56"/>
        <v>11798</v>
      </c>
      <c r="H956" t="str">
        <f t="shared" si="57"/>
        <v>Beril ŞENTÜRK</v>
      </c>
      <c r="I956" t="str">
        <f t="shared" si="58"/>
        <v>11A Kadın Kuaförlüğü</v>
      </c>
      <c r="J956" t="str">
        <f t="shared" si="59"/>
        <v>11A</v>
      </c>
    </row>
    <row r="957" spans="1:10" x14ac:dyDescent="0.25">
      <c r="A957" s="3">
        <v>34640029312</v>
      </c>
      <c r="B957" s="3" t="s">
        <v>1055</v>
      </c>
      <c r="C957" s="3" t="s">
        <v>12</v>
      </c>
      <c r="D957" s="3" t="s">
        <v>168</v>
      </c>
      <c r="E957" s="3">
        <v>11</v>
      </c>
      <c r="F957" s="3" t="s">
        <v>94</v>
      </c>
      <c r="G957" s="4" t="str">
        <f t="shared" si="56"/>
        <v>29312</v>
      </c>
      <c r="H957" t="str">
        <f t="shared" si="57"/>
        <v>Beyzanur MERĞEN</v>
      </c>
      <c r="I957" t="str">
        <f t="shared" si="58"/>
        <v>11A Kadın Kuaförlüğü</v>
      </c>
      <c r="J957" t="str">
        <f t="shared" si="59"/>
        <v>11A</v>
      </c>
    </row>
    <row r="958" spans="1:10" x14ac:dyDescent="0.25">
      <c r="A958" s="3">
        <v>40969495950</v>
      </c>
      <c r="B958" s="3" t="s">
        <v>1056</v>
      </c>
      <c r="C958" s="3" t="s">
        <v>12</v>
      </c>
      <c r="D958" s="3" t="s">
        <v>168</v>
      </c>
      <c r="E958" s="3">
        <v>11</v>
      </c>
      <c r="F958" s="3" t="s">
        <v>94</v>
      </c>
      <c r="G958" s="4" t="str">
        <f t="shared" si="56"/>
        <v>95950</v>
      </c>
      <c r="H958" t="str">
        <f t="shared" si="57"/>
        <v>Burak BALKIZ</v>
      </c>
      <c r="I958" t="str">
        <f t="shared" si="58"/>
        <v>11A Kadın Kuaförlüğü</v>
      </c>
      <c r="J958" t="str">
        <f t="shared" si="59"/>
        <v>11A</v>
      </c>
    </row>
    <row r="959" spans="1:10" x14ac:dyDescent="0.25">
      <c r="A959" s="3">
        <v>40207843604</v>
      </c>
      <c r="B959" s="3" t="s">
        <v>1057</v>
      </c>
      <c r="C959" s="3" t="s">
        <v>12</v>
      </c>
      <c r="D959" s="3" t="s">
        <v>168</v>
      </c>
      <c r="E959" s="3">
        <v>11</v>
      </c>
      <c r="F959" s="3" t="s">
        <v>94</v>
      </c>
      <c r="G959" s="4" t="str">
        <f t="shared" si="56"/>
        <v>43604</v>
      </c>
      <c r="H959" t="str">
        <f t="shared" si="57"/>
        <v>Damla CANER</v>
      </c>
      <c r="I959" t="str">
        <f t="shared" si="58"/>
        <v>11A Kadın Kuaförlüğü</v>
      </c>
      <c r="J959" t="str">
        <f t="shared" si="59"/>
        <v>11A</v>
      </c>
    </row>
    <row r="960" spans="1:10" x14ac:dyDescent="0.25">
      <c r="A960" s="3">
        <v>11735792870</v>
      </c>
      <c r="B960" s="3" t="s">
        <v>1058</v>
      </c>
      <c r="C960" s="3" t="s">
        <v>898</v>
      </c>
      <c r="D960" s="3" t="s">
        <v>168</v>
      </c>
      <c r="E960" s="3">
        <v>11</v>
      </c>
      <c r="F960" s="3" t="s">
        <v>94</v>
      </c>
      <c r="G960" s="4" t="str">
        <f t="shared" si="56"/>
        <v>92870</v>
      </c>
      <c r="H960" t="str">
        <f t="shared" si="57"/>
        <v>Ecenur ÇAMCI</v>
      </c>
      <c r="I960" t="str">
        <f t="shared" si="58"/>
        <v>11A Kadın Kuaförlüğü</v>
      </c>
      <c r="J960" t="str">
        <f t="shared" si="59"/>
        <v>11A</v>
      </c>
    </row>
    <row r="961" spans="1:10" x14ac:dyDescent="0.25">
      <c r="A961" s="3">
        <v>16018972116</v>
      </c>
      <c r="B961" s="3" t="s">
        <v>1059</v>
      </c>
      <c r="C961" s="3" t="s">
        <v>12</v>
      </c>
      <c r="D961" s="3" t="s">
        <v>168</v>
      </c>
      <c r="E961" s="3">
        <v>11</v>
      </c>
      <c r="F961" s="3" t="s">
        <v>94</v>
      </c>
      <c r="G961" s="4" t="str">
        <f t="shared" si="56"/>
        <v>72116</v>
      </c>
      <c r="H961" t="str">
        <f t="shared" si="57"/>
        <v>Ecrin Havin AKDOĞAN</v>
      </c>
      <c r="I961" t="str">
        <f t="shared" si="58"/>
        <v>11A Kadın Kuaförlüğü</v>
      </c>
      <c r="J961" t="str">
        <f t="shared" si="59"/>
        <v>11A</v>
      </c>
    </row>
    <row r="962" spans="1:10" x14ac:dyDescent="0.25">
      <c r="A962" s="3">
        <v>16823623012</v>
      </c>
      <c r="B962" s="3" t="s">
        <v>1060</v>
      </c>
      <c r="C962" s="3" t="s">
        <v>12</v>
      </c>
      <c r="D962" s="3" t="s">
        <v>168</v>
      </c>
      <c r="E962" s="3">
        <v>11</v>
      </c>
      <c r="F962" s="3" t="s">
        <v>94</v>
      </c>
      <c r="G962" s="4" t="str">
        <f t="shared" si="56"/>
        <v>23012</v>
      </c>
      <c r="H962" t="str">
        <f t="shared" si="57"/>
        <v>Ecrin KALAY</v>
      </c>
      <c r="I962" t="str">
        <f t="shared" si="58"/>
        <v>11A Kadın Kuaförlüğü</v>
      </c>
      <c r="J962" t="str">
        <f t="shared" si="59"/>
        <v>11A</v>
      </c>
    </row>
    <row r="963" spans="1:10" x14ac:dyDescent="0.25">
      <c r="A963" s="3">
        <v>56500311146</v>
      </c>
      <c r="B963" s="3" t="s">
        <v>1061</v>
      </c>
      <c r="C963" s="3" t="s">
        <v>12</v>
      </c>
      <c r="D963" s="3" t="s">
        <v>168</v>
      </c>
      <c r="E963" s="3">
        <v>11</v>
      </c>
      <c r="F963" s="3" t="s">
        <v>94</v>
      </c>
      <c r="G963" s="4" t="str">
        <f t="shared" si="56"/>
        <v>11146</v>
      </c>
      <c r="H963" t="str">
        <f t="shared" si="57"/>
        <v>Ecrin Kamile AĞIR</v>
      </c>
      <c r="I963" t="str">
        <f t="shared" si="58"/>
        <v>11A Kadın Kuaförlüğü</v>
      </c>
      <c r="J963" t="str">
        <f t="shared" si="59"/>
        <v>11A</v>
      </c>
    </row>
    <row r="964" spans="1:10" x14ac:dyDescent="0.25">
      <c r="A964" s="3">
        <v>23536940350</v>
      </c>
      <c r="B964" s="3" t="s">
        <v>1062</v>
      </c>
      <c r="C964" s="3" t="s">
        <v>12</v>
      </c>
      <c r="D964" s="3" t="s">
        <v>168</v>
      </c>
      <c r="E964" s="3">
        <v>11</v>
      </c>
      <c r="F964" s="3" t="s">
        <v>94</v>
      </c>
      <c r="G964" s="4" t="str">
        <f t="shared" si="56"/>
        <v>40350</v>
      </c>
      <c r="H964" t="str">
        <f t="shared" si="57"/>
        <v>Efe Tuğra URAL</v>
      </c>
      <c r="I964" t="str">
        <f t="shared" si="58"/>
        <v>11A Kadın Kuaförlüğü</v>
      </c>
      <c r="J964" t="str">
        <f t="shared" si="59"/>
        <v>11A</v>
      </c>
    </row>
    <row r="965" spans="1:10" x14ac:dyDescent="0.25">
      <c r="A965" s="3">
        <v>41614982016</v>
      </c>
      <c r="B965" s="3" t="s">
        <v>1063</v>
      </c>
      <c r="C965" s="3" t="s">
        <v>12</v>
      </c>
      <c r="D965" s="3" t="s">
        <v>168</v>
      </c>
      <c r="E965" s="3">
        <v>11</v>
      </c>
      <c r="F965" s="3" t="s">
        <v>94</v>
      </c>
      <c r="G965" s="4" t="str">
        <f t="shared" ref="G965:G1028" si="60">RIGHT(A965,5)</f>
        <v>82016</v>
      </c>
      <c r="H965" t="str">
        <f t="shared" ref="H965:H1028" si="61">B965</f>
        <v>Ela Seray SEVİM</v>
      </c>
      <c r="I965" t="str">
        <f t="shared" ref="I965:I1028" si="62">CONCATENATE(E965,F965," ",D965)</f>
        <v>11A Kadın Kuaförlüğü</v>
      </c>
      <c r="J965" t="str">
        <f t="shared" ref="J965:J1028" si="63">LEFT(I965,3)</f>
        <v>11A</v>
      </c>
    </row>
    <row r="966" spans="1:10" x14ac:dyDescent="0.25">
      <c r="A966" s="3">
        <v>61618383602</v>
      </c>
      <c r="B966" s="3" t="s">
        <v>1064</v>
      </c>
      <c r="C966" s="3" t="s">
        <v>12</v>
      </c>
      <c r="D966" s="3" t="s">
        <v>168</v>
      </c>
      <c r="E966" s="3">
        <v>11</v>
      </c>
      <c r="F966" s="3" t="s">
        <v>94</v>
      </c>
      <c r="G966" s="4" t="str">
        <f t="shared" si="60"/>
        <v>83602</v>
      </c>
      <c r="H966" t="str">
        <f t="shared" si="61"/>
        <v>Emine DENİZ</v>
      </c>
      <c r="I966" t="str">
        <f t="shared" si="62"/>
        <v>11A Kadın Kuaförlüğü</v>
      </c>
      <c r="J966" t="str">
        <f t="shared" si="63"/>
        <v>11A</v>
      </c>
    </row>
    <row r="967" spans="1:10" x14ac:dyDescent="0.25">
      <c r="A967" s="3">
        <v>49663678942</v>
      </c>
      <c r="B967" s="3" t="s">
        <v>1065</v>
      </c>
      <c r="C967" s="3" t="s">
        <v>12</v>
      </c>
      <c r="D967" s="3" t="s">
        <v>168</v>
      </c>
      <c r="E967" s="3">
        <v>11</v>
      </c>
      <c r="F967" s="3" t="s">
        <v>94</v>
      </c>
      <c r="G967" s="4" t="str">
        <f t="shared" si="60"/>
        <v>78942</v>
      </c>
      <c r="H967" t="str">
        <f t="shared" si="61"/>
        <v>Esra TÜRKDOĞAN</v>
      </c>
      <c r="I967" t="str">
        <f t="shared" si="62"/>
        <v>11A Kadın Kuaförlüğü</v>
      </c>
      <c r="J967" t="str">
        <f t="shared" si="63"/>
        <v>11A</v>
      </c>
    </row>
    <row r="968" spans="1:10" x14ac:dyDescent="0.25">
      <c r="A968" s="3">
        <v>59896187104</v>
      </c>
      <c r="B968" s="3" t="s">
        <v>1066</v>
      </c>
      <c r="C968" s="3" t="s">
        <v>12</v>
      </c>
      <c r="D968" s="3" t="s">
        <v>168</v>
      </c>
      <c r="E968" s="3">
        <v>11</v>
      </c>
      <c r="F968" s="3" t="s">
        <v>94</v>
      </c>
      <c r="G968" s="4" t="str">
        <f t="shared" si="60"/>
        <v>87104</v>
      </c>
      <c r="H968" t="str">
        <f t="shared" si="61"/>
        <v>Eylül Yasmin TEMİZKAN</v>
      </c>
      <c r="I968" t="str">
        <f t="shared" si="62"/>
        <v>11A Kadın Kuaförlüğü</v>
      </c>
      <c r="J968" t="str">
        <f t="shared" si="63"/>
        <v>11A</v>
      </c>
    </row>
    <row r="969" spans="1:10" x14ac:dyDescent="0.25">
      <c r="A969" s="3">
        <v>33257010102</v>
      </c>
      <c r="B969" s="3" t="s">
        <v>1067</v>
      </c>
      <c r="C969" s="3" t="s">
        <v>12</v>
      </c>
      <c r="D969" s="3" t="s">
        <v>168</v>
      </c>
      <c r="E969" s="3">
        <v>11</v>
      </c>
      <c r="F969" s="3" t="s">
        <v>94</v>
      </c>
      <c r="G969" s="4" t="str">
        <f t="shared" si="60"/>
        <v>10102</v>
      </c>
      <c r="H969" t="str">
        <f t="shared" si="61"/>
        <v>Fatma TOSUN</v>
      </c>
      <c r="I969" t="str">
        <f t="shared" si="62"/>
        <v>11A Kadın Kuaförlüğü</v>
      </c>
      <c r="J969" t="str">
        <f t="shared" si="63"/>
        <v>11A</v>
      </c>
    </row>
    <row r="970" spans="1:10" x14ac:dyDescent="0.25">
      <c r="A970" s="3">
        <v>22892420346</v>
      </c>
      <c r="B970" s="3" t="s">
        <v>1068</v>
      </c>
      <c r="C970" s="3" t="s">
        <v>12</v>
      </c>
      <c r="D970" s="3" t="s">
        <v>168</v>
      </c>
      <c r="E970" s="3">
        <v>11</v>
      </c>
      <c r="F970" s="3" t="s">
        <v>94</v>
      </c>
      <c r="G970" s="4" t="str">
        <f t="shared" si="60"/>
        <v>20346</v>
      </c>
      <c r="H970" t="str">
        <f t="shared" si="61"/>
        <v>Gizem YURTSEVER</v>
      </c>
      <c r="I970" t="str">
        <f t="shared" si="62"/>
        <v>11A Kadın Kuaförlüğü</v>
      </c>
      <c r="J970" t="str">
        <f t="shared" si="63"/>
        <v>11A</v>
      </c>
    </row>
    <row r="971" spans="1:10" x14ac:dyDescent="0.25">
      <c r="A971" s="3">
        <v>23123146844</v>
      </c>
      <c r="B971" s="3" t="s">
        <v>1069</v>
      </c>
      <c r="C971" s="3" t="s">
        <v>12</v>
      </c>
      <c r="D971" s="3" t="s">
        <v>168</v>
      </c>
      <c r="E971" s="3">
        <v>11</v>
      </c>
      <c r="F971" s="3" t="s">
        <v>94</v>
      </c>
      <c r="G971" s="4" t="str">
        <f t="shared" si="60"/>
        <v>46844</v>
      </c>
      <c r="H971" t="str">
        <f t="shared" si="61"/>
        <v>Halil Suat PABUÇÇU</v>
      </c>
      <c r="I971" t="str">
        <f t="shared" si="62"/>
        <v>11A Kadın Kuaförlüğü</v>
      </c>
      <c r="J971" t="str">
        <f t="shared" si="63"/>
        <v>11A</v>
      </c>
    </row>
    <row r="972" spans="1:10" x14ac:dyDescent="0.25">
      <c r="A972" s="3">
        <v>22433436164</v>
      </c>
      <c r="B972" s="3" t="s">
        <v>1070</v>
      </c>
      <c r="C972" s="3" t="s">
        <v>12</v>
      </c>
      <c r="D972" s="3" t="s">
        <v>168</v>
      </c>
      <c r="E972" s="3">
        <v>11</v>
      </c>
      <c r="F972" s="3" t="s">
        <v>94</v>
      </c>
      <c r="G972" s="4" t="str">
        <f t="shared" si="60"/>
        <v>36164</v>
      </c>
      <c r="H972" t="str">
        <f t="shared" si="61"/>
        <v>Hüseyin Eymen DUMANOVA</v>
      </c>
      <c r="I972" t="str">
        <f t="shared" si="62"/>
        <v>11A Kadın Kuaförlüğü</v>
      </c>
      <c r="J972" t="str">
        <f t="shared" si="63"/>
        <v>11A</v>
      </c>
    </row>
    <row r="973" spans="1:10" x14ac:dyDescent="0.25">
      <c r="A973" s="3">
        <v>22634428944</v>
      </c>
      <c r="B973" s="3" t="s">
        <v>1071</v>
      </c>
      <c r="C973" s="3" t="s">
        <v>12</v>
      </c>
      <c r="D973" s="3" t="s">
        <v>168</v>
      </c>
      <c r="E973" s="3">
        <v>11</v>
      </c>
      <c r="F973" s="3" t="s">
        <v>94</v>
      </c>
      <c r="G973" s="4" t="str">
        <f t="shared" si="60"/>
        <v>28944</v>
      </c>
      <c r="H973" t="str">
        <f t="shared" si="61"/>
        <v>İrem YURTSEVER</v>
      </c>
      <c r="I973" t="str">
        <f t="shared" si="62"/>
        <v>11A Kadın Kuaförlüğü</v>
      </c>
      <c r="J973" t="str">
        <f t="shared" si="63"/>
        <v>11A</v>
      </c>
    </row>
    <row r="974" spans="1:10" x14ac:dyDescent="0.25">
      <c r="A974" s="3">
        <v>35194703192</v>
      </c>
      <c r="B974" s="3" t="s">
        <v>1072</v>
      </c>
      <c r="C974" s="3" t="s">
        <v>12</v>
      </c>
      <c r="D974" s="3" t="s">
        <v>168</v>
      </c>
      <c r="E974" s="3">
        <v>11</v>
      </c>
      <c r="F974" s="3" t="s">
        <v>94</v>
      </c>
      <c r="G974" s="4" t="str">
        <f t="shared" si="60"/>
        <v>03192</v>
      </c>
      <c r="H974" t="str">
        <f t="shared" si="61"/>
        <v>İremnaz DEMİRDÖVEN</v>
      </c>
      <c r="I974" t="str">
        <f t="shared" si="62"/>
        <v>11A Kadın Kuaförlüğü</v>
      </c>
      <c r="J974" t="str">
        <f t="shared" si="63"/>
        <v>11A</v>
      </c>
    </row>
    <row r="975" spans="1:10" x14ac:dyDescent="0.25">
      <c r="A975" s="3">
        <v>20024048796</v>
      </c>
      <c r="B975" s="3" t="s">
        <v>1073</v>
      </c>
      <c r="C975" s="3" t="s">
        <v>12</v>
      </c>
      <c r="D975" s="3" t="s">
        <v>168</v>
      </c>
      <c r="E975" s="3">
        <v>11</v>
      </c>
      <c r="F975" s="3" t="s">
        <v>94</v>
      </c>
      <c r="G975" s="4" t="str">
        <f t="shared" si="60"/>
        <v>48796</v>
      </c>
      <c r="H975" t="str">
        <f t="shared" si="61"/>
        <v>Mediha Naz ALTUNAY</v>
      </c>
      <c r="I975" t="str">
        <f t="shared" si="62"/>
        <v>11A Kadın Kuaförlüğü</v>
      </c>
      <c r="J975" t="str">
        <f t="shared" si="63"/>
        <v>11A</v>
      </c>
    </row>
    <row r="976" spans="1:10" x14ac:dyDescent="0.25">
      <c r="A976" s="3">
        <v>41491800502</v>
      </c>
      <c r="B976" s="3" t="s">
        <v>1074</v>
      </c>
      <c r="C976" s="3" t="s">
        <v>12</v>
      </c>
      <c r="D976" s="3" t="s">
        <v>168</v>
      </c>
      <c r="E976" s="3">
        <v>11</v>
      </c>
      <c r="F976" s="3" t="s">
        <v>94</v>
      </c>
      <c r="G976" s="4" t="str">
        <f t="shared" si="60"/>
        <v>00502</v>
      </c>
      <c r="H976" t="str">
        <f t="shared" si="61"/>
        <v>Mert KIZILKAYA</v>
      </c>
      <c r="I976" t="str">
        <f t="shared" si="62"/>
        <v>11A Kadın Kuaförlüğü</v>
      </c>
      <c r="J976" t="str">
        <f t="shared" si="63"/>
        <v>11A</v>
      </c>
    </row>
    <row r="977" spans="1:10" x14ac:dyDescent="0.25">
      <c r="A977" s="3">
        <v>12725145850</v>
      </c>
      <c r="B977" s="3" t="s">
        <v>1075</v>
      </c>
      <c r="C977" s="3" t="s">
        <v>12</v>
      </c>
      <c r="D977" s="3" t="s">
        <v>168</v>
      </c>
      <c r="E977" s="3">
        <v>11</v>
      </c>
      <c r="F977" s="3" t="s">
        <v>94</v>
      </c>
      <c r="G977" s="4" t="str">
        <f t="shared" si="60"/>
        <v>45850</v>
      </c>
      <c r="H977" t="str">
        <f t="shared" si="61"/>
        <v>Merve GÜNEŞ</v>
      </c>
      <c r="I977" t="str">
        <f t="shared" si="62"/>
        <v>11A Kadın Kuaförlüğü</v>
      </c>
      <c r="J977" t="str">
        <f t="shared" si="63"/>
        <v>11A</v>
      </c>
    </row>
    <row r="978" spans="1:10" x14ac:dyDescent="0.25">
      <c r="A978" s="3">
        <v>52072447696</v>
      </c>
      <c r="B978" s="3" t="s">
        <v>1076</v>
      </c>
      <c r="C978" s="3" t="s">
        <v>12</v>
      </c>
      <c r="D978" s="3" t="s">
        <v>168</v>
      </c>
      <c r="E978" s="3">
        <v>11</v>
      </c>
      <c r="F978" s="3" t="s">
        <v>94</v>
      </c>
      <c r="G978" s="4" t="str">
        <f t="shared" si="60"/>
        <v>47696</v>
      </c>
      <c r="H978" t="str">
        <f t="shared" si="61"/>
        <v>Rengin ÇAKIN</v>
      </c>
      <c r="I978" t="str">
        <f t="shared" si="62"/>
        <v>11A Kadın Kuaförlüğü</v>
      </c>
      <c r="J978" t="str">
        <f t="shared" si="63"/>
        <v>11A</v>
      </c>
    </row>
    <row r="979" spans="1:10" x14ac:dyDescent="0.25">
      <c r="A979" s="3">
        <v>63841066284</v>
      </c>
      <c r="B979" s="3" t="s">
        <v>1077</v>
      </c>
      <c r="C979" s="3" t="s">
        <v>12</v>
      </c>
      <c r="D979" s="3" t="s">
        <v>168</v>
      </c>
      <c r="E979" s="3">
        <v>11</v>
      </c>
      <c r="F979" s="3" t="s">
        <v>94</v>
      </c>
      <c r="G979" s="4" t="str">
        <f t="shared" si="60"/>
        <v>66284</v>
      </c>
      <c r="H979" t="str">
        <f t="shared" si="61"/>
        <v>Rojbin ÇELEBİ</v>
      </c>
      <c r="I979" t="str">
        <f t="shared" si="62"/>
        <v>11A Kadın Kuaförlüğü</v>
      </c>
      <c r="J979" t="str">
        <f t="shared" si="63"/>
        <v>11A</v>
      </c>
    </row>
    <row r="980" spans="1:10" x14ac:dyDescent="0.25">
      <c r="A980" s="3">
        <v>27925808528</v>
      </c>
      <c r="B980" s="3" t="s">
        <v>1078</v>
      </c>
      <c r="C980" s="3" t="s">
        <v>12</v>
      </c>
      <c r="D980" s="3" t="s">
        <v>168</v>
      </c>
      <c r="E980" s="3">
        <v>11</v>
      </c>
      <c r="F980" s="3" t="s">
        <v>94</v>
      </c>
      <c r="G980" s="4" t="str">
        <f t="shared" si="60"/>
        <v>08528</v>
      </c>
      <c r="H980" t="str">
        <f t="shared" si="61"/>
        <v>Rosida DEMİRHAN</v>
      </c>
      <c r="I980" t="str">
        <f t="shared" si="62"/>
        <v>11A Kadın Kuaförlüğü</v>
      </c>
      <c r="J980" t="str">
        <f t="shared" si="63"/>
        <v>11A</v>
      </c>
    </row>
    <row r="981" spans="1:10" x14ac:dyDescent="0.25">
      <c r="A981" s="3">
        <v>54238376468</v>
      </c>
      <c r="B981" s="3" t="s">
        <v>1079</v>
      </c>
      <c r="C981" s="3" t="s">
        <v>12</v>
      </c>
      <c r="D981" s="3" t="s">
        <v>168</v>
      </c>
      <c r="E981" s="3">
        <v>11</v>
      </c>
      <c r="F981" s="3" t="s">
        <v>94</v>
      </c>
      <c r="G981" s="4" t="str">
        <f t="shared" si="60"/>
        <v>76468</v>
      </c>
      <c r="H981" t="str">
        <f t="shared" si="61"/>
        <v>Selen YALÇIN</v>
      </c>
      <c r="I981" t="str">
        <f t="shared" si="62"/>
        <v>11A Kadın Kuaförlüğü</v>
      </c>
      <c r="J981" t="str">
        <f t="shared" si="63"/>
        <v>11A</v>
      </c>
    </row>
    <row r="982" spans="1:10" x14ac:dyDescent="0.25">
      <c r="A982" s="3">
        <v>24245376126</v>
      </c>
      <c r="B982" s="3" t="s">
        <v>1080</v>
      </c>
      <c r="C982" s="3" t="s">
        <v>12</v>
      </c>
      <c r="D982" s="3" t="s">
        <v>168</v>
      </c>
      <c r="E982" s="3">
        <v>11</v>
      </c>
      <c r="F982" s="3" t="s">
        <v>94</v>
      </c>
      <c r="G982" s="4" t="str">
        <f t="shared" si="60"/>
        <v>76126</v>
      </c>
      <c r="H982" t="str">
        <f t="shared" si="61"/>
        <v>Selin BOZKURT</v>
      </c>
      <c r="I982" t="str">
        <f t="shared" si="62"/>
        <v>11A Kadın Kuaförlüğü</v>
      </c>
      <c r="J982" t="str">
        <f t="shared" si="63"/>
        <v>11A</v>
      </c>
    </row>
    <row r="983" spans="1:10" x14ac:dyDescent="0.25">
      <c r="A983" s="3">
        <v>52477592786</v>
      </c>
      <c r="B983" s="3" t="s">
        <v>1081</v>
      </c>
      <c r="C983" s="3" t="s">
        <v>12</v>
      </c>
      <c r="D983" s="3" t="s">
        <v>168</v>
      </c>
      <c r="E983" s="3">
        <v>11</v>
      </c>
      <c r="F983" s="3" t="s">
        <v>94</v>
      </c>
      <c r="G983" s="4" t="str">
        <f t="shared" si="60"/>
        <v>92786</v>
      </c>
      <c r="H983" t="str">
        <f t="shared" si="61"/>
        <v>Songül GÜRCÜ</v>
      </c>
      <c r="I983" t="str">
        <f t="shared" si="62"/>
        <v>11A Kadın Kuaförlüğü</v>
      </c>
      <c r="J983" t="str">
        <f t="shared" si="63"/>
        <v>11A</v>
      </c>
    </row>
    <row r="984" spans="1:10" x14ac:dyDescent="0.25">
      <c r="A984" s="3">
        <v>18326573252</v>
      </c>
      <c r="B984" s="3" t="s">
        <v>1082</v>
      </c>
      <c r="C984" s="3" t="s">
        <v>12</v>
      </c>
      <c r="D984" s="3" t="s">
        <v>168</v>
      </c>
      <c r="E984" s="3">
        <v>11</v>
      </c>
      <c r="F984" s="3" t="s">
        <v>94</v>
      </c>
      <c r="G984" s="4" t="str">
        <f t="shared" si="60"/>
        <v>73252</v>
      </c>
      <c r="H984" t="str">
        <f t="shared" si="61"/>
        <v>Sudenaz TANIK</v>
      </c>
      <c r="I984" t="str">
        <f t="shared" si="62"/>
        <v>11A Kadın Kuaförlüğü</v>
      </c>
      <c r="J984" t="str">
        <f t="shared" si="63"/>
        <v>11A</v>
      </c>
    </row>
    <row r="985" spans="1:10" x14ac:dyDescent="0.25">
      <c r="A985" s="3">
        <v>99924687824</v>
      </c>
      <c r="B985" s="3" t="s">
        <v>1083</v>
      </c>
      <c r="C985" s="3" t="s">
        <v>12</v>
      </c>
      <c r="D985" s="3" t="s">
        <v>168</v>
      </c>
      <c r="E985" s="3">
        <v>11</v>
      </c>
      <c r="F985" s="3" t="s">
        <v>94</v>
      </c>
      <c r="G985" s="4" t="str">
        <f t="shared" si="60"/>
        <v>87824</v>
      </c>
      <c r="H985" t="str">
        <f t="shared" si="61"/>
        <v>Sumaya OLIMOVA</v>
      </c>
      <c r="I985" t="str">
        <f t="shared" si="62"/>
        <v>11A Kadın Kuaförlüğü</v>
      </c>
      <c r="J985" t="str">
        <f t="shared" si="63"/>
        <v>11A</v>
      </c>
    </row>
    <row r="986" spans="1:10" x14ac:dyDescent="0.25">
      <c r="A986" s="3">
        <v>12699127210</v>
      </c>
      <c r="B986" s="3" t="s">
        <v>1084</v>
      </c>
      <c r="C986" s="3" t="s">
        <v>12</v>
      </c>
      <c r="D986" s="3" t="s">
        <v>168</v>
      </c>
      <c r="E986" s="3">
        <v>11</v>
      </c>
      <c r="F986" s="3" t="s">
        <v>94</v>
      </c>
      <c r="G986" s="4" t="str">
        <f t="shared" si="60"/>
        <v>27210</v>
      </c>
      <c r="H986" t="str">
        <f t="shared" si="61"/>
        <v>Tunç KESER</v>
      </c>
      <c r="I986" t="str">
        <f t="shared" si="62"/>
        <v>11A Kadın Kuaförlüğü</v>
      </c>
      <c r="J986" t="str">
        <f t="shared" si="63"/>
        <v>11A</v>
      </c>
    </row>
    <row r="987" spans="1:10" x14ac:dyDescent="0.25">
      <c r="A987" s="3">
        <v>47488601008</v>
      </c>
      <c r="B987" s="3" t="s">
        <v>1085</v>
      </c>
      <c r="C987" s="3" t="s">
        <v>12</v>
      </c>
      <c r="D987" s="3" t="s">
        <v>168</v>
      </c>
      <c r="E987" s="3">
        <v>11</v>
      </c>
      <c r="F987" s="3" t="s">
        <v>94</v>
      </c>
      <c r="G987" s="4" t="str">
        <f t="shared" si="60"/>
        <v>01008</v>
      </c>
      <c r="H987" t="str">
        <f t="shared" si="61"/>
        <v>Umut GÜRCÜ</v>
      </c>
      <c r="I987" t="str">
        <f t="shared" si="62"/>
        <v>11A Kadın Kuaförlüğü</v>
      </c>
      <c r="J987" t="str">
        <f t="shared" si="63"/>
        <v>11A</v>
      </c>
    </row>
    <row r="988" spans="1:10" x14ac:dyDescent="0.25">
      <c r="A988" s="3">
        <v>22232442236</v>
      </c>
      <c r="B988" s="3" t="s">
        <v>1086</v>
      </c>
      <c r="C988" s="3" t="s">
        <v>898</v>
      </c>
      <c r="D988" s="3" t="s">
        <v>168</v>
      </c>
      <c r="E988" s="3">
        <v>11</v>
      </c>
      <c r="F988" s="3" t="s">
        <v>94</v>
      </c>
      <c r="G988" s="4" t="str">
        <f t="shared" si="60"/>
        <v>42236</v>
      </c>
      <c r="H988" t="str">
        <f t="shared" si="61"/>
        <v>Yaren KARADENİZ</v>
      </c>
      <c r="I988" t="str">
        <f t="shared" si="62"/>
        <v>11A Kadın Kuaförlüğü</v>
      </c>
      <c r="J988" t="str">
        <f t="shared" si="63"/>
        <v>11A</v>
      </c>
    </row>
    <row r="989" spans="1:10" x14ac:dyDescent="0.25">
      <c r="A989" s="3">
        <v>52870421942</v>
      </c>
      <c r="B989" s="3" t="s">
        <v>1087</v>
      </c>
      <c r="C989" s="3" t="s">
        <v>12</v>
      </c>
      <c r="D989" s="3" t="s">
        <v>168</v>
      </c>
      <c r="E989" s="3">
        <v>11</v>
      </c>
      <c r="F989" s="3" t="s">
        <v>94</v>
      </c>
      <c r="G989" s="4" t="str">
        <f t="shared" si="60"/>
        <v>21942</v>
      </c>
      <c r="H989" t="str">
        <f t="shared" si="61"/>
        <v>Yiğit Efe KÖKSAL</v>
      </c>
      <c r="I989" t="str">
        <f t="shared" si="62"/>
        <v>11A Kadın Kuaförlüğü</v>
      </c>
      <c r="J989" t="str">
        <f t="shared" si="63"/>
        <v>11A</v>
      </c>
    </row>
    <row r="990" spans="1:10" x14ac:dyDescent="0.25">
      <c r="A990" s="3">
        <v>10512200652</v>
      </c>
      <c r="B990" s="3" t="s">
        <v>1088</v>
      </c>
      <c r="C990" s="3" t="s">
        <v>12</v>
      </c>
      <c r="D990" s="3" t="s">
        <v>168</v>
      </c>
      <c r="E990" s="3">
        <v>11</v>
      </c>
      <c r="F990" s="3" t="s">
        <v>94</v>
      </c>
      <c r="G990" s="4" t="str">
        <f t="shared" si="60"/>
        <v>00652</v>
      </c>
      <c r="H990" t="str">
        <f t="shared" si="61"/>
        <v>Yunus Emre ÇİÇEK</v>
      </c>
      <c r="I990" t="str">
        <f t="shared" si="62"/>
        <v>11A Kadın Kuaförlüğü</v>
      </c>
      <c r="J990" t="str">
        <f t="shared" si="63"/>
        <v>11A</v>
      </c>
    </row>
    <row r="991" spans="1:10" x14ac:dyDescent="0.25">
      <c r="A991" s="3">
        <v>49786215192</v>
      </c>
      <c r="B991" s="3" t="s">
        <v>1089</v>
      </c>
      <c r="C991" s="3" t="s">
        <v>12</v>
      </c>
      <c r="D991" s="3" t="s">
        <v>168</v>
      </c>
      <c r="E991" s="3">
        <v>11</v>
      </c>
      <c r="F991" s="3" t="s">
        <v>94</v>
      </c>
      <c r="G991" s="4" t="str">
        <f t="shared" si="60"/>
        <v>15192</v>
      </c>
      <c r="H991" t="str">
        <f t="shared" si="61"/>
        <v>Yunus Emre GÜNDÜZ</v>
      </c>
      <c r="I991" t="str">
        <f t="shared" si="62"/>
        <v>11A Kadın Kuaförlüğü</v>
      </c>
      <c r="J991" t="str">
        <f t="shared" si="63"/>
        <v>11A</v>
      </c>
    </row>
    <row r="992" spans="1:10" x14ac:dyDescent="0.25">
      <c r="A992" s="3">
        <v>38338965982</v>
      </c>
      <c r="B992" s="3" t="s">
        <v>1090</v>
      </c>
      <c r="C992" s="3" t="s">
        <v>12</v>
      </c>
      <c r="D992" s="3" t="s">
        <v>168</v>
      </c>
      <c r="E992" s="3">
        <v>11</v>
      </c>
      <c r="F992" s="3" t="s">
        <v>94</v>
      </c>
      <c r="G992" s="4" t="str">
        <f t="shared" si="60"/>
        <v>65982</v>
      </c>
      <c r="H992" t="str">
        <f t="shared" si="61"/>
        <v>Zerrin ÖZER</v>
      </c>
      <c r="I992" t="str">
        <f t="shared" si="62"/>
        <v>11A Kadın Kuaförlüğü</v>
      </c>
      <c r="J992" t="str">
        <f t="shared" si="63"/>
        <v>11A</v>
      </c>
    </row>
    <row r="993" spans="1:10" x14ac:dyDescent="0.25">
      <c r="A993" s="3">
        <v>22520433090</v>
      </c>
      <c r="B993" s="3" t="s">
        <v>1091</v>
      </c>
      <c r="C993" s="3" t="s">
        <v>12</v>
      </c>
      <c r="D993" s="3" t="s">
        <v>208</v>
      </c>
      <c r="E993" s="3">
        <v>11</v>
      </c>
      <c r="F993" s="3" t="s">
        <v>434</v>
      </c>
      <c r="G993" s="4" t="str">
        <f t="shared" si="60"/>
        <v>33090</v>
      </c>
      <c r="H993" t="str">
        <f t="shared" si="61"/>
        <v>Alper BALCI</v>
      </c>
      <c r="I993" t="str">
        <f t="shared" si="62"/>
        <v>11K Kaynakçılık</v>
      </c>
      <c r="J993" t="str">
        <f t="shared" si="63"/>
        <v>11K</v>
      </c>
    </row>
    <row r="994" spans="1:10" x14ac:dyDescent="0.25">
      <c r="A994" s="3">
        <v>20537499504</v>
      </c>
      <c r="B994" s="3" t="s">
        <v>1092</v>
      </c>
      <c r="C994" s="3" t="s">
        <v>12</v>
      </c>
      <c r="D994" s="3" t="s">
        <v>208</v>
      </c>
      <c r="E994" s="3">
        <v>11</v>
      </c>
      <c r="F994" s="3" t="s">
        <v>434</v>
      </c>
      <c r="G994" s="4" t="str">
        <f t="shared" si="60"/>
        <v>99504</v>
      </c>
      <c r="H994" t="str">
        <f t="shared" si="61"/>
        <v>Caner KUYU</v>
      </c>
      <c r="I994" t="str">
        <f t="shared" si="62"/>
        <v>11K Kaynakçılık</v>
      </c>
      <c r="J994" t="str">
        <f t="shared" si="63"/>
        <v>11K</v>
      </c>
    </row>
    <row r="995" spans="1:10" x14ac:dyDescent="0.25">
      <c r="A995" s="3">
        <v>63940052256</v>
      </c>
      <c r="B995" s="3" t="s">
        <v>1093</v>
      </c>
      <c r="C995" s="3" t="s">
        <v>12</v>
      </c>
      <c r="D995" s="3" t="s">
        <v>208</v>
      </c>
      <c r="E995" s="3">
        <v>11</v>
      </c>
      <c r="F995" s="3" t="s">
        <v>434</v>
      </c>
      <c r="G995" s="4" t="str">
        <f t="shared" si="60"/>
        <v>52256</v>
      </c>
      <c r="H995" t="str">
        <f t="shared" si="61"/>
        <v>Faruk KOÇYİĞİT</v>
      </c>
      <c r="I995" t="str">
        <f t="shared" si="62"/>
        <v>11K Kaynakçılık</v>
      </c>
      <c r="J995" t="str">
        <f t="shared" si="63"/>
        <v>11K</v>
      </c>
    </row>
    <row r="996" spans="1:10" x14ac:dyDescent="0.25">
      <c r="A996" s="3">
        <v>29900246776</v>
      </c>
      <c r="B996" s="3" t="s">
        <v>1094</v>
      </c>
      <c r="C996" s="3" t="s">
        <v>12</v>
      </c>
      <c r="D996" s="3" t="s">
        <v>208</v>
      </c>
      <c r="E996" s="3">
        <v>11</v>
      </c>
      <c r="F996" s="3" t="s">
        <v>434</v>
      </c>
      <c r="G996" s="4" t="str">
        <f t="shared" si="60"/>
        <v>46776</v>
      </c>
      <c r="H996" t="str">
        <f t="shared" si="61"/>
        <v>Mert ATTİLLA</v>
      </c>
      <c r="I996" t="str">
        <f t="shared" si="62"/>
        <v>11K Kaynakçılık</v>
      </c>
      <c r="J996" t="str">
        <f t="shared" si="63"/>
        <v>11K</v>
      </c>
    </row>
    <row r="997" spans="1:10" x14ac:dyDescent="0.25">
      <c r="A997" s="3">
        <v>49012684600</v>
      </c>
      <c r="B997" s="3" t="s">
        <v>1095</v>
      </c>
      <c r="C997" s="3" t="s">
        <v>12</v>
      </c>
      <c r="D997" s="3" t="s">
        <v>208</v>
      </c>
      <c r="E997" s="3">
        <v>11</v>
      </c>
      <c r="F997" s="3" t="s">
        <v>434</v>
      </c>
      <c r="G997" s="4" t="str">
        <f t="shared" si="60"/>
        <v>84600</v>
      </c>
      <c r="H997" t="str">
        <f t="shared" si="61"/>
        <v>Muhammet Ali KAYA</v>
      </c>
      <c r="I997" t="str">
        <f t="shared" si="62"/>
        <v>11K Kaynakçılık</v>
      </c>
      <c r="J997" t="str">
        <f t="shared" si="63"/>
        <v>11K</v>
      </c>
    </row>
    <row r="998" spans="1:10" x14ac:dyDescent="0.25">
      <c r="A998" s="3">
        <v>17177611236</v>
      </c>
      <c r="B998" s="3" t="s">
        <v>1096</v>
      </c>
      <c r="C998" s="3" t="s">
        <v>12</v>
      </c>
      <c r="D998" s="3" t="s">
        <v>208</v>
      </c>
      <c r="E998" s="3">
        <v>11</v>
      </c>
      <c r="F998" s="3" t="s">
        <v>434</v>
      </c>
      <c r="G998" s="4" t="str">
        <f t="shared" si="60"/>
        <v>11236</v>
      </c>
      <c r="H998" t="str">
        <f t="shared" si="61"/>
        <v>Yunus ULUSOY</v>
      </c>
      <c r="I998" t="str">
        <f t="shared" si="62"/>
        <v>11K Kaynakçılık</v>
      </c>
      <c r="J998" t="str">
        <f t="shared" si="63"/>
        <v>11K</v>
      </c>
    </row>
    <row r="999" spans="1:10" x14ac:dyDescent="0.25">
      <c r="A999" s="3">
        <v>36641330916</v>
      </c>
      <c r="B999" s="3" t="s">
        <v>1097</v>
      </c>
      <c r="C999" s="3" t="s">
        <v>12</v>
      </c>
      <c r="D999" s="3" t="s">
        <v>212</v>
      </c>
      <c r="E999" s="3">
        <v>11</v>
      </c>
      <c r="F999" s="3" t="s">
        <v>1098</v>
      </c>
      <c r="G999" s="4" t="str">
        <f t="shared" si="60"/>
        <v>30916</v>
      </c>
      <c r="H999" t="str">
        <f t="shared" si="61"/>
        <v>Enes SAMANCI</v>
      </c>
      <c r="I999" t="str">
        <f t="shared" si="62"/>
        <v>11İ1 Makine Bakım Onarım</v>
      </c>
      <c r="J999" t="str">
        <f t="shared" si="63"/>
        <v>11İ</v>
      </c>
    </row>
    <row r="1000" spans="1:10" x14ac:dyDescent="0.25">
      <c r="A1000" s="3">
        <v>44867055964</v>
      </c>
      <c r="B1000" s="3" t="s">
        <v>1099</v>
      </c>
      <c r="C1000" s="3" t="s">
        <v>12</v>
      </c>
      <c r="D1000" s="3" t="s">
        <v>212</v>
      </c>
      <c r="E1000" s="3">
        <v>11</v>
      </c>
      <c r="F1000" s="3" t="s">
        <v>1098</v>
      </c>
      <c r="G1000" s="4" t="str">
        <f t="shared" si="60"/>
        <v>55964</v>
      </c>
      <c r="H1000" t="str">
        <f t="shared" si="61"/>
        <v>Kaan Deniz İLGÜN</v>
      </c>
      <c r="I1000" t="str">
        <f t="shared" si="62"/>
        <v>11İ1 Makine Bakım Onarım</v>
      </c>
      <c r="J1000" t="str">
        <f t="shared" si="63"/>
        <v>11İ</v>
      </c>
    </row>
    <row r="1001" spans="1:10" x14ac:dyDescent="0.25">
      <c r="A1001" s="3">
        <v>33077080996</v>
      </c>
      <c r="B1001" s="3" t="s">
        <v>1100</v>
      </c>
      <c r="C1001" s="3" t="s">
        <v>12</v>
      </c>
      <c r="D1001" s="3" t="s">
        <v>212</v>
      </c>
      <c r="E1001" s="3">
        <v>11</v>
      </c>
      <c r="F1001" s="3" t="s">
        <v>1098</v>
      </c>
      <c r="G1001" s="4" t="str">
        <f t="shared" si="60"/>
        <v>80996</v>
      </c>
      <c r="H1001" t="str">
        <f t="shared" si="61"/>
        <v>Oğuzhan Kayra DEMİR</v>
      </c>
      <c r="I1001" t="str">
        <f t="shared" si="62"/>
        <v>11İ1 Makine Bakım Onarım</v>
      </c>
      <c r="J1001" t="str">
        <f t="shared" si="63"/>
        <v>11İ</v>
      </c>
    </row>
    <row r="1002" spans="1:10" x14ac:dyDescent="0.25">
      <c r="A1002" s="3">
        <v>30464168046</v>
      </c>
      <c r="B1002" s="3" t="s">
        <v>1101</v>
      </c>
      <c r="C1002" s="3" t="s">
        <v>12</v>
      </c>
      <c r="D1002" s="3" t="s">
        <v>1102</v>
      </c>
      <c r="E1002" s="3">
        <v>11</v>
      </c>
      <c r="F1002" s="3" t="s">
        <v>1103</v>
      </c>
      <c r="G1002" s="4" t="str">
        <f t="shared" si="60"/>
        <v>68046</v>
      </c>
      <c r="H1002" t="str">
        <f t="shared" si="61"/>
        <v>Ömer Sait TOPCU</v>
      </c>
      <c r="I1002" t="str">
        <f t="shared" si="62"/>
        <v>11İ2 Mermer İşleme</v>
      </c>
      <c r="J1002" t="str">
        <f t="shared" si="63"/>
        <v>11İ</v>
      </c>
    </row>
    <row r="1003" spans="1:10" x14ac:dyDescent="0.25">
      <c r="A1003" s="3">
        <v>54643082664</v>
      </c>
      <c r="B1003" s="3" t="s">
        <v>1104</v>
      </c>
      <c r="C1003" s="3" t="s">
        <v>12</v>
      </c>
      <c r="D1003" s="3" t="s">
        <v>216</v>
      </c>
      <c r="E1003" s="3">
        <v>11</v>
      </c>
      <c r="F1003" s="3" t="s">
        <v>1105</v>
      </c>
      <c r="G1003" s="4" t="str">
        <f t="shared" si="60"/>
        <v>82664</v>
      </c>
      <c r="H1003" t="str">
        <f t="shared" si="61"/>
        <v>Efe BABUR</v>
      </c>
      <c r="I1003" t="str">
        <f t="shared" si="62"/>
        <v>11K2 Metal Doğrama</v>
      </c>
      <c r="J1003" t="str">
        <f t="shared" si="63"/>
        <v>11K</v>
      </c>
    </row>
    <row r="1004" spans="1:10" x14ac:dyDescent="0.25">
      <c r="A1004" s="3">
        <v>36451679540</v>
      </c>
      <c r="B1004" s="3" t="s">
        <v>1106</v>
      </c>
      <c r="C1004" s="3" t="s">
        <v>12</v>
      </c>
      <c r="D1004" s="3" t="s">
        <v>218</v>
      </c>
      <c r="E1004" s="3">
        <v>11</v>
      </c>
      <c r="F1004" s="3" t="s">
        <v>1107</v>
      </c>
      <c r="G1004" s="4" t="str">
        <f t="shared" si="60"/>
        <v>79540</v>
      </c>
      <c r="H1004" t="str">
        <f t="shared" si="61"/>
        <v>Açelya BAYEZİT</v>
      </c>
      <c r="I1004" t="str">
        <f t="shared" si="62"/>
        <v>11K3 Muhasebe</v>
      </c>
      <c r="J1004" t="str">
        <f t="shared" si="63"/>
        <v>11K</v>
      </c>
    </row>
    <row r="1005" spans="1:10" x14ac:dyDescent="0.25">
      <c r="A1005" s="3">
        <v>48535245152</v>
      </c>
      <c r="B1005" s="3" t="s">
        <v>1108</v>
      </c>
      <c r="C1005" s="3" t="s">
        <v>12</v>
      </c>
      <c r="D1005" s="3" t="s">
        <v>218</v>
      </c>
      <c r="E1005" s="3">
        <v>11</v>
      </c>
      <c r="F1005" s="3" t="s">
        <v>1107</v>
      </c>
      <c r="G1005" s="4" t="str">
        <f t="shared" si="60"/>
        <v>45152</v>
      </c>
      <c r="H1005" t="str">
        <f t="shared" si="61"/>
        <v>Duru KÜÇÜK</v>
      </c>
      <c r="I1005" t="str">
        <f t="shared" si="62"/>
        <v>11K3 Muhasebe</v>
      </c>
      <c r="J1005" t="str">
        <f t="shared" si="63"/>
        <v>11K</v>
      </c>
    </row>
    <row r="1006" spans="1:10" x14ac:dyDescent="0.25">
      <c r="A1006" s="3">
        <v>48271293028</v>
      </c>
      <c r="B1006" s="3" t="s">
        <v>1109</v>
      </c>
      <c r="C1006" s="3" t="s">
        <v>12</v>
      </c>
      <c r="D1006" s="3" t="s">
        <v>218</v>
      </c>
      <c r="E1006" s="3">
        <v>11</v>
      </c>
      <c r="F1006" s="3" t="s">
        <v>1107</v>
      </c>
      <c r="G1006" s="4" t="str">
        <f t="shared" si="60"/>
        <v>93028</v>
      </c>
      <c r="H1006" t="str">
        <f t="shared" si="61"/>
        <v>Sevim Yaren TEZCAN</v>
      </c>
      <c r="I1006" t="str">
        <f t="shared" si="62"/>
        <v>11K3 Muhasebe</v>
      </c>
      <c r="J1006" t="str">
        <f t="shared" si="63"/>
        <v>11K</v>
      </c>
    </row>
    <row r="1007" spans="1:10" x14ac:dyDescent="0.25">
      <c r="A1007" s="3">
        <v>57610494422</v>
      </c>
      <c r="B1007" s="3" t="s">
        <v>1110</v>
      </c>
      <c r="C1007" s="3" t="s">
        <v>12</v>
      </c>
      <c r="D1007" s="3" t="s">
        <v>226</v>
      </c>
      <c r="E1007" s="3">
        <v>11</v>
      </c>
      <c r="F1007" s="3" t="s">
        <v>485</v>
      </c>
      <c r="G1007" s="4" t="str">
        <f t="shared" si="60"/>
        <v>94422</v>
      </c>
      <c r="H1007" t="str">
        <f t="shared" si="61"/>
        <v>Ahmet Serkan ÖZYÜRÜK</v>
      </c>
      <c r="I1007" t="str">
        <f t="shared" si="62"/>
        <v>11E2 Otomotiv Boya</v>
      </c>
      <c r="J1007" t="str">
        <f t="shared" si="63"/>
        <v>11E</v>
      </c>
    </row>
    <row r="1008" spans="1:10" x14ac:dyDescent="0.25">
      <c r="A1008" s="3">
        <v>10298467478</v>
      </c>
      <c r="B1008" s="3" t="s">
        <v>1111</v>
      </c>
      <c r="C1008" s="3" t="s">
        <v>898</v>
      </c>
      <c r="D1008" s="3" t="s">
        <v>226</v>
      </c>
      <c r="E1008" s="3">
        <v>11</v>
      </c>
      <c r="F1008" s="3" t="s">
        <v>485</v>
      </c>
      <c r="G1008" s="4" t="str">
        <f t="shared" si="60"/>
        <v>67478</v>
      </c>
      <c r="H1008" t="str">
        <f t="shared" si="61"/>
        <v>Baran AKÇAKOCA</v>
      </c>
      <c r="I1008" t="str">
        <f t="shared" si="62"/>
        <v>11E2 Otomotiv Boya</v>
      </c>
      <c r="J1008" t="str">
        <f t="shared" si="63"/>
        <v>11E</v>
      </c>
    </row>
    <row r="1009" spans="1:10" x14ac:dyDescent="0.25">
      <c r="A1009" s="3">
        <v>49282541566</v>
      </c>
      <c r="B1009" s="3" t="s">
        <v>1033</v>
      </c>
      <c r="C1009" s="3" t="s">
        <v>12</v>
      </c>
      <c r="D1009" s="3" t="s">
        <v>226</v>
      </c>
      <c r="E1009" s="3">
        <v>11</v>
      </c>
      <c r="F1009" s="3" t="s">
        <v>485</v>
      </c>
      <c r="G1009" s="4" t="str">
        <f t="shared" si="60"/>
        <v>41566</v>
      </c>
      <c r="H1009" t="str">
        <f t="shared" si="61"/>
        <v>Delil EREN</v>
      </c>
      <c r="I1009" t="str">
        <f t="shared" si="62"/>
        <v>11E2 Otomotiv Boya</v>
      </c>
      <c r="J1009" t="str">
        <f t="shared" si="63"/>
        <v>11E</v>
      </c>
    </row>
    <row r="1010" spans="1:10" x14ac:dyDescent="0.25">
      <c r="A1010" s="3">
        <v>11837849090</v>
      </c>
      <c r="B1010" s="3" t="s">
        <v>1112</v>
      </c>
      <c r="C1010" s="3" t="s">
        <v>12</v>
      </c>
      <c r="D1010" s="3" t="s">
        <v>226</v>
      </c>
      <c r="E1010" s="3">
        <v>11</v>
      </c>
      <c r="F1010" s="3" t="s">
        <v>485</v>
      </c>
      <c r="G1010" s="4" t="str">
        <f t="shared" si="60"/>
        <v>49090</v>
      </c>
      <c r="H1010" t="str">
        <f t="shared" si="61"/>
        <v>İlyas AYDIN</v>
      </c>
      <c r="I1010" t="str">
        <f t="shared" si="62"/>
        <v>11E2 Otomotiv Boya</v>
      </c>
      <c r="J1010" t="str">
        <f t="shared" si="63"/>
        <v>11E</v>
      </c>
    </row>
    <row r="1011" spans="1:10" x14ac:dyDescent="0.25">
      <c r="A1011" s="3">
        <v>35957044906</v>
      </c>
      <c r="B1011" s="3" t="s">
        <v>1113</v>
      </c>
      <c r="C1011" s="3" t="s">
        <v>12</v>
      </c>
      <c r="D1011" s="3" t="s">
        <v>226</v>
      </c>
      <c r="E1011" s="3">
        <v>11</v>
      </c>
      <c r="F1011" s="3" t="s">
        <v>485</v>
      </c>
      <c r="G1011" s="4" t="str">
        <f t="shared" si="60"/>
        <v>44906</v>
      </c>
      <c r="H1011" t="str">
        <f t="shared" si="61"/>
        <v>Jiyan AY</v>
      </c>
      <c r="I1011" t="str">
        <f t="shared" si="62"/>
        <v>11E2 Otomotiv Boya</v>
      </c>
      <c r="J1011" t="str">
        <f t="shared" si="63"/>
        <v>11E</v>
      </c>
    </row>
    <row r="1012" spans="1:10" x14ac:dyDescent="0.25">
      <c r="A1012" s="3">
        <v>60160544400</v>
      </c>
      <c r="B1012" s="3" t="s">
        <v>1114</v>
      </c>
      <c r="C1012" s="3" t="s">
        <v>898</v>
      </c>
      <c r="D1012" s="3" t="s">
        <v>226</v>
      </c>
      <c r="E1012" s="3">
        <v>11</v>
      </c>
      <c r="F1012" s="3" t="s">
        <v>485</v>
      </c>
      <c r="G1012" s="4" t="str">
        <f t="shared" si="60"/>
        <v>44400</v>
      </c>
      <c r="H1012" t="str">
        <f t="shared" si="61"/>
        <v>Mehmet EKİCİ</v>
      </c>
      <c r="I1012" t="str">
        <f t="shared" si="62"/>
        <v>11E2 Otomotiv Boya</v>
      </c>
      <c r="J1012" t="str">
        <f t="shared" si="63"/>
        <v>11E</v>
      </c>
    </row>
    <row r="1013" spans="1:10" x14ac:dyDescent="0.25">
      <c r="A1013" s="3">
        <v>17438602270</v>
      </c>
      <c r="B1013" s="3" t="s">
        <v>1115</v>
      </c>
      <c r="C1013" s="3" t="s">
        <v>12</v>
      </c>
      <c r="D1013" s="3" t="s">
        <v>231</v>
      </c>
      <c r="E1013" s="3">
        <v>11</v>
      </c>
      <c r="F1013" s="3" t="s">
        <v>17</v>
      </c>
      <c r="G1013" s="4" t="str">
        <f t="shared" si="60"/>
        <v>02270</v>
      </c>
      <c r="H1013" t="str">
        <f t="shared" si="61"/>
        <v>Ahmet Can YILMAZ</v>
      </c>
      <c r="I1013" t="str">
        <f t="shared" si="62"/>
        <v>11G1 Otomotiv Elektrikçiliği</v>
      </c>
      <c r="J1013" t="str">
        <f t="shared" si="63"/>
        <v>11G</v>
      </c>
    </row>
    <row r="1014" spans="1:10" x14ac:dyDescent="0.25">
      <c r="A1014" s="3">
        <v>53131412594</v>
      </c>
      <c r="B1014" s="3" t="s">
        <v>1116</v>
      </c>
      <c r="C1014" s="3" t="s">
        <v>12</v>
      </c>
      <c r="D1014" s="3" t="s">
        <v>231</v>
      </c>
      <c r="E1014" s="3">
        <v>11</v>
      </c>
      <c r="F1014" s="3" t="s">
        <v>17</v>
      </c>
      <c r="G1014" s="4" t="str">
        <f t="shared" si="60"/>
        <v>12594</v>
      </c>
      <c r="H1014" t="str">
        <f t="shared" si="61"/>
        <v>Ayberk YAŞLI</v>
      </c>
      <c r="I1014" t="str">
        <f t="shared" si="62"/>
        <v>11G1 Otomotiv Elektrikçiliği</v>
      </c>
      <c r="J1014" t="str">
        <f t="shared" si="63"/>
        <v>11G</v>
      </c>
    </row>
    <row r="1015" spans="1:10" x14ac:dyDescent="0.25">
      <c r="A1015" s="3">
        <v>63292385200</v>
      </c>
      <c r="B1015" s="3" t="s">
        <v>1117</v>
      </c>
      <c r="C1015" s="3" t="s">
        <v>12</v>
      </c>
      <c r="D1015" s="3" t="s">
        <v>231</v>
      </c>
      <c r="E1015" s="3">
        <v>11</v>
      </c>
      <c r="F1015" s="3" t="s">
        <v>17</v>
      </c>
      <c r="G1015" s="4" t="str">
        <f t="shared" si="60"/>
        <v>85200</v>
      </c>
      <c r="H1015" t="str">
        <f t="shared" si="61"/>
        <v>Berat Emin BİNGÖL</v>
      </c>
      <c r="I1015" t="str">
        <f t="shared" si="62"/>
        <v>11G1 Otomotiv Elektrikçiliği</v>
      </c>
      <c r="J1015" t="str">
        <f t="shared" si="63"/>
        <v>11G</v>
      </c>
    </row>
    <row r="1016" spans="1:10" x14ac:dyDescent="0.25">
      <c r="A1016" s="3">
        <v>56512300114</v>
      </c>
      <c r="B1016" s="3" t="s">
        <v>1118</v>
      </c>
      <c r="C1016" s="3" t="s">
        <v>12</v>
      </c>
      <c r="D1016" s="3" t="s">
        <v>231</v>
      </c>
      <c r="E1016" s="3">
        <v>11</v>
      </c>
      <c r="F1016" s="3" t="s">
        <v>17</v>
      </c>
      <c r="G1016" s="4" t="str">
        <f t="shared" si="60"/>
        <v>00114</v>
      </c>
      <c r="H1016" t="str">
        <f t="shared" si="61"/>
        <v>Hüseyin KUŞCU</v>
      </c>
      <c r="I1016" t="str">
        <f t="shared" si="62"/>
        <v>11G1 Otomotiv Elektrikçiliği</v>
      </c>
      <c r="J1016" t="str">
        <f t="shared" si="63"/>
        <v>11G</v>
      </c>
    </row>
    <row r="1017" spans="1:10" x14ac:dyDescent="0.25">
      <c r="A1017" s="3">
        <v>28868221962</v>
      </c>
      <c r="B1017" s="3" t="s">
        <v>1119</v>
      </c>
      <c r="C1017" s="3" t="s">
        <v>12</v>
      </c>
      <c r="D1017" s="3" t="s">
        <v>231</v>
      </c>
      <c r="E1017" s="3">
        <v>11</v>
      </c>
      <c r="F1017" s="3" t="s">
        <v>17</v>
      </c>
      <c r="G1017" s="4" t="str">
        <f t="shared" si="60"/>
        <v>21962</v>
      </c>
      <c r="H1017" t="str">
        <f t="shared" si="61"/>
        <v>Olcay PAKSOY</v>
      </c>
      <c r="I1017" t="str">
        <f t="shared" si="62"/>
        <v>11G1 Otomotiv Elektrikçiliği</v>
      </c>
      <c r="J1017" t="str">
        <f t="shared" si="63"/>
        <v>11G</v>
      </c>
    </row>
    <row r="1018" spans="1:10" x14ac:dyDescent="0.25">
      <c r="A1018" s="3">
        <v>11383627494</v>
      </c>
      <c r="B1018" s="3" t="s">
        <v>1120</v>
      </c>
      <c r="C1018" s="3" t="s">
        <v>12</v>
      </c>
      <c r="D1018" s="3" t="s">
        <v>231</v>
      </c>
      <c r="E1018" s="3">
        <v>11</v>
      </c>
      <c r="F1018" s="3" t="s">
        <v>17</v>
      </c>
      <c r="G1018" s="4" t="str">
        <f t="shared" si="60"/>
        <v>27494</v>
      </c>
      <c r="H1018" t="str">
        <f t="shared" si="61"/>
        <v>Ramazan ATICI</v>
      </c>
      <c r="I1018" t="str">
        <f t="shared" si="62"/>
        <v>11G1 Otomotiv Elektrikçiliği</v>
      </c>
      <c r="J1018" t="str">
        <f t="shared" si="63"/>
        <v>11G</v>
      </c>
    </row>
    <row r="1019" spans="1:10" x14ac:dyDescent="0.25">
      <c r="A1019" s="3">
        <v>10047214728</v>
      </c>
      <c r="B1019" s="3" t="s">
        <v>1121</v>
      </c>
      <c r="C1019" s="3" t="s">
        <v>12</v>
      </c>
      <c r="D1019" s="3" t="s">
        <v>240</v>
      </c>
      <c r="E1019" s="3">
        <v>11</v>
      </c>
      <c r="F1019" s="3" t="s">
        <v>92</v>
      </c>
      <c r="G1019" s="4" t="str">
        <f t="shared" si="60"/>
        <v>14728</v>
      </c>
      <c r="H1019" t="str">
        <f t="shared" si="61"/>
        <v>Abdulkadir YAĞIZ</v>
      </c>
      <c r="I1019" t="str">
        <f t="shared" si="62"/>
        <v>11E Otomotiv Elektromekanik</v>
      </c>
      <c r="J1019" t="str">
        <f t="shared" si="63"/>
        <v>11E</v>
      </c>
    </row>
    <row r="1020" spans="1:10" x14ac:dyDescent="0.25">
      <c r="A1020" s="3">
        <v>37397302554</v>
      </c>
      <c r="B1020" s="3" t="s">
        <v>1122</v>
      </c>
      <c r="C1020" s="3" t="s">
        <v>12</v>
      </c>
      <c r="D1020" s="3" t="s">
        <v>240</v>
      </c>
      <c r="E1020" s="3">
        <v>11</v>
      </c>
      <c r="F1020" s="3" t="s">
        <v>92</v>
      </c>
      <c r="G1020" s="4" t="str">
        <f t="shared" si="60"/>
        <v>02554</v>
      </c>
      <c r="H1020" t="str">
        <f t="shared" si="61"/>
        <v>Abdullah Samet BEKDAŞ</v>
      </c>
      <c r="I1020" t="str">
        <f t="shared" si="62"/>
        <v>11E Otomotiv Elektromekanik</v>
      </c>
      <c r="J1020" t="str">
        <f t="shared" si="63"/>
        <v>11E</v>
      </c>
    </row>
    <row r="1021" spans="1:10" x14ac:dyDescent="0.25">
      <c r="A1021" s="3">
        <v>13598730792</v>
      </c>
      <c r="B1021" s="3" t="s">
        <v>1123</v>
      </c>
      <c r="C1021" s="3" t="s">
        <v>12</v>
      </c>
      <c r="D1021" s="3" t="s">
        <v>240</v>
      </c>
      <c r="E1021" s="3">
        <v>11</v>
      </c>
      <c r="F1021" s="3" t="s">
        <v>92</v>
      </c>
      <c r="G1021" s="4" t="str">
        <f t="shared" si="60"/>
        <v>30792</v>
      </c>
      <c r="H1021" t="str">
        <f t="shared" si="61"/>
        <v>Adnan GÖKÇEBAŞ</v>
      </c>
      <c r="I1021" t="str">
        <f t="shared" si="62"/>
        <v>11E Otomotiv Elektromekanik</v>
      </c>
      <c r="J1021" t="str">
        <f t="shared" si="63"/>
        <v>11E</v>
      </c>
    </row>
    <row r="1022" spans="1:10" x14ac:dyDescent="0.25">
      <c r="A1022" s="3">
        <v>14180711014</v>
      </c>
      <c r="B1022" s="3" t="s">
        <v>1124</v>
      </c>
      <c r="C1022" s="3" t="s">
        <v>12</v>
      </c>
      <c r="D1022" s="3" t="s">
        <v>240</v>
      </c>
      <c r="E1022" s="3">
        <v>11</v>
      </c>
      <c r="F1022" s="3" t="s">
        <v>166</v>
      </c>
      <c r="G1022" s="4" t="str">
        <f t="shared" si="60"/>
        <v>11014</v>
      </c>
      <c r="H1022" t="str">
        <f t="shared" si="61"/>
        <v>Ahmet KELEŞ</v>
      </c>
      <c r="I1022" t="str">
        <f t="shared" si="62"/>
        <v>11F Otomotiv Elektromekanik</v>
      </c>
      <c r="J1022" t="str">
        <f t="shared" si="63"/>
        <v>11F</v>
      </c>
    </row>
    <row r="1023" spans="1:10" x14ac:dyDescent="0.25">
      <c r="A1023" s="3">
        <v>15759026386</v>
      </c>
      <c r="B1023" s="3" t="s">
        <v>1125</v>
      </c>
      <c r="C1023" s="3" t="s">
        <v>12</v>
      </c>
      <c r="D1023" s="3" t="s">
        <v>240</v>
      </c>
      <c r="E1023" s="3">
        <v>11</v>
      </c>
      <c r="F1023" s="3" t="s">
        <v>166</v>
      </c>
      <c r="G1023" s="4" t="str">
        <f t="shared" si="60"/>
        <v>26386</v>
      </c>
      <c r="H1023" t="str">
        <f t="shared" si="61"/>
        <v>Ahmet Şafak KANAT</v>
      </c>
      <c r="I1023" t="str">
        <f t="shared" si="62"/>
        <v>11F Otomotiv Elektromekanik</v>
      </c>
      <c r="J1023" t="str">
        <f t="shared" si="63"/>
        <v>11F</v>
      </c>
    </row>
    <row r="1024" spans="1:10" x14ac:dyDescent="0.25">
      <c r="A1024" s="3">
        <v>47056293376</v>
      </c>
      <c r="B1024" s="3" t="s">
        <v>1126</v>
      </c>
      <c r="C1024" s="3" t="s">
        <v>12</v>
      </c>
      <c r="D1024" s="3" t="s">
        <v>240</v>
      </c>
      <c r="E1024" s="3">
        <v>11</v>
      </c>
      <c r="F1024" s="3" t="s">
        <v>92</v>
      </c>
      <c r="G1024" s="4" t="str">
        <f t="shared" si="60"/>
        <v>93376</v>
      </c>
      <c r="H1024" t="str">
        <f t="shared" si="61"/>
        <v>Ahmet YİĞİT</v>
      </c>
      <c r="I1024" t="str">
        <f t="shared" si="62"/>
        <v>11E Otomotiv Elektromekanik</v>
      </c>
      <c r="J1024" t="str">
        <f t="shared" si="63"/>
        <v>11E</v>
      </c>
    </row>
    <row r="1025" spans="1:10" x14ac:dyDescent="0.25">
      <c r="A1025" s="3">
        <v>56047027944</v>
      </c>
      <c r="B1025" s="3" t="s">
        <v>1127</v>
      </c>
      <c r="C1025" s="3" t="s">
        <v>12</v>
      </c>
      <c r="D1025" s="3" t="s">
        <v>240</v>
      </c>
      <c r="E1025" s="3">
        <v>11</v>
      </c>
      <c r="F1025" s="3" t="s">
        <v>92</v>
      </c>
      <c r="G1025" s="4" t="str">
        <f t="shared" si="60"/>
        <v>27944</v>
      </c>
      <c r="H1025" t="str">
        <f t="shared" si="61"/>
        <v>Ahmetcan BAYAR</v>
      </c>
      <c r="I1025" t="str">
        <f t="shared" si="62"/>
        <v>11E Otomotiv Elektromekanik</v>
      </c>
      <c r="J1025" t="str">
        <f t="shared" si="63"/>
        <v>11E</v>
      </c>
    </row>
    <row r="1026" spans="1:10" x14ac:dyDescent="0.25">
      <c r="A1026" s="3">
        <v>54010010382</v>
      </c>
      <c r="B1026" s="3" t="s">
        <v>1128</v>
      </c>
      <c r="C1026" s="3" t="s">
        <v>12</v>
      </c>
      <c r="D1026" s="3" t="s">
        <v>240</v>
      </c>
      <c r="E1026" s="3">
        <v>11</v>
      </c>
      <c r="F1026" s="3" t="s">
        <v>92</v>
      </c>
      <c r="G1026" s="4" t="str">
        <f t="shared" si="60"/>
        <v>10382</v>
      </c>
      <c r="H1026" t="str">
        <f t="shared" si="61"/>
        <v>Ali Erkut GÜZEL</v>
      </c>
      <c r="I1026" t="str">
        <f t="shared" si="62"/>
        <v>11E Otomotiv Elektromekanik</v>
      </c>
      <c r="J1026" t="str">
        <f t="shared" si="63"/>
        <v>11E</v>
      </c>
    </row>
    <row r="1027" spans="1:10" x14ac:dyDescent="0.25">
      <c r="A1027" s="3">
        <v>61564131906</v>
      </c>
      <c r="B1027" s="3" t="s">
        <v>1129</v>
      </c>
      <c r="C1027" s="3" t="s">
        <v>12</v>
      </c>
      <c r="D1027" s="3" t="s">
        <v>240</v>
      </c>
      <c r="E1027" s="3">
        <v>11</v>
      </c>
      <c r="F1027" s="3" t="s">
        <v>166</v>
      </c>
      <c r="G1027" s="4" t="str">
        <f t="shared" si="60"/>
        <v>31906</v>
      </c>
      <c r="H1027" t="str">
        <f t="shared" si="61"/>
        <v>Alperen YAMAN</v>
      </c>
      <c r="I1027" t="str">
        <f t="shared" si="62"/>
        <v>11F Otomotiv Elektromekanik</v>
      </c>
      <c r="J1027" t="str">
        <f t="shared" si="63"/>
        <v>11F</v>
      </c>
    </row>
    <row r="1028" spans="1:10" x14ac:dyDescent="0.25">
      <c r="A1028" s="3">
        <v>15191837724</v>
      </c>
      <c r="B1028" s="3" t="s">
        <v>97</v>
      </c>
      <c r="C1028" s="3" t="s">
        <v>12</v>
      </c>
      <c r="D1028" s="3" t="s">
        <v>240</v>
      </c>
      <c r="E1028" s="3">
        <v>11</v>
      </c>
      <c r="F1028" s="3" t="s">
        <v>166</v>
      </c>
      <c r="G1028" s="4" t="str">
        <f t="shared" si="60"/>
        <v>37724</v>
      </c>
      <c r="H1028" t="str">
        <f t="shared" si="61"/>
        <v>Arda ALTUN</v>
      </c>
      <c r="I1028" t="str">
        <f t="shared" si="62"/>
        <v>11F Otomotiv Elektromekanik</v>
      </c>
      <c r="J1028" t="str">
        <f t="shared" si="63"/>
        <v>11F</v>
      </c>
    </row>
    <row r="1029" spans="1:10" x14ac:dyDescent="0.25">
      <c r="A1029" s="3">
        <v>42445769562</v>
      </c>
      <c r="B1029" s="3" t="s">
        <v>1130</v>
      </c>
      <c r="C1029" s="3" t="s">
        <v>12</v>
      </c>
      <c r="D1029" s="3" t="s">
        <v>240</v>
      </c>
      <c r="E1029" s="3">
        <v>11</v>
      </c>
      <c r="F1029" s="3" t="s">
        <v>166</v>
      </c>
      <c r="G1029" s="4" t="str">
        <f t="shared" ref="G1029:G1092" si="64">RIGHT(A1029,5)</f>
        <v>69562</v>
      </c>
      <c r="H1029" t="str">
        <f t="shared" ref="H1029:H1092" si="65">B1029</f>
        <v>Azat ÇETİNKAYA</v>
      </c>
      <c r="I1029" t="str">
        <f t="shared" ref="I1029:I1092" si="66">CONCATENATE(E1029,F1029," ",D1029)</f>
        <v>11F Otomotiv Elektromekanik</v>
      </c>
      <c r="J1029" t="str">
        <f t="shared" ref="J1029:J1092" si="67">LEFT(I1029,3)</f>
        <v>11F</v>
      </c>
    </row>
    <row r="1030" spans="1:10" x14ac:dyDescent="0.25">
      <c r="A1030" s="3">
        <v>17891587084</v>
      </c>
      <c r="B1030" s="3" t="s">
        <v>1131</v>
      </c>
      <c r="C1030" s="3" t="s">
        <v>12</v>
      </c>
      <c r="D1030" s="3" t="s">
        <v>240</v>
      </c>
      <c r="E1030" s="3">
        <v>11</v>
      </c>
      <c r="F1030" s="3" t="s">
        <v>92</v>
      </c>
      <c r="G1030" s="4" t="str">
        <f t="shared" si="64"/>
        <v>87084</v>
      </c>
      <c r="H1030" t="str">
        <f t="shared" si="65"/>
        <v>Baki GÜNDOĞDU</v>
      </c>
      <c r="I1030" t="str">
        <f t="shared" si="66"/>
        <v>11E Otomotiv Elektromekanik</v>
      </c>
      <c r="J1030" t="str">
        <f t="shared" si="67"/>
        <v>11E</v>
      </c>
    </row>
    <row r="1031" spans="1:10" x14ac:dyDescent="0.25">
      <c r="A1031" s="3">
        <v>34541032114</v>
      </c>
      <c r="B1031" s="3" t="s">
        <v>1132</v>
      </c>
      <c r="C1031" s="3" t="s">
        <v>12</v>
      </c>
      <c r="D1031" s="3" t="s">
        <v>240</v>
      </c>
      <c r="E1031" s="3">
        <v>11</v>
      </c>
      <c r="F1031" s="3" t="s">
        <v>166</v>
      </c>
      <c r="G1031" s="4" t="str">
        <f t="shared" si="64"/>
        <v>32114</v>
      </c>
      <c r="H1031" t="str">
        <f t="shared" si="65"/>
        <v>Baran BAYTAR</v>
      </c>
      <c r="I1031" t="str">
        <f t="shared" si="66"/>
        <v>11F Otomotiv Elektromekanik</v>
      </c>
      <c r="J1031" t="str">
        <f t="shared" si="67"/>
        <v>11F</v>
      </c>
    </row>
    <row r="1032" spans="1:10" x14ac:dyDescent="0.25">
      <c r="A1032" s="3">
        <v>41713599054</v>
      </c>
      <c r="B1032" s="3" t="s">
        <v>1133</v>
      </c>
      <c r="C1032" s="3" t="s">
        <v>12</v>
      </c>
      <c r="D1032" s="3" t="s">
        <v>240</v>
      </c>
      <c r="E1032" s="3">
        <v>11</v>
      </c>
      <c r="F1032" s="3" t="s">
        <v>166</v>
      </c>
      <c r="G1032" s="4" t="str">
        <f t="shared" si="64"/>
        <v>99054</v>
      </c>
      <c r="H1032" t="str">
        <f t="shared" si="65"/>
        <v>Batın KILIÇ</v>
      </c>
      <c r="I1032" t="str">
        <f t="shared" si="66"/>
        <v>11F Otomotiv Elektromekanik</v>
      </c>
      <c r="J1032" t="str">
        <f t="shared" si="67"/>
        <v>11F</v>
      </c>
    </row>
    <row r="1033" spans="1:10" x14ac:dyDescent="0.25">
      <c r="A1033" s="3">
        <v>22487434284</v>
      </c>
      <c r="B1033" s="3" t="s">
        <v>1134</v>
      </c>
      <c r="C1033" s="3" t="s">
        <v>12</v>
      </c>
      <c r="D1033" s="3" t="s">
        <v>240</v>
      </c>
      <c r="E1033" s="3">
        <v>11</v>
      </c>
      <c r="F1033" s="3" t="s">
        <v>166</v>
      </c>
      <c r="G1033" s="4" t="str">
        <f t="shared" si="64"/>
        <v>34284</v>
      </c>
      <c r="H1033" t="str">
        <f t="shared" si="65"/>
        <v>Bedirhan HACIOĞLU</v>
      </c>
      <c r="I1033" t="str">
        <f t="shared" si="66"/>
        <v>11F Otomotiv Elektromekanik</v>
      </c>
      <c r="J1033" t="str">
        <f t="shared" si="67"/>
        <v>11F</v>
      </c>
    </row>
    <row r="1034" spans="1:10" x14ac:dyDescent="0.25">
      <c r="A1034" s="3">
        <v>14315706434</v>
      </c>
      <c r="B1034" s="3" t="s">
        <v>1135</v>
      </c>
      <c r="C1034" s="3" t="s">
        <v>12</v>
      </c>
      <c r="D1034" s="3" t="s">
        <v>240</v>
      </c>
      <c r="E1034" s="3">
        <v>11</v>
      </c>
      <c r="F1034" s="3" t="s">
        <v>92</v>
      </c>
      <c r="G1034" s="4" t="str">
        <f t="shared" si="64"/>
        <v>06434</v>
      </c>
      <c r="H1034" t="str">
        <f t="shared" si="65"/>
        <v>Bedirhan KARAKAYA</v>
      </c>
      <c r="I1034" t="str">
        <f t="shared" si="66"/>
        <v>11E Otomotiv Elektromekanik</v>
      </c>
      <c r="J1034" t="str">
        <f t="shared" si="67"/>
        <v>11E</v>
      </c>
    </row>
    <row r="1035" spans="1:10" x14ac:dyDescent="0.25">
      <c r="A1035" s="3">
        <v>10530022878</v>
      </c>
      <c r="B1035" s="3" t="s">
        <v>1136</v>
      </c>
      <c r="C1035" s="3" t="s">
        <v>898</v>
      </c>
      <c r="D1035" s="3" t="s">
        <v>240</v>
      </c>
      <c r="E1035" s="3">
        <v>11</v>
      </c>
      <c r="F1035" s="3" t="s">
        <v>166</v>
      </c>
      <c r="G1035" s="4" t="str">
        <f t="shared" si="64"/>
        <v>22878</v>
      </c>
      <c r="H1035" t="str">
        <f t="shared" si="65"/>
        <v>Bedirhan SEVGİ</v>
      </c>
      <c r="I1035" t="str">
        <f t="shared" si="66"/>
        <v>11F Otomotiv Elektromekanik</v>
      </c>
      <c r="J1035" t="str">
        <f t="shared" si="67"/>
        <v>11F</v>
      </c>
    </row>
    <row r="1036" spans="1:10" x14ac:dyDescent="0.25">
      <c r="A1036" s="3">
        <v>20735531488</v>
      </c>
      <c r="B1036" s="3" t="s">
        <v>1137</v>
      </c>
      <c r="C1036" s="3" t="s">
        <v>12</v>
      </c>
      <c r="D1036" s="3" t="s">
        <v>240</v>
      </c>
      <c r="E1036" s="3">
        <v>11</v>
      </c>
      <c r="F1036" s="3" t="s">
        <v>92</v>
      </c>
      <c r="G1036" s="4" t="str">
        <f t="shared" si="64"/>
        <v>31488</v>
      </c>
      <c r="H1036" t="str">
        <f t="shared" si="65"/>
        <v>Bıhışt BOZKURT</v>
      </c>
      <c r="I1036" t="str">
        <f t="shared" si="66"/>
        <v>11E Otomotiv Elektromekanik</v>
      </c>
      <c r="J1036" t="str">
        <f t="shared" si="67"/>
        <v>11E</v>
      </c>
    </row>
    <row r="1037" spans="1:10" x14ac:dyDescent="0.25">
      <c r="A1037" s="3">
        <v>26264308348</v>
      </c>
      <c r="B1037" s="3" t="s">
        <v>1138</v>
      </c>
      <c r="C1037" s="3" t="s">
        <v>12</v>
      </c>
      <c r="D1037" s="3" t="s">
        <v>240</v>
      </c>
      <c r="E1037" s="3">
        <v>11</v>
      </c>
      <c r="F1037" s="3" t="s">
        <v>166</v>
      </c>
      <c r="G1037" s="4" t="str">
        <f t="shared" si="64"/>
        <v>08348</v>
      </c>
      <c r="H1037" t="str">
        <f t="shared" si="65"/>
        <v>Bilal Rojhat AKİNCİ</v>
      </c>
      <c r="I1037" t="str">
        <f t="shared" si="66"/>
        <v>11F Otomotiv Elektromekanik</v>
      </c>
      <c r="J1037" t="str">
        <f t="shared" si="67"/>
        <v>11F</v>
      </c>
    </row>
    <row r="1038" spans="1:10" x14ac:dyDescent="0.25">
      <c r="A1038" s="3">
        <v>11117656974</v>
      </c>
      <c r="B1038" s="3" t="s">
        <v>1139</v>
      </c>
      <c r="C1038" s="3" t="s">
        <v>12</v>
      </c>
      <c r="D1038" s="3" t="s">
        <v>240</v>
      </c>
      <c r="E1038" s="3">
        <v>11</v>
      </c>
      <c r="F1038" s="3" t="s">
        <v>92</v>
      </c>
      <c r="G1038" s="4" t="str">
        <f t="shared" si="64"/>
        <v>56974</v>
      </c>
      <c r="H1038" t="str">
        <f t="shared" si="65"/>
        <v>Bora ÖZ</v>
      </c>
      <c r="I1038" t="str">
        <f t="shared" si="66"/>
        <v>11E Otomotiv Elektromekanik</v>
      </c>
      <c r="J1038" t="str">
        <f t="shared" si="67"/>
        <v>11E</v>
      </c>
    </row>
    <row r="1039" spans="1:10" x14ac:dyDescent="0.25">
      <c r="A1039" s="3">
        <v>49135545512</v>
      </c>
      <c r="B1039" s="3" t="s">
        <v>1140</v>
      </c>
      <c r="C1039" s="3" t="s">
        <v>12</v>
      </c>
      <c r="D1039" s="3" t="s">
        <v>240</v>
      </c>
      <c r="E1039" s="3">
        <v>11</v>
      </c>
      <c r="F1039" s="3" t="s">
        <v>92</v>
      </c>
      <c r="G1039" s="4" t="str">
        <f t="shared" si="64"/>
        <v>45512</v>
      </c>
      <c r="H1039" t="str">
        <f t="shared" si="65"/>
        <v>Burak KUBUR</v>
      </c>
      <c r="I1039" t="str">
        <f t="shared" si="66"/>
        <v>11E Otomotiv Elektromekanik</v>
      </c>
      <c r="J1039" t="str">
        <f t="shared" si="67"/>
        <v>11E</v>
      </c>
    </row>
    <row r="1040" spans="1:10" x14ac:dyDescent="0.25">
      <c r="A1040" s="3">
        <v>64303039952</v>
      </c>
      <c r="B1040" s="3" t="s">
        <v>1141</v>
      </c>
      <c r="C1040" s="3" t="s">
        <v>898</v>
      </c>
      <c r="D1040" s="3" t="s">
        <v>240</v>
      </c>
      <c r="E1040" s="3">
        <v>11</v>
      </c>
      <c r="F1040" s="3" t="s">
        <v>166</v>
      </c>
      <c r="G1040" s="4" t="str">
        <f t="shared" si="64"/>
        <v>39952</v>
      </c>
      <c r="H1040" t="str">
        <f t="shared" si="65"/>
        <v>Bünyamin BÜTÜN</v>
      </c>
      <c r="I1040" t="str">
        <f t="shared" si="66"/>
        <v>11F Otomotiv Elektromekanik</v>
      </c>
      <c r="J1040" t="str">
        <f t="shared" si="67"/>
        <v>11F</v>
      </c>
    </row>
    <row r="1041" spans="1:10" x14ac:dyDescent="0.25">
      <c r="A1041" s="3">
        <v>21152479292</v>
      </c>
      <c r="B1041" s="3" t="s">
        <v>1142</v>
      </c>
      <c r="C1041" s="3" t="s">
        <v>12</v>
      </c>
      <c r="D1041" s="3" t="s">
        <v>240</v>
      </c>
      <c r="E1041" s="3">
        <v>11</v>
      </c>
      <c r="F1041" s="3" t="s">
        <v>166</v>
      </c>
      <c r="G1041" s="4" t="str">
        <f t="shared" si="64"/>
        <v>79292</v>
      </c>
      <c r="H1041" t="str">
        <f t="shared" si="65"/>
        <v>Cem GÜLEÇ</v>
      </c>
      <c r="I1041" t="str">
        <f t="shared" si="66"/>
        <v>11F Otomotiv Elektromekanik</v>
      </c>
      <c r="J1041" t="str">
        <f t="shared" si="67"/>
        <v>11F</v>
      </c>
    </row>
    <row r="1042" spans="1:10" x14ac:dyDescent="0.25">
      <c r="A1042" s="3">
        <v>33383070872</v>
      </c>
      <c r="B1042" s="3" t="s">
        <v>1143</v>
      </c>
      <c r="C1042" s="3" t="s">
        <v>12</v>
      </c>
      <c r="D1042" s="3" t="s">
        <v>240</v>
      </c>
      <c r="E1042" s="3">
        <v>11</v>
      </c>
      <c r="F1042" s="3" t="s">
        <v>92</v>
      </c>
      <c r="G1042" s="4" t="str">
        <f t="shared" si="64"/>
        <v>70872</v>
      </c>
      <c r="H1042" t="str">
        <f t="shared" si="65"/>
        <v>Çağrı SAKİNAK</v>
      </c>
      <c r="I1042" t="str">
        <f t="shared" si="66"/>
        <v>11E Otomotiv Elektromekanik</v>
      </c>
      <c r="J1042" t="str">
        <f t="shared" si="67"/>
        <v>11E</v>
      </c>
    </row>
    <row r="1043" spans="1:10" x14ac:dyDescent="0.25">
      <c r="A1043" s="3">
        <v>52657428324</v>
      </c>
      <c r="B1043" s="3" t="s">
        <v>1144</v>
      </c>
      <c r="C1043" s="3" t="s">
        <v>12</v>
      </c>
      <c r="D1043" s="3" t="s">
        <v>240</v>
      </c>
      <c r="E1043" s="3">
        <v>11</v>
      </c>
      <c r="F1043" s="3" t="s">
        <v>92</v>
      </c>
      <c r="G1043" s="4" t="str">
        <f t="shared" si="64"/>
        <v>28324</v>
      </c>
      <c r="H1043" t="str">
        <f t="shared" si="65"/>
        <v>Devran Ege ELİBOL</v>
      </c>
      <c r="I1043" t="str">
        <f t="shared" si="66"/>
        <v>11E Otomotiv Elektromekanik</v>
      </c>
      <c r="J1043" t="str">
        <f t="shared" si="67"/>
        <v>11E</v>
      </c>
    </row>
    <row r="1044" spans="1:10" x14ac:dyDescent="0.25">
      <c r="A1044" s="3">
        <v>57310272962</v>
      </c>
      <c r="B1044" s="3" t="s">
        <v>1145</v>
      </c>
      <c r="C1044" s="3" t="s">
        <v>12</v>
      </c>
      <c r="D1044" s="3" t="s">
        <v>240</v>
      </c>
      <c r="E1044" s="3">
        <v>11</v>
      </c>
      <c r="F1044" s="3" t="s">
        <v>92</v>
      </c>
      <c r="G1044" s="4" t="str">
        <f t="shared" si="64"/>
        <v>72962</v>
      </c>
      <c r="H1044" t="str">
        <f t="shared" si="65"/>
        <v>Devrim DÜNDAR</v>
      </c>
      <c r="I1044" t="str">
        <f t="shared" si="66"/>
        <v>11E Otomotiv Elektromekanik</v>
      </c>
      <c r="J1044" t="str">
        <f t="shared" si="67"/>
        <v>11E</v>
      </c>
    </row>
    <row r="1045" spans="1:10" x14ac:dyDescent="0.25">
      <c r="A1045" s="3">
        <v>41518799598</v>
      </c>
      <c r="B1045" s="3" t="s">
        <v>1146</v>
      </c>
      <c r="C1045" s="3" t="s">
        <v>12</v>
      </c>
      <c r="D1045" s="3" t="s">
        <v>240</v>
      </c>
      <c r="E1045" s="3">
        <v>11</v>
      </c>
      <c r="F1045" s="3" t="s">
        <v>92</v>
      </c>
      <c r="G1045" s="4" t="str">
        <f t="shared" si="64"/>
        <v>99598</v>
      </c>
      <c r="H1045" t="str">
        <f t="shared" si="65"/>
        <v>Duhan ÜNLÜTÜRK</v>
      </c>
      <c r="I1045" t="str">
        <f t="shared" si="66"/>
        <v>11E Otomotiv Elektromekanik</v>
      </c>
      <c r="J1045" t="str">
        <f t="shared" si="67"/>
        <v>11E</v>
      </c>
    </row>
    <row r="1046" spans="1:10" x14ac:dyDescent="0.25">
      <c r="A1046" s="3">
        <v>39103880080</v>
      </c>
      <c r="B1046" s="3" t="s">
        <v>1147</v>
      </c>
      <c r="C1046" s="3" t="s">
        <v>12</v>
      </c>
      <c r="D1046" s="3" t="s">
        <v>240</v>
      </c>
      <c r="E1046" s="3">
        <v>11</v>
      </c>
      <c r="F1046" s="3" t="s">
        <v>166</v>
      </c>
      <c r="G1046" s="4" t="str">
        <f t="shared" si="64"/>
        <v>80080</v>
      </c>
      <c r="H1046" t="str">
        <f t="shared" si="65"/>
        <v>Egemen ERSEVEN</v>
      </c>
      <c r="I1046" t="str">
        <f t="shared" si="66"/>
        <v>11F Otomotiv Elektromekanik</v>
      </c>
      <c r="J1046" t="str">
        <f t="shared" si="67"/>
        <v>11F</v>
      </c>
    </row>
    <row r="1047" spans="1:10" x14ac:dyDescent="0.25">
      <c r="A1047" s="3">
        <v>16175724474</v>
      </c>
      <c r="B1047" s="3" t="s">
        <v>1148</v>
      </c>
      <c r="C1047" s="3" t="s">
        <v>12</v>
      </c>
      <c r="D1047" s="3" t="s">
        <v>240</v>
      </c>
      <c r="E1047" s="3">
        <v>11</v>
      </c>
      <c r="F1047" s="3" t="s">
        <v>92</v>
      </c>
      <c r="G1047" s="4" t="str">
        <f t="shared" si="64"/>
        <v>24474</v>
      </c>
      <c r="H1047" t="str">
        <f t="shared" si="65"/>
        <v>Emirhan AKAY</v>
      </c>
      <c r="I1047" t="str">
        <f t="shared" si="66"/>
        <v>11E Otomotiv Elektromekanik</v>
      </c>
      <c r="J1047" t="str">
        <f t="shared" si="67"/>
        <v>11E</v>
      </c>
    </row>
    <row r="1048" spans="1:10" x14ac:dyDescent="0.25">
      <c r="A1048" s="3">
        <v>39809052972</v>
      </c>
      <c r="B1048" s="3" t="s">
        <v>1149</v>
      </c>
      <c r="C1048" s="3" t="s">
        <v>12</v>
      </c>
      <c r="D1048" s="3" t="s">
        <v>240</v>
      </c>
      <c r="E1048" s="3">
        <v>11</v>
      </c>
      <c r="F1048" s="3" t="s">
        <v>92</v>
      </c>
      <c r="G1048" s="4" t="str">
        <f t="shared" si="64"/>
        <v>52972</v>
      </c>
      <c r="H1048" t="str">
        <f t="shared" si="65"/>
        <v>Emirhan ATAŞ</v>
      </c>
      <c r="I1048" t="str">
        <f t="shared" si="66"/>
        <v>11E Otomotiv Elektromekanik</v>
      </c>
      <c r="J1048" t="str">
        <f t="shared" si="67"/>
        <v>11E</v>
      </c>
    </row>
    <row r="1049" spans="1:10" x14ac:dyDescent="0.25">
      <c r="A1049" s="3">
        <v>38080914092</v>
      </c>
      <c r="B1049" s="3" t="s">
        <v>1150</v>
      </c>
      <c r="C1049" s="3" t="s">
        <v>12</v>
      </c>
      <c r="D1049" s="3" t="s">
        <v>240</v>
      </c>
      <c r="E1049" s="3">
        <v>11</v>
      </c>
      <c r="F1049" s="3" t="s">
        <v>166</v>
      </c>
      <c r="G1049" s="4" t="str">
        <f t="shared" si="64"/>
        <v>14092</v>
      </c>
      <c r="H1049" t="str">
        <f t="shared" si="65"/>
        <v>Emre DEMİR</v>
      </c>
      <c r="I1049" t="str">
        <f t="shared" si="66"/>
        <v>11F Otomotiv Elektromekanik</v>
      </c>
      <c r="J1049" t="str">
        <f t="shared" si="67"/>
        <v>11F</v>
      </c>
    </row>
    <row r="1050" spans="1:10" x14ac:dyDescent="0.25">
      <c r="A1050" s="3">
        <v>24569365202</v>
      </c>
      <c r="B1050" s="3" t="s">
        <v>1151</v>
      </c>
      <c r="C1050" s="3" t="s">
        <v>12</v>
      </c>
      <c r="D1050" s="3" t="s">
        <v>240</v>
      </c>
      <c r="E1050" s="3">
        <v>11</v>
      </c>
      <c r="F1050" s="3" t="s">
        <v>166</v>
      </c>
      <c r="G1050" s="4" t="str">
        <f t="shared" si="64"/>
        <v>65202</v>
      </c>
      <c r="H1050" t="str">
        <f t="shared" si="65"/>
        <v>Emre KIRCA</v>
      </c>
      <c r="I1050" t="str">
        <f t="shared" si="66"/>
        <v>11F Otomotiv Elektromekanik</v>
      </c>
      <c r="J1050" t="str">
        <f t="shared" si="67"/>
        <v>11F</v>
      </c>
    </row>
    <row r="1051" spans="1:10" x14ac:dyDescent="0.25">
      <c r="A1051" s="3">
        <v>46795623710</v>
      </c>
      <c r="B1051" s="3" t="s">
        <v>1152</v>
      </c>
      <c r="C1051" s="3" t="s">
        <v>12</v>
      </c>
      <c r="D1051" s="3" t="s">
        <v>240</v>
      </c>
      <c r="E1051" s="3">
        <v>11</v>
      </c>
      <c r="F1051" s="3" t="s">
        <v>92</v>
      </c>
      <c r="G1051" s="4" t="str">
        <f t="shared" si="64"/>
        <v>23710</v>
      </c>
      <c r="H1051" t="str">
        <f t="shared" si="65"/>
        <v>Enes TEKDEMİR</v>
      </c>
      <c r="I1051" t="str">
        <f t="shared" si="66"/>
        <v>11E Otomotiv Elektromekanik</v>
      </c>
      <c r="J1051" t="str">
        <f t="shared" si="67"/>
        <v>11E</v>
      </c>
    </row>
    <row r="1052" spans="1:10" x14ac:dyDescent="0.25">
      <c r="A1052" s="3">
        <v>50875165748</v>
      </c>
      <c r="B1052" s="3" t="s">
        <v>1153</v>
      </c>
      <c r="C1052" s="3" t="s">
        <v>12</v>
      </c>
      <c r="D1052" s="3" t="s">
        <v>240</v>
      </c>
      <c r="E1052" s="3">
        <v>11</v>
      </c>
      <c r="F1052" s="3" t="s">
        <v>92</v>
      </c>
      <c r="G1052" s="4" t="str">
        <f t="shared" si="64"/>
        <v>65748</v>
      </c>
      <c r="H1052" t="str">
        <f t="shared" si="65"/>
        <v>Furkan Emin ÖZDERE</v>
      </c>
      <c r="I1052" t="str">
        <f t="shared" si="66"/>
        <v>11E Otomotiv Elektromekanik</v>
      </c>
      <c r="J1052" t="str">
        <f t="shared" si="67"/>
        <v>11E</v>
      </c>
    </row>
    <row r="1053" spans="1:10" x14ac:dyDescent="0.25">
      <c r="A1053" s="3">
        <v>53542682678</v>
      </c>
      <c r="B1053" s="3" t="s">
        <v>1154</v>
      </c>
      <c r="C1053" s="3" t="s">
        <v>12</v>
      </c>
      <c r="D1053" s="3" t="s">
        <v>240</v>
      </c>
      <c r="E1053" s="3">
        <v>11</v>
      </c>
      <c r="F1053" s="3" t="s">
        <v>92</v>
      </c>
      <c r="G1053" s="4" t="str">
        <f t="shared" si="64"/>
        <v>82678</v>
      </c>
      <c r="H1053" t="str">
        <f t="shared" si="65"/>
        <v>Harun KAYALIK</v>
      </c>
      <c r="I1053" t="str">
        <f t="shared" si="66"/>
        <v>11E Otomotiv Elektromekanik</v>
      </c>
      <c r="J1053" t="str">
        <f t="shared" si="67"/>
        <v>11E</v>
      </c>
    </row>
    <row r="1054" spans="1:10" x14ac:dyDescent="0.25">
      <c r="A1054" s="3">
        <v>50932620524</v>
      </c>
      <c r="B1054" s="3" t="s">
        <v>1155</v>
      </c>
      <c r="C1054" s="3" t="s">
        <v>12</v>
      </c>
      <c r="D1054" s="3" t="s">
        <v>240</v>
      </c>
      <c r="E1054" s="3">
        <v>11</v>
      </c>
      <c r="F1054" s="3" t="s">
        <v>92</v>
      </c>
      <c r="G1054" s="4" t="str">
        <f t="shared" si="64"/>
        <v>20524</v>
      </c>
      <c r="H1054" t="str">
        <f t="shared" si="65"/>
        <v>Hasan ASLAN</v>
      </c>
      <c r="I1054" t="str">
        <f t="shared" si="66"/>
        <v>11E Otomotiv Elektromekanik</v>
      </c>
      <c r="J1054" t="str">
        <f t="shared" si="67"/>
        <v>11E</v>
      </c>
    </row>
    <row r="1055" spans="1:10" x14ac:dyDescent="0.25">
      <c r="A1055" s="3">
        <v>24920353176</v>
      </c>
      <c r="B1055" s="3" t="s">
        <v>1156</v>
      </c>
      <c r="C1055" s="3" t="s">
        <v>12</v>
      </c>
      <c r="D1055" s="3" t="s">
        <v>240</v>
      </c>
      <c r="E1055" s="3">
        <v>11</v>
      </c>
      <c r="F1055" s="3" t="s">
        <v>166</v>
      </c>
      <c r="G1055" s="4" t="str">
        <f t="shared" si="64"/>
        <v>53176</v>
      </c>
      <c r="H1055" t="str">
        <f t="shared" si="65"/>
        <v>Hasan Efe CİCİOĞLU</v>
      </c>
      <c r="I1055" t="str">
        <f t="shared" si="66"/>
        <v>11F Otomotiv Elektromekanik</v>
      </c>
      <c r="J1055" t="str">
        <f t="shared" si="67"/>
        <v>11F</v>
      </c>
    </row>
    <row r="1056" spans="1:10" x14ac:dyDescent="0.25">
      <c r="A1056" s="3">
        <v>36988950402</v>
      </c>
      <c r="B1056" s="3" t="s">
        <v>1157</v>
      </c>
      <c r="C1056" s="3" t="s">
        <v>12</v>
      </c>
      <c r="D1056" s="3" t="s">
        <v>240</v>
      </c>
      <c r="E1056" s="3">
        <v>11</v>
      </c>
      <c r="F1056" s="3" t="s">
        <v>166</v>
      </c>
      <c r="G1056" s="4" t="str">
        <f t="shared" si="64"/>
        <v>50402</v>
      </c>
      <c r="H1056" t="str">
        <f t="shared" si="65"/>
        <v>İsmail Buğra YÜREKLİ</v>
      </c>
      <c r="I1056" t="str">
        <f t="shared" si="66"/>
        <v>11F Otomotiv Elektromekanik</v>
      </c>
      <c r="J1056" t="str">
        <f t="shared" si="67"/>
        <v>11F</v>
      </c>
    </row>
    <row r="1057" spans="1:10" x14ac:dyDescent="0.25">
      <c r="A1057" s="3">
        <v>45943652794</v>
      </c>
      <c r="B1057" s="3" t="s">
        <v>1158</v>
      </c>
      <c r="C1057" s="3" t="s">
        <v>12</v>
      </c>
      <c r="D1057" s="3" t="s">
        <v>240</v>
      </c>
      <c r="E1057" s="3">
        <v>11</v>
      </c>
      <c r="F1057" s="3" t="s">
        <v>166</v>
      </c>
      <c r="G1057" s="4" t="str">
        <f t="shared" si="64"/>
        <v>52794</v>
      </c>
      <c r="H1057" t="str">
        <f t="shared" si="65"/>
        <v>Kaan Altay ÇOLAK</v>
      </c>
      <c r="I1057" t="str">
        <f t="shared" si="66"/>
        <v>11F Otomotiv Elektromekanik</v>
      </c>
      <c r="J1057" t="str">
        <f t="shared" si="67"/>
        <v>11F</v>
      </c>
    </row>
    <row r="1058" spans="1:10" x14ac:dyDescent="0.25">
      <c r="A1058" s="3">
        <v>30977334860</v>
      </c>
      <c r="B1058" s="3" t="s">
        <v>1159</v>
      </c>
      <c r="C1058" s="3" t="s">
        <v>12</v>
      </c>
      <c r="D1058" s="3" t="s">
        <v>240</v>
      </c>
      <c r="E1058" s="3">
        <v>11</v>
      </c>
      <c r="F1058" s="3" t="s">
        <v>92</v>
      </c>
      <c r="G1058" s="4" t="str">
        <f t="shared" si="64"/>
        <v>34860</v>
      </c>
      <c r="H1058" t="str">
        <f t="shared" si="65"/>
        <v>Kaan ENGES</v>
      </c>
      <c r="I1058" t="str">
        <f t="shared" si="66"/>
        <v>11E Otomotiv Elektromekanik</v>
      </c>
      <c r="J1058" t="str">
        <f t="shared" si="67"/>
        <v>11E</v>
      </c>
    </row>
    <row r="1059" spans="1:10" x14ac:dyDescent="0.25">
      <c r="A1059" s="3">
        <v>12048151002</v>
      </c>
      <c r="B1059" s="3" t="s">
        <v>1160</v>
      </c>
      <c r="C1059" s="3" t="s">
        <v>12</v>
      </c>
      <c r="D1059" s="3" t="s">
        <v>240</v>
      </c>
      <c r="E1059" s="3">
        <v>11</v>
      </c>
      <c r="F1059" s="3" t="s">
        <v>92</v>
      </c>
      <c r="G1059" s="4" t="str">
        <f t="shared" si="64"/>
        <v>51002</v>
      </c>
      <c r="H1059" t="str">
        <f t="shared" si="65"/>
        <v>Kadir GERÇEKER</v>
      </c>
      <c r="I1059" t="str">
        <f t="shared" si="66"/>
        <v>11E Otomotiv Elektromekanik</v>
      </c>
      <c r="J1059" t="str">
        <f t="shared" si="67"/>
        <v>11E</v>
      </c>
    </row>
    <row r="1060" spans="1:10" x14ac:dyDescent="0.25">
      <c r="A1060" s="3">
        <v>42319772926</v>
      </c>
      <c r="B1060" s="3" t="s">
        <v>1161</v>
      </c>
      <c r="C1060" s="3" t="s">
        <v>12</v>
      </c>
      <c r="D1060" s="3" t="s">
        <v>240</v>
      </c>
      <c r="E1060" s="3">
        <v>11</v>
      </c>
      <c r="F1060" s="3" t="s">
        <v>92</v>
      </c>
      <c r="G1060" s="4" t="str">
        <f t="shared" si="64"/>
        <v>72926</v>
      </c>
      <c r="H1060" t="str">
        <f t="shared" si="65"/>
        <v>Kadir YILDIZ</v>
      </c>
      <c r="I1060" t="str">
        <f t="shared" si="66"/>
        <v>11E Otomotiv Elektromekanik</v>
      </c>
      <c r="J1060" t="str">
        <f t="shared" si="67"/>
        <v>11E</v>
      </c>
    </row>
    <row r="1061" spans="1:10" x14ac:dyDescent="0.25">
      <c r="A1061" s="3">
        <v>24137619980</v>
      </c>
      <c r="B1061" s="3" t="s">
        <v>1162</v>
      </c>
      <c r="C1061" s="3" t="s">
        <v>12</v>
      </c>
      <c r="D1061" s="3" t="s">
        <v>240</v>
      </c>
      <c r="E1061" s="3">
        <v>11</v>
      </c>
      <c r="F1061" s="3" t="s">
        <v>92</v>
      </c>
      <c r="G1061" s="4" t="str">
        <f t="shared" si="64"/>
        <v>19980</v>
      </c>
      <c r="H1061" t="str">
        <f t="shared" si="65"/>
        <v>Mehmet Arda ELÇİ</v>
      </c>
      <c r="I1061" t="str">
        <f t="shared" si="66"/>
        <v>11E Otomotiv Elektromekanik</v>
      </c>
      <c r="J1061" t="str">
        <f t="shared" si="67"/>
        <v>11E</v>
      </c>
    </row>
    <row r="1062" spans="1:10" x14ac:dyDescent="0.25">
      <c r="A1062" s="3">
        <v>56956654422</v>
      </c>
      <c r="B1062" s="3" t="s">
        <v>1163</v>
      </c>
      <c r="C1062" s="3" t="s">
        <v>12</v>
      </c>
      <c r="D1062" s="3" t="s">
        <v>240</v>
      </c>
      <c r="E1062" s="3">
        <v>11</v>
      </c>
      <c r="F1062" s="3" t="s">
        <v>166</v>
      </c>
      <c r="G1062" s="4" t="str">
        <f t="shared" si="64"/>
        <v>54422</v>
      </c>
      <c r="H1062" t="str">
        <f t="shared" si="65"/>
        <v>Metin Eren DEMİRCİ</v>
      </c>
      <c r="I1062" t="str">
        <f t="shared" si="66"/>
        <v>11F Otomotiv Elektromekanik</v>
      </c>
      <c r="J1062" t="str">
        <f t="shared" si="67"/>
        <v>11F</v>
      </c>
    </row>
    <row r="1063" spans="1:10" x14ac:dyDescent="0.25">
      <c r="A1063" s="3">
        <v>21070073954</v>
      </c>
      <c r="B1063" s="3" t="s">
        <v>1164</v>
      </c>
      <c r="C1063" s="3" t="s">
        <v>12</v>
      </c>
      <c r="D1063" s="3" t="s">
        <v>240</v>
      </c>
      <c r="E1063" s="3">
        <v>11</v>
      </c>
      <c r="F1063" s="3" t="s">
        <v>166</v>
      </c>
      <c r="G1063" s="4" t="str">
        <f t="shared" si="64"/>
        <v>73954</v>
      </c>
      <c r="H1063" t="str">
        <f t="shared" si="65"/>
        <v>Muhammed Yasin PEKTEZEL</v>
      </c>
      <c r="I1063" t="str">
        <f t="shared" si="66"/>
        <v>11F Otomotiv Elektromekanik</v>
      </c>
      <c r="J1063" t="str">
        <f t="shared" si="67"/>
        <v>11F</v>
      </c>
    </row>
    <row r="1064" spans="1:10" x14ac:dyDescent="0.25">
      <c r="A1064" s="3">
        <v>36229976284</v>
      </c>
      <c r="B1064" s="3" t="s">
        <v>1165</v>
      </c>
      <c r="C1064" s="3" t="s">
        <v>12</v>
      </c>
      <c r="D1064" s="3" t="s">
        <v>240</v>
      </c>
      <c r="E1064" s="3">
        <v>11</v>
      </c>
      <c r="F1064" s="3" t="s">
        <v>166</v>
      </c>
      <c r="G1064" s="4" t="str">
        <f t="shared" si="64"/>
        <v>76284</v>
      </c>
      <c r="H1064" t="str">
        <f t="shared" si="65"/>
        <v>Murat Can AKYILDIZ</v>
      </c>
      <c r="I1064" t="str">
        <f t="shared" si="66"/>
        <v>11F Otomotiv Elektromekanik</v>
      </c>
      <c r="J1064" t="str">
        <f t="shared" si="67"/>
        <v>11F</v>
      </c>
    </row>
    <row r="1065" spans="1:10" x14ac:dyDescent="0.25">
      <c r="A1065" s="3">
        <v>60586164602</v>
      </c>
      <c r="B1065" s="3" t="s">
        <v>1166</v>
      </c>
      <c r="C1065" s="3" t="s">
        <v>12</v>
      </c>
      <c r="D1065" s="3" t="s">
        <v>240</v>
      </c>
      <c r="E1065" s="3">
        <v>11</v>
      </c>
      <c r="F1065" s="3" t="s">
        <v>92</v>
      </c>
      <c r="G1065" s="4" t="str">
        <f t="shared" si="64"/>
        <v>64602</v>
      </c>
      <c r="H1065" t="str">
        <f t="shared" si="65"/>
        <v>Mustafa Samet KOCA</v>
      </c>
      <c r="I1065" t="str">
        <f t="shared" si="66"/>
        <v>11E Otomotiv Elektromekanik</v>
      </c>
      <c r="J1065" t="str">
        <f t="shared" si="67"/>
        <v>11E</v>
      </c>
    </row>
    <row r="1066" spans="1:10" x14ac:dyDescent="0.25">
      <c r="A1066" s="3">
        <v>30701160536</v>
      </c>
      <c r="B1066" s="3" t="s">
        <v>1167</v>
      </c>
      <c r="C1066" s="3" t="s">
        <v>12</v>
      </c>
      <c r="D1066" s="3" t="s">
        <v>240</v>
      </c>
      <c r="E1066" s="3">
        <v>11</v>
      </c>
      <c r="F1066" s="3" t="s">
        <v>92</v>
      </c>
      <c r="G1066" s="4" t="str">
        <f t="shared" si="64"/>
        <v>60536</v>
      </c>
      <c r="H1066" t="str">
        <f t="shared" si="65"/>
        <v>Muzaffer KELEŞ</v>
      </c>
      <c r="I1066" t="str">
        <f t="shared" si="66"/>
        <v>11E Otomotiv Elektromekanik</v>
      </c>
      <c r="J1066" t="str">
        <f t="shared" si="67"/>
        <v>11E</v>
      </c>
    </row>
    <row r="1067" spans="1:10" x14ac:dyDescent="0.25">
      <c r="A1067" s="3">
        <v>60970151560</v>
      </c>
      <c r="B1067" s="3" t="s">
        <v>1168</v>
      </c>
      <c r="C1067" s="3" t="s">
        <v>12</v>
      </c>
      <c r="D1067" s="3" t="s">
        <v>240</v>
      </c>
      <c r="E1067" s="3">
        <v>11</v>
      </c>
      <c r="F1067" s="3" t="s">
        <v>92</v>
      </c>
      <c r="G1067" s="4" t="str">
        <f t="shared" si="64"/>
        <v>51560</v>
      </c>
      <c r="H1067" t="str">
        <f t="shared" si="65"/>
        <v>Osman Kaan KÜSKÜ</v>
      </c>
      <c r="I1067" t="str">
        <f t="shared" si="66"/>
        <v>11E Otomotiv Elektromekanik</v>
      </c>
      <c r="J1067" t="str">
        <f t="shared" si="67"/>
        <v>11E</v>
      </c>
    </row>
    <row r="1068" spans="1:10" x14ac:dyDescent="0.25">
      <c r="A1068" s="3">
        <v>34850022486</v>
      </c>
      <c r="B1068" s="3" t="s">
        <v>1169</v>
      </c>
      <c r="C1068" s="3" t="s">
        <v>12</v>
      </c>
      <c r="D1068" s="3" t="s">
        <v>240</v>
      </c>
      <c r="E1068" s="3">
        <v>11</v>
      </c>
      <c r="F1068" s="3" t="s">
        <v>166</v>
      </c>
      <c r="G1068" s="4" t="str">
        <f t="shared" si="64"/>
        <v>22486</v>
      </c>
      <c r="H1068" t="str">
        <f t="shared" si="65"/>
        <v>Ömer Faruk ALTUN</v>
      </c>
      <c r="I1068" t="str">
        <f t="shared" si="66"/>
        <v>11F Otomotiv Elektromekanik</v>
      </c>
      <c r="J1068" t="str">
        <f t="shared" si="67"/>
        <v>11F</v>
      </c>
    </row>
    <row r="1069" spans="1:10" x14ac:dyDescent="0.25">
      <c r="A1069" s="3">
        <v>14996741472</v>
      </c>
      <c r="B1069" s="3" t="s">
        <v>1170</v>
      </c>
      <c r="C1069" s="3" t="s">
        <v>12</v>
      </c>
      <c r="D1069" s="3" t="s">
        <v>240</v>
      </c>
      <c r="E1069" s="3">
        <v>11</v>
      </c>
      <c r="F1069" s="3" t="s">
        <v>166</v>
      </c>
      <c r="G1069" s="4" t="str">
        <f t="shared" si="64"/>
        <v>41472</v>
      </c>
      <c r="H1069" t="str">
        <f t="shared" si="65"/>
        <v>Özbek SARIALTUN</v>
      </c>
      <c r="I1069" t="str">
        <f t="shared" si="66"/>
        <v>11F Otomotiv Elektromekanik</v>
      </c>
      <c r="J1069" t="str">
        <f t="shared" si="67"/>
        <v>11F</v>
      </c>
    </row>
    <row r="1070" spans="1:10" x14ac:dyDescent="0.25">
      <c r="A1070" s="3">
        <v>15026682932</v>
      </c>
      <c r="B1070" s="3" t="s">
        <v>1171</v>
      </c>
      <c r="C1070" s="3" t="s">
        <v>12</v>
      </c>
      <c r="D1070" s="3" t="s">
        <v>240</v>
      </c>
      <c r="E1070" s="3">
        <v>11</v>
      </c>
      <c r="F1070" s="3" t="s">
        <v>92</v>
      </c>
      <c r="G1070" s="4" t="str">
        <f t="shared" si="64"/>
        <v>82932</v>
      </c>
      <c r="H1070" t="str">
        <f t="shared" si="65"/>
        <v>Polat BOYRAZ</v>
      </c>
      <c r="I1070" t="str">
        <f t="shared" si="66"/>
        <v>11E Otomotiv Elektromekanik</v>
      </c>
      <c r="J1070" t="str">
        <f t="shared" si="67"/>
        <v>11E</v>
      </c>
    </row>
    <row r="1071" spans="1:10" x14ac:dyDescent="0.25">
      <c r="A1071" s="3">
        <v>34711806460</v>
      </c>
      <c r="B1071" s="3" t="s">
        <v>1172</v>
      </c>
      <c r="C1071" s="3" t="s">
        <v>12</v>
      </c>
      <c r="D1071" s="3" t="s">
        <v>240</v>
      </c>
      <c r="E1071" s="3">
        <v>11</v>
      </c>
      <c r="F1071" s="3" t="s">
        <v>92</v>
      </c>
      <c r="G1071" s="4" t="str">
        <f t="shared" si="64"/>
        <v>06460</v>
      </c>
      <c r="H1071" t="str">
        <f t="shared" si="65"/>
        <v>Samet AYDIN</v>
      </c>
      <c r="I1071" t="str">
        <f t="shared" si="66"/>
        <v>11E Otomotiv Elektromekanik</v>
      </c>
      <c r="J1071" t="str">
        <f t="shared" si="67"/>
        <v>11E</v>
      </c>
    </row>
    <row r="1072" spans="1:10" x14ac:dyDescent="0.25">
      <c r="A1072" s="3">
        <v>23870388290</v>
      </c>
      <c r="B1072" s="3" t="s">
        <v>1173</v>
      </c>
      <c r="C1072" s="3" t="s">
        <v>12</v>
      </c>
      <c r="D1072" s="3" t="s">
        <v>240</v>
      </c>
      <c r="E1072" s="3">
        <v>11</v>
      </c>
      <c r="F1072" s="3" t="s">
        <v>92</v>
      </c>
      <c r="G1072" s="4" t="str">
        <f t="shared" si="64"/>
        <v>88290</v>
      </c>
      <c r="H1072" t="str">
        <f t="shared" si="65"/>
        <v>Sami YAMAN</v>
      </c>
      <c r="I1072" t="str">
        <f t="shared" si="66"/>
        <v>11E Otomotiv Elektromekanik</v>
      </c>
      <c r="J1072" t="str">
        <f t="shared" si="67"/>
        <v>11E</v>
      </c>
    </row>
    <row r="1073" spans="1:10" x14ac:dyDescent="0.25">
      <c r="A1073" s="3">
        <v>61228143412</v>
      </c>
      <c r="B1073" s="3" t="s">
        <v>1174</v>
      </c>
      <c r="C1073" s="3" t="s">
        <v>12</v>
      </c>
      <c r="D1073" s="3" t="s">
        <v>240</v>
      </c>
      <c r="E1073" s="3">
        <v>11</v>
      </c>
      <c r="F1073" s="3" t="s">
        <v>166</v>
      </c>
      <c r="G1073" s="4" t="str">
        <f t="shared" si="64"/>
        <v>43412</v>
      </c>
      <c r="H1073" t="str">
        <f t="shared" si="65"/>
        <v>Selman KELLE</v>
      </c>
      <c r="I1073" t="str">
        <f t="shared" si="66"/>
        <v>11F Otomotiv Elektromekanik</v>
      </c>
      <c r="J1073" t="str">
        <f t="shared" si="67"/>
        <v>11F</v>
      </c>
    </row>
    <row r="1074" spans="1:10" x14ac:dyDescent="0.25">
      <c r="A1074" s="3">
        <v>30938152922</v>
      </c>
      <c r="B1074" s="3" t="s">
        <v>768</v>
      </c>
      <c r="C1074" s="3" t="s">
        <v>12</v>
      </c>
      <c r="D1074" s="3" t="s">
        <v>240</v>
      </c>
      <c r="E1074" s="3">
        <v>11</v>
      </c>
      <c r="F1074" s="3" t="s">
        <v>166</v>
      </c>
      <c r="G1074" s="4" t="str">
        <f t="shared" si="64"/>
        <v>52922</v>
      </c>
      <c r="H1074" t="str">
        <f t="shared" si="65"/>
        <v>Serkan GÜNDOĞDU</v>
      </c>
      <c r="I1074" t="str">
        <f t="shared" si="66"/>
        <v>11F Otomotiv Elektromekanik</v>
      </c>
      <c r="J1074" t="str">
        <f t="shared" si="67"/>
        <v>11F</v>
      </c>
    </row>
    <row r="1075" spans="1:10" x14ac:dyDescent="0.25">
      <c r="A1075" s="3">
        <v>99376876500</v>
      </c>
      <c r="B1075" s="3" t="s">
        <v>1175</v>
      </c>
      <c r="C1075" s="3" t="s">
        <v>12</v>
      </c>
      <c r="D1075" s="3" t="s">
        <v>240</v>
      </c>
      <c r="E1075" s="3">
        <v>11</v>
      </c>
      <c r="F1075" s="3" t="s">
        <v>166</v>
      </c>
      <c r="G1075" s="4" t="str">
        <f t="shared" si="64"/>
        <v>76500</v>
      </c>
      <c r="H1075" t="str">
        <f t="shared" si="65"/>
        <v>Vecih HARZUM</v>
      </c>
      <c r="I1075" t="str">
        <f t="shared" si="66"/>
        <v>11F Otomotiv Elektromekanik</v>
      </c>
      <c r="J1075" t="str">
        <f t="shared" si="67"/>
        <v>11F</v>
      </c>
    </row>
    <row r="1076" spans="1:10" x14ac:dyDescent="0.25">
      <c r="A1076" s="3">
        <v>46525633408</v>
      </c>
      <c r="B1076" s="3" t="s">
        <v>1176</v>
      </c>
      <c r="C1076" s="3" t="s">
        <v>12</v>
      </c>
      <c r="D1076" s="3" t="s">
        <v>240</v>
      </c>
      <c r="E1076" s="3">
        <v>11</v>
      </c>
      <c r="F1076" s="3" t="s">
        <v>166</v>
      </c>
      <c r="G1076" s="4" t="str">
        <f t="shared" si="64"/>
        <v>33408</v>
      </c>
      <c r="H1076" t="str">
        <f t="shared" si="65"/>
        <v>Veysel Üveys YILDIZ</v>
      </c>
      <c r="I1076" t="str">
        <f t="shared" si="66"/>
        <v>11F Otomotiv Elektromekanik</v>
      </c>
      <c r="J1076" t="str">
        <f t="shared" si="67"/>
        <v>11F</v>
      </c>
    </row>
    <row r="1077" spans="1:10" x14ac:dyDescent="0.25">
      <c r="A1077" s="3">
        <v>48958919968</v>
      </c>
      <c r="B1077" s="3" t="s">
        <v>1177</v>
      </c>
      <c r="C1077" s="3" t="s">
        <v>12</v>
      </c>
      <c r="D1077" s="3" t="s">
        <v>240</v>
      </c>
      <c r="E1077" s="3">
        <v>11</v>
      </c>
      <c r="F1077" s="3" t="s">
        <v>166</v>
      </c>
      <c r="G1077" s="4" t="str">
        <f t="shared" si="64"/>
        <v>19968</v>
      </c>
      <c r="H1077" t="str">
        <f t="shared" si="65"/>
        <v>Yağız Efe AYDEMİR</v>
      </c>
      <c r="I1077" t="str">
        <f t="shared" si="66"/>
        <v>11F Otomotiv Elektromekanik</v>
      </c>
      <c r="J1077" t="str">
        <f t="shared" si="67"/>
        <v>11F</v>
      </c>
    </row>
    <row r="1078" spans="1:10" x14ac:dyDescent="0.25">
      <c r="A1078" s="3">
        <v>55432335640</v>
      </c>
      <c r="B1078" s="3" t="s">
        <v>1178</v>
      </c>
      <c r="C1078" s="3" t="s">
        <v>12</v>
      </c>
      <c r="D1078" s="3" t="s">
        <v>240</v>
      </c>
      <c r="E1078" s="3">
        <v>11</v>
      </c>
      <c r="F1078" s="3" t="s">
        <v>92</v>
      </c>
      <c r="G1078" s="4" t="str">
        <f t="shared" si="64"/>
        <v>35640</v>
      </c>
      <c r="H1078" t="str">
        <f t="shared" si="65"/>
        <v>Yiğit HAZER</v>
      </c>
      <c r="I1078" t="str">
        <f t="shared" si="66"/>
        <v>11E Otomotiv Elektromekanik</v>
      </c>
      <c r="J1078" t="str">
        <f t="shared" si="67"/>
        <v>11E</v>
      </c>
    </row>
    <row r="1079" spans="1:10" x14ac:dyDescent="0.25">
      <c r="A1079" s="3">
        <v>29243069926</v>
      </c>
      <c r="B1079" s="3" t="s">
        <v>1179</v>
      </c>
      <c r="C1079" s="3" t="s">
        <v>12</v>
      </c>
      <c r="D1079" s="3" t="s">
        <v>240</v>
      </c>
      <c r="E1079" s="3">
        <v>11</v>
      </c>
      <c r="F1079" s="3" t="s">
        <v>166</v>
      </c>
      <c r="G1079" s="4" t="str">
        <f t="shared" si="64"/>
        <v>69926</v>
      </c>
      <c r="H1079" t="str">
        <f t="shared" si="65"/>
        <v>Yiğit ÖZGÜN</v>
      </c>
      <c r="I1079" t="str">
        <f t="shared" si="66"/>
        <v>11F Otomotiv Elektromekanik</v>
      </c>
      <c r="J1079" t="str">
        <f t="shared" si="67"/>
        <v>11F</v>
      </c>
    </row>
    <row r="1080" spans="1:10" x14ac:dyDescent="0.25">
      <c r="A1080" s="3">
        <v>25952318768</v>
      </c>
      <c r="B1080" s="3" t="s">
        <v>1180</v>
      </c>
      <c r="C1080" s="3" t="s">
        <v>12</v>
      </c>
      <c r="D1080" s="3" t="s">
        <v>240</v>
      </c>
      <c r="E1080" s="3">
        <v>11</v>
      </c>
      <c r="F1080" s="3" t="s">
        <v>92</v>
      </c>
      <c r="G1080" s="4" t="str">
        <f t="shared" si="64"/>
        <v>18768</v>
      </c>
      <c r="H1080" t="str">
        <f t="shared" si="65"/>
        <v>Yusuf Erdem DELER</v>
      </c>
      <c r="I1080" t="str">
        <f t="shared" si="66"/>
        <v>11E Otomotiv Elektromekanik</v>
      </c>
      <c r="J1080" t="str">
        <f t="shared" si="67"/>
        <v>11E</v>
      </c>
    </row>
    <row r="1081" spans="1:10" x14ac:dyDescent="0.25">
      <c r="A1081" s="3">
        <v>44497700364</v>
      </c>
      <c r="B1081" s="3" t="s">
        <v>1181</v>
      </c>
      <c r="C1081" s="3" t="s">
        <v>12</v>
      </c>
      <c r="D1081" s="3" t="s">
        <v>240</v>
      </c>
      <c r="E1081" s="3">
        <v>11</v>
      </c>
      <c r="F1081" s="3" t="s">
        <v>166</v>
      </c>
      <c r="G1081" s="4" t="str">
        <f t="shared" si="64"/>
        <v>00364</v>
      </c>
      <c r="H1081" t="str">
        <f t="shared" si="65"/>
        <v>Yusuf Eren İNAN</v>
      </c>
      <c r="I1081" t="str">
        <f t="shared" si="66"/>
        <v>11F Otomotiv Elektromekanik</v>
      </c>
      <c r="J1081" t="str">
        <f t="shared" si="67"/>
        <v>11F</v>
      </c>
    </row>
    <row r="1082" spans="1:10" x14ac:dyDescent="0.25">
      <c r="A1082" s="3">
        <v>16889621304</v>
      </c>
      <c r="B1082" s="3" t="s">
        <v>1182</v>
      </c>
      <c r="C1082" s="3" t="s">
        <v>12</v>
      </c>
      <c r="D1082" s="3" t="s">
        <v>240</v>
      </c>
      <c r="E1082" s="3">
        <v>11</v>
      </c>
      <c r="F1082" s="3" t="s">
        <v>92</v>
      </c>
      <c r="G1082" s="4" t="str">
        <f t="shared" si="64"/>
        <v>21304</v>
      </c>
      <c r="H1082" t="str">
        <f t="shared" si="65"/>
        <v>Yusuf ÖZBEK</v>
      </c>
      <c r="I1082" t="str">
        <f t="shared" si="66"/>
        <v>11E Otomotiv Elektromekanik</v>
      </c>
      <c r="J1082" t="str">
        <f t="shared" si="67"/>
        <v>11E</v>
      </c>
    </row>
    <row r="1083" spans="1:10" x14ac:dyDescent="0.25">
      <c r="A1083" s="3">
        <v>33704059944</v>
      </c>
      <c r="B1083" s="3" t="s">
        <v>975</v>
      </c>
      <c r="C1083" s="3" t="s">
        <v>12</v>
      </c>
      <c r="D1083" s="3" t="s">
        <v>304</v>
      </c>
      <c r="E1083" s="3">
        <v>11</v>
      </c>
      <c r="F1083" s="3" t="s">
        <v>1183</v>
      </c>
      <c r="G1083" s="4" t="str">
        <f t="shared" si="64"/>
        <v>59944</v>
      </c>
      <c r="H1083" t="str">
        <f t="shared" si="65"/>
        <v>Ahmet AYDOĞAN</v>
      </c>
      <c r="I1083" t="str">
        <f t="shared" si="66"/>
        <v>11H1 Otomotiv Gövde</v>
      </c>
      <c r="J1083" t="str">
        <f t="shared" si="67"/>
        <v>11H</v>
      </c>
    </row>
    <row r="1084" spans="1:10" x14ac:dyDescent="0.25">
      <c r="A1084" s="3">
        <v>28718226062</v>
      </c>
      <c r="B1084" s="3" t="s">
        <v>1184</v>
      </c>
      <c r="C1084" s="3" t="s">
        <v>12</v>
      </c>
      <c r="D1084" s="3" t="s">
        <v>304</v>
      </c>
      <c r="E1084" s="3">
        <v>11</v>
      </c>
      <c r="F1084" s="3" t="s">
        <v>1183</v>
      </c>
      <c r="G1084" s="4" t="str">
        <f t="shared" si="64"/>
        <v>26062</v>
      </c>
      <c r="H1084" t="str">
        <f t="shared" si="65"/>
        <v>Arda NARŞAP</v>
      </c>
      <c r="I1084" t="str">
        <f t="shared" si="66"/>
        <v>11H1 Otomotiv Gövde</v>
      </c>
      <c r="J1084" t="str">
        <f t="shared" si="67"/>
        <v>11H</v>
      </c>
    </row>
    <row r="1085" spans="1:10" x14ac:dyDescent="0.25">
      <c r="A1085" s="3">
        <v>20678682964</v>
      </c>
      <c r="B1085" s="3" t="s">
        <v>1185</v>
      </c>
      <c r="C1085" s="3" t="s">
        <v>12</v>
      </c>
      <c r="D1085" s="3" t="s">
        <v>304</v>
      </c>
      <c r="E1085" s="3">
        <v>11</v>
      </c>
      <c r="F1085" s="3" t="s">
        <v>1183</v>
      </c>
      <c r="G1085" s="4" t="str">
        <f t="shared" si="64"/>
        <v>82964</v>
      </c>
      <c r="H1085" t="str">
        <f t="shared" si="65"/>
        <v>Eray BACİN</v>
      </c>
      <c r="I1085" t="str">
        <f t="shared" si="66"/>
        <v>11H1 Otomotiv Gövde</v>
      </c>
      <c r="J1085" t="str">
        <f t="shared" si="67"/>
        <v>11H</v>
      </c>
    </row>
    <row r="1086" spans="1:10" x14ac:dyDescent="0.25">
      <c r="A1086" s="3">
        <v>69274207614</v>
      </c>
      <c r="B1086" s="3" t="s">
        <v>1186</v>
      </c>
      <c r="C1086" s="3" t="s">
        <v>12</v>
      </c>
      <c r="D1086" s="3" t="s">
        <v>304</v>
      </c>
      <c r="E1086" s="3">
        <v>11</v>
      </c>
      <c r="F1086" s="3" t="s">
        <v>1183</v>
      </c>
      <c r="G1086" s="4" t="str">
        <f t="shared" si="64"/>
        <v>07614</v>
      </c>
      <c r="H1086" t="str">
        <f t="shared" si="65"/>
        <v>Kadir ÇEKİM</v>
      </c>
      <c r="I1086" t="str">
        <f t="shared" si="66"/>
        <v>11H1 Otomotiv Gövde</v>
      </c>
      <c r="J1086" t="str">
        <f t="shared" si="67"/>
        <v>11H</v>
      </c>
    </row>
    <row r="1087" spans="1:10" x14ac:dyDescent="0.25">
      <c r="A1087" s="3">
        <v>58906378488</v>
      </c>
      <c r="B1087" s="3" t="s">
        <v>1187</v>
      </c>
      <c r="C1087" s="3" t="s">
        <v>12</v>
      </c>
      <c r="D1087" s="3" t="s">
        <v>304</v>
      </c>
      <c r="E1087" s="3">
        <v>11</v>
      </c>
      <c r="F1087" s="3" t="s">
        <v>1183</v>
      </c>
      <c r="G1087" s="4" t="str">
        <f t="shared" si="64"/>
        <v>78488</v>
      </c>
      <c r="H1087" t="str">
        <f t="shared" si="65"/>
        <v>Kamil UĞUR</v>
      </c>
      <c r="I1087" t="str">
        <f t="shared" si="66"/>
        <v>11H1 Otomotiv Gövde</v>
      </c>
      <c r="J1087" t="str">
        <f t="shared" si="67"/>
        <v>11H</v>
      </c>
    </row>
    <row r="1088" spans="1:10" x14ac:dyDescent="0.25">
      <c r="A1088" s="3">
        <v>28994616274</v>
      </c>
      <c r="B1088" s="3" t="s">
        <v>1188</v>
      </c>
      <c r="C1088" s="3" t="s">
        <v>12</v>
      </c>
      <c r="D1088" s="3" t="s">
        <v>304</v>
      </c>
      <c r="E1088" s="3">
        <v>11</v>
      </c>
      <c r="F1088" s="3" t="s">
        <v>1183</v>
      </c>
      <c r="G1088" s="4" t="str">
        <f t="shared" si="64"/>
        <v>16274</v>
      </c>
      <c r="H1088" t="str">
        <f t="shared" si="65"/>
        <v>Muhammed ELŞAVİ</v>
      </c>
      <c r="I1088" t="str">
        <f t="shared" si="66"/>
        <v>11H1 Otomotiv Gövde</v>
      </c>
      <c r="J1088" t="str">
        <f t="shared" si="67"/>
        <v>11H</v>
      </c>
    </row>
    <row r="1089" spans="1:10" x14ac:dyDescent="0.25">
      <c r="A1089" s="3">
        <v>65260375824</v>
      </c>
      <c r="B1089" s="3" t="s">
        <v>1189</v>
      </c>
      <c r="C1089" s="3" t="s">
        <v>12</v>
      </c>
      <c r="D1089" s="3" t="s">
        <v>304</v>
      </c>
      <c r="E1089" s="3">
        <v>11</v>
      </c>
      <c r="F1089" s="3" t="s">
        <v>1183</v>
      </c>
      <c r="G1089" s="4" t="str">
        <f t="shared" si="64"/>
        <v>75824</v>
      </c>
      <c r="H1089" t="str">
        <f t="shared" si="65"/>
        <v>Muhammet Mustafa KÜÇÜK</v>
      </c>
      <c r="I1089" t="str">
        <f t="shared" si="66"/>
        <v>11H1 Otomotiv Gövde</v>
      </c>
      <c r="J1089" t="str">
        <f t="shared" si="67"/>
        <v>11H</v>
      </c>
    </row>
    <row r="1090" spans="1:10" x14ac:dyDescent="0.25">
      <c r="A1090" s="3">
        <v>47200975318</v>
      </c>
      <c r="B1090" s="3" t="s">
        <v>1190</v>
      </c>
      <c r="C1090" s="3" t="s">
        <v>898</v>
      </c>
      <c r="D1090" s="3" t="s">
        <v>304</v>
      </c>
      <c r="E1090" s="3">
        <v>11</v>
      </c>
      <c r="F1090" s="3" t="s">
        <v>1183</v>
      </c>
      <c r="G1090" s="4" t="str">
        <f t="shared" si="64"/>
        <v>75318</v>
      </c>
      <c r="H1090" t="str">
        <f t="shared" si="65"/>
        <v>Mustafa Mert USKAN</v>
      </c>
      <c r="I1090" t="str">
        <f t="shared" si="66"/>
        <v>11H1 Otomotiv Gövde</v>
      </c>
      <c r="J1090" t="str">
        <f t="shared" si="67"/>
        <v>11H</v>
      </c>
    </row>
    <row r="1091" spans="1:10" x14ac:dyDescent="0.25">
      <c r="A1091" s="3">
        <v>28997616110</v>
      </c>
      <c r="B1091" s="3" t="s">
        <v>1191</v>
      </c>
      <c r="C1091" s="3" t="s">
        <v>12</v>
      </c>
      <c r="D1091" s="3" t="s">
        <v>304</v>
      </c>
      <c r="E1091" s="3">
        <v>11</v>
      </c>
      <c r="F1091" s="3" t="s">
        <v>1183</v>
      </c>
      <c r="G1091" s="4" t="str">
        <f t="shared" si="64"/>
        <v>16110</v>
      </c>
      <c r="H1091" t="str">
        <f t="shared" si="65"/>
        <v>Umran ELŞAVİ</v>
      </c>
      <c r="I1091" t="str">
        <f t="shared" si="66"/>
        <v>11H1 Otomotiv Gövde</v>
      </c>
      <c r="J1091" t="str">
        <f t="shared" si="67"/>
        <v>11H</v>
      </c>
    </row>
    <row r="1092" spans="1:10" x14ac:dyDescent="0.25">
      <c r="A1092" s="3">
        <v>37640295848</v>
      </c>
      <c r="B1092" s="3" t="s">
        <v>1192</v>
      </c>
      <c r="C1092" s="3" t="s">
        <v>12</v>
      </c>
      <c r="D1092" s="3" t="s">
        <v>304</v>
      </c>
      <c r="E1092" s="3">
        <v>11</v>
      </c>
      <c r="F1092" s="3" t="s">
        <v>1183</v>
      </c>
      <c r="G1092" s="4" t="str">
        <f t="shared" si="64"/>
        <v>95848</v>
      </c>
      <c r="H1092" t="str">
        <f t="shared" si="65"/>
        <v>Umut MARAL</v>
      </c>
      <c r="I1092" t="str">
        <f t="shared" si="66"/>
        <v>11H1 Otomotiv Gövde</v>
      </c>
      <c r="J1092" t="str">
        <f t="shared" si="67"/>
        <v>11H</v>
      </c>
    </row>
    <row r="1093" spans="1:10" x14ac:dyDescent="0.25">
      <c r="A1093" s="3">
        <v>47137612270</v>
      </c>
      <c r="B1093" s="3" t="s">
        <v>1193</v>
      </c>
      <c r="C1093" s="3" t="s">
        <v>12</v>
      </c>
      <c r="D1093" s="3" t="s">
        <v>304</v>
      </c>
      <c r="E1093" s="3">
        <v>11</v>
      </c>
      <c r="F1093" s="3" t="s">
        <v>1183</v>
      </c>
      <c r="G1093" s="4" t="str">
        <f t="shared" ref="G1093:G1156" si="68">RIGHT(A1093,5)</f>
        <v>12270</v>
      </c>
      <c r="H1093" t="str">
        <f t="shared" ref="H1093:H1156" si="69">B1093</f>
        <v>Veysel TAŞKIN</v>
      </c>
      <c r="I1093" t="str">
        <f t="shared" ref="I1093:I1156" si="70">CONCATENATE(E1093,F1093," ",D1093)</f>
        <v>11H1 Otomotiv Gövde</v>
      </c>
      <c r="J1093" t="str">
        <f t="shared" ref="J1093:J1156" si="71">LEFT(I1093,3)</f>
        <v>11H</v>
      </c>
    </row>
    <row r="1094" spans="1:10" x14ac:dyDescent="0.25">
      <c r="A1094" s="3">
        <v>61096248950</v>
      </c>
      <c r="B1094" s="3" t="s">
        <v>1194</v>
      </c>
      <c r="C1094" s="3" t="s">
        <v>12</v>
      </c>
      <c r="D1094" s="3" t="s">
        <v>304</v>
      </c>
      <c r="E1094" s="3">
        <v>11</v>
      </c>
      <c r="F1094" s="3" t="s">
        <v>1183</v>
      </c>
      <c r="G1094" s="4" t="str">
        <f t="shared" si="68"/>
        <v>48950</v>
      </c>
      <c r="H1094" t="str">
        <f t="shared" si="69"/>
        <v>Yağız DEMİR</v>
      </c>
      <c r="I1094" t="str">
        <f t="shared" si="70"/>
        <v>11H1 Otomotiv Gövde</v>
      </c>
      <c r="J1094" t="str">
        <f t="shared" si="71"/>
        <v>11H</v>
      </c>
    </row>
    <row r="1095" spans="1:10" x14ac:dyDescent="0.25">
      <c r="A1095" s="3">
        <v>71365059590</v>
      </c>
      <c r="B1095" s="3" t="s">
        <v>1195</v>
      </c>
      <c r="C1095" s="3" t="s">
        <v>12</v>
      </c>
      <c r="D1095" s="3" t="s">
        <v>304</v>
      </c>
      <c r="E1095" s="3">
        <v>11</v>
      </c>
      <c r="F1095" s="3" t="s">
        <v>1183</v>
      </c>
      <c r="G1095" s="4" t="str">
        <f t="shared" si="68"/>
        <v>59590</v>
      </c>
      <c r="H1095" t="str">
        <f t="shared" si="69"/>
        <v>Yasin ALPDEGER</v>
      </c>
      <c r="I1095" t="str">
        <f t="shared" si="70"/>
        <v>11H1 Otomotiv Gövde</v>
      </c>
      <c r="J1095" t="str">
        <f t="shared" si="71"/>
        <v>11H</v>
      </c>
    </row>
    <row r="1096" spans="1:10" x14ac:dyDescent="0.25">
      <c r="A1096" s="3">
        <v>17261608876</v>
      </c>
      <c r="B1096" s="3" t="s">
        <v>1196</v>
      </c>
      <c r="C1096" s="3" t="s">
        <v>12</v>
      </c>
      <c r="D1096" s="3" t="s">
        <v>314</v>
      </c>
      <c r="E1096" s="3">
        <v>11</v>
      </c>
      <c r="F1096" s="3" t="s">
        <v>438</v>
      </c>
      <c r="G1096" s="4" t="str">
        <f t="shared" si="68"/>
        <v>08876</v>
      </c>
      <c r="H1096" t="str">
        <f t="shared" si="69"/>
        <v>Abdulsamed ERDEM</v>
      </c>
      <c r="I1096" t="str">
        <f t="shared" si="70"/>
        <v>11H Otomotiv Mekanikerliği</v>
      </c>
      <c r="J1096" t="str">
        <f t="shared" si="71"/>
        <v>11H</v>
      </c>
    </row>
    <row r="1097" spans="1:10" x14ac:dyDescent="0.25">
      <c r="A1097" s="3">
        <v>99716000732</v>
      </c>
      <c r="B1097" s="3" t="s">
        <v>1197</v>
      </c>
      <c r="C1097" s="3" t="s">
        <v>12</v>
      </c>
      <c r="D1097" s="3" t="s">
        <v>314</v>
      </c>
      <c r="E1097" s="3">
        <v>11</v>
      </c>
      <c r="F1097" s="3" t="s">
        <v>438</v>
      </c>
      <c r="G1097" s="4" t="str">
        <f t="shared" si="68"/>
        <v>00732</v>
      </c>
      <c r="H1097" t="str">
        <f t="shared" si="69"/>
        <v>Ahmed İSMAİL</v>
      </c>
      <c r="I1097" t="str">
        <f t="shared" si="70"/>
        <v>11H Otomotiv Mekanikerliği</v>
      </c>
      <c r="J1097" t="str">
        <f t="shared" si="71"/>
        <v>11H</v>
      </c>
    </row>
    <row r="1098" spans="1:10" x14ac:dyDescent="0.25">
      <c r="A1098" s="3">
        <v>13322740080</v>
      </c>
      <c r="B1098" s="3" t="s">
        <v>1198</v>
      </c>
      <c r="C1098" s="3" t="s">
        <v>12</v>
      </c>
      <c r="D1098" s="3" t="s">
        <v>314</v>
      </c>
      <c r="E1098" s="3">
        <v>11</v>
      </c>
      <c r="F1098" s="3" t="s">
        <v>438</v>
      </c>
      <c r="G1098" s="4" t="str">
        <f t="shared" si="68"/>
        <v>40080</v>
      </c>
      <c r="H1098" t="str">
        <f t="shared" si="69"/>
        <v>Ahmet Hilmi VURAL</v>
      </c>
      <c r="I1098" t="str">
        <f t="shared" si="70"/>
        <v>11H Otomotiv Mekanikerliği</v>
      </c>
      <c r="J1098" t="str">
        <f t="shared" si="71"/>
        <v>11H</v>
      </c>
    </row>
    <row r="1099" spans="1:10" x14ac:dyDescent="0.25">
      <c r="A1099" s="3">
        <v>33578064792</v>
      </c>
      <c r="B1099" s="3" t="s">
        <v>1199</v>
      </c>
      <c r="C1099" s="3" t="s">
        <v>12</v>
      </c>
      <c r="D1099" s="3" t="s">
        <v>314</v>
      </c>
      <c r="E1099" s="3">
        <v>11</v>
      </c>
      <c r="F1099" s="3" t="s">
        <v>438</v>
      </c>
      <c r="G1099" s="4" t="str">
        <f t="shared" si="68"/>
        <v>64792</v>
      </c>
      <c r="H1099" t="str">
        <f t="shared" si="69"/>
        <v>Ahmet Yasin SEL</v>
      </c>
      <c r="I1099" t="str">
        <f t="shared" si="70"/>
        <v>11H Otomotiv Mekanikerliği</v>
      </c>
      <c r="J1099" t="str">
        <f t="shared" si="71"/>
        <v>11H</v>
      </c>
    </row>
    <row r="1100" spans="1:10" x14ac:dyDescent="0.25">
      <c r="A1100" s="3">
        <v>15766143878</v>
      </c>
      <c r="B1100" s="3" t="s">
        <v>1200</v>
      </c>
      <c r="C1100" s="3" t="s">
        <v>12</v>
      </c>
      <c r="D1100" s="3" t="s">
        <v>314</v>
      </c>
      <c r="E1100" s="3">
        <v>11</v>
      </c>
      <c r="F1100" s="3" t="s">
        <v>55</v>
      </c>
      <c r="G1100" s="4" t="str">
        <f t="shared" si="68"/>
        <v>43878</v>
      </c>
      <c r="H1100" t="str">
        <f t="shared" si="69"/>
        <v>Alperen ÖZDEN</v>
      </c>
      <c r="I1100" t="str">
        <f t="shared" si="70"/>
        <v>11G Otomotiv Mekanikerliği</v>
      </c>
      <c r="J1100" t="str">
        <f t="shared" si="71"/>
        <v>11G</v>
      </c>
    </row>
    <row r="1101" spans="1:10" x14ac:dyDescent="0.25">
      <c r="A1101" s="3">
        <v>60829216228</v>
      </c>
      <c r="B1101" s="3" t="s">
        <v>1201</v>
      </c>
      <c r="C1101" s="3" t="s">
        <v>12</v>
      </c>
      <c r="D1101" s="3" t="s">
        <v>314</v>
      </c>
      <c r="E1101" s="3">
        <v>11</v>
      </c>
      <c r="F1101" s="3" t="s">
        <v>55</v>
      </c>
      <c r="G1101" s="4" t="str">
        <f t="shared" si="68"/>
        <v>16228</v>
      </c>
      <c r="H1101" t="str">
        <f t="shared" si="69"/>
        <v>Altay YALÇINKAYA</v>
      </c>
      <c r="I1101" t="str">
        <f t="shared" si="70"/>
        <v>11G Otomotiv Mekanikerliği</v>
      </c>
      <c r="J1101" t="str">
        <f t="shared" si="71"/>
        <v>11G</v>
      </c>
    </row>
    <row r="1102" spans="1:10" x14ac:dyDescent="0.25">
      <c r="A1102" s="3">
        <v>37768925344</v>
      </c>
      <c r="B1102" s="3" t="s">
        <v>1202</v>
      </c>
      <c r="C1102" s="3" t="s">
        <v>12</v>
      </c>
      <c r="D1102" s="3" t="s">
        <v>314</v>
      </c>
      <c r="E1102" s="3">
        <v>11</v>
      </c>
      <c r="F1102" s="3" t="s">
        <v>438</v>
      </c>
      <c r="G1102" s="4" t="str">
        <f t="shared" si="68"/>
        <v>25344</v>
      </c>
      <c r="H1102" t="str">
        <f t="shared" si="69"/>
        <v>Aykut BOYRAZ</v>
      </c>
      <c r="I1102" t="str">
        <f t="shared" si="70"/>
        <v>11H Otomotiv Mekanikerliği</v>
      </c>
      <c r="J1102" t="str">
        <f t="shared" si="71"/>
        <v>11H</v>
      </c>
    </row>
    <row r="1103" spans="1:10" x14ac:dyDescent="0.25">
      <c r="A1103" s="3">
        <v>56854013888</v>
      </c>
      <c r="B1103" s="3" t="s">
        <v>1203</v>
      </c>
      <c r="C1103" s="3" t="s">
        <v>12</v>
      </c>
      <c r="D1103" s="3" t="s">
        <v>314</v>
      </c>
      <c r="E1103" s="3">
        <v>11</v>
      </c>
      <c r="F1103" s="3" t="s">
        <v>438</v>
      </c>
      <c r="G1103" s="4" t="str">
        <f t="shared" si="68"/>
        <v>13888</v>
      </c>
      <c r="H1103" t="str">
        <f t="shared" si="69"/>
        <v>Aytuğ MÜCEHEZ</v>
      </c>
      <c r="I1103" t="str">
        <f t="shared" si="70"/>
        <v>11H Otomotiv Mekanikerliği</v>
      </c>
      <c r="J1103" t="str">
        <f t="shared" si="71"/>
        <v>11H</v>
      </c>
    </row>
    <row r="1104" spans="1:10" x14ac:dyDescent="0.25">
      <c r="A1104" s="3">
        <v>66421029594</v>
      </c>
      <c r="B1104" s="3" t="s">
        <v>1204</v>
      </c>
      <c r="C1104" s="3" t="s">
        <v>12</v>
      </c>
      <c r="D1104" s="3" t="s">
        <v>314</v>
      </c>
      <c r="E1104" s="3">
        <v>11</v>
      </c>
      <c r="F1104" s="3" t="s">
        <v>438</v>
      </c>
      <c r="G1104" s="4" t="str">
        <f t="shared" si="68"/>
        <v>29594</v>
      </c>
      <c r="H1104" t="str">
        <f t="shared" si="69"/>
        <v>Baran TURAN</v>
      </c>
      <c r="I1104" t="str">
        <f t="shared" si="70"/>
        <v>11H Otomotiv Mekanikerliği</v>
      </c>
      <c r="J1104" t="str">
        <f t="shared" si="71"/>
        <v>11H</v>
      </c>
    </row>
    <row r="1105" spans="1:10" x14ac:dyDescent="0.25">
      <c r="A1105" s="3">
        <v>41299806942</v>
      </c>
      <c r="B1105" s="3" t="s">
        <v>1205</v>
      </c>
      <c r="C1105" s="3" t="s">
        <v>12</v>
      </c>
      <c r="D1105" s="3" t="s">
        <v>314</v>
      </c>
      <c r="E1105" s="3">
        <v>11</v>
      </c>
      <c r="F1105" s="3" t="s">
        <v>55</v>
      </c>
      <c r="G1105" s="4" t="str">
        <f t="shared" si="68"/>
        <v>06942</v>
      </c>
      <c r="H1105" t="str">
        <f t="shared" si="69"/>
        <v>Batuhan ÖZMEN</v>
      </c>
      <c r="I1105" t="str">
        <f t="shared" si="70"/>
        <v>11G Otomotiv Mekanikerliği</v>
      </c>
      <c r="J1105" t="str">
        <f t="shared" si="71"/>
        <v>11G</v>
      </c>
    </row>
    <row r="1106" spans="1:10" x14ac:dyDescent="0.25">
      <c r="A1106" s="3">
        <v>22061448614</v>
      </c>
      <c r="B1106" s="3" t="s">
        <v>1206</v>
      </c>
      <c r="C1106" s="3" t="s">
        <v>12</v>
      </c>
      <c r="D1106" s="3" t="s">
        <v>314</v>
      </c>
      <c r="E1106" s="3">
        <v>11</v>
      </c>
      <c r="F1106" s="3" t="s">
        <v>55</v>
      </c>
      <c r="G1106" s="4" t="str">
        <f t="shared" si="68"/>
        <v>48614</v>
      </c>
      <c r="H1106" t="str">
        <f t="shared" si="69"/>
        <v>Bayram İYİGÖR</v>
      </c>
      <c r="I1106" t="str">
        <f t="shared" si="70"/>
        <v>11G Otomotiv Mekanikerliği</v>
      </c>
      <c r="J1106" t="str">
        <f t="shared" si="71"/>
        <v>11G</v>
      </c>
    </row>
    <row r="1107" spans="1:10" x14ac:dyDescent="0.25">
      <c r="A1107" s="3">
        <v>30665161716</v>
      </c>
      <c r="B1107" s="3" t="s">
        <v>1207</v>
      </c>
      <c r="C1107" s="3" t="s">
        <v>12</v>
      </c>
      <c r="D1107" s="3" t="s">
        <v>314</v>
      </c>
      <c r="E1107" s="3">
        <v>11</v>
      </c>
      <c r="F1107" s="3" t="s">
        <v>55</v>
      </c>
      <c r="G1107" s="4" t="str">
        <f t="shared" si="68"/>
        <v>61716</v>
      </c>
      <c r="H1107" t="str">
        <f t="shared" si="69"/>
        <v>Berat Efe GÜNEŞ</v>
      </c>
      <c r="I1107" t="str">
        <f t="shared" si="70"/>
        <v>11G Otomotiv Mekanikerliği</v>
      </c>
      <c r="J1107" t="str">
        <f t="shared" si="71"/>
        <v>11G</v>
      </c>
    </row>
    <row r="1108" spans="1:10" x14ac:dyDescent="0.25">
      <c r="A1108" s="3">
        <v>33568789964</v>
      </c>
      <c r="B1108" s="3" t="s">
        <v>1208</v>
      </c>
      <c r="C1108" s="3" t="s">
        <v>12</v>
      </c>
      <c r="D1108" s="3" t="s">
        <v>314</v>
      </c>
      <c r="E1108" s="3">
        <v>11</v>
      </c>
      <c r="F1108" s="3" t="s">
        <v>55</v>
      </c>
      <c r="G1108" s="4" t="str">
        <f t="shared" si="68"/>
        <v>89964</v>
      </c>
      <c r="H1108" t="str">
        <f t="shared" si="69"/>
        <v>Burak YENİLMEZ</v>
      </c>
      <c r="I1108" t="str">
        <f t="shared" si="70"/>
        <v>11G Otomotiv Mekanikerliği</v>
      </c>
      <c r="J1108" t="str">
        <f t="shared" si="71"/>
        <v>11G</v>
      </c>
    </row>
    <row r="1109" spans="1:10" x14ac:dyDescent="0.25">
      <c r="A1109" s="3">
        <v>11120433128</v>
      </c>
      <c r="B1109" s="3" t="s">
        <v>1209</v>
      </c>
      <c r="C1109" s="3" t="s">
        <v>12</v>
      </c>
      <c r="D1109" s="3" t="s">
        <v>314</v>
      </c>
      <c r="E1109" s="3">
        <v>11</v>
      </c>
      <c r="F1109" s="3" t="s">
        <v>438</v>
      </c>
      <c r="G1109" s="4" t="str">
        <f t="shared" si="68"/>
        <v>33128</v>
      </c>
      <c r="H1109" t="str">
        <f t="shared" si="69"/>
        <v>Burhan GENEŞ</v>
      </c>
      <c r="I1109" t="str">
        <f t="shared" si="70"/>
        <v>11H Otomotiv Mekanikerliği</v>
      </c>
      <c r="J1109" t="str">
        <f t="shared" si="71"/>
        <v>11H</v>
      </c>
    </row>
    <row r="1110" spans="1:10" x14ac:dyDescent="0.25">
      <c r="A1110" s="3">
        <v>13925719186</v>
      </c>
      <c r="B1110" s="3" t="s">
        <v>1210</v>
      </c>
      <c r="C1110" s="3" t="s">
        <v>12</v>
      </c>
      <c r="D1110" s="3" t="s">
        <v>314</v>
      </c>
      <c r="E1110" s="3">
        <v>11</v>
      </c>
      <c r="F1110" s="3" t="s">
        <v>438</v>
      </c>
      <c r="G1110" s="4" t="str">
        <f t="shared" si="68"/>
        <v>19186</v>
      </c>
      <c r="H1110" t="str">
        <f t="shared" si="69"/>
        <v>Cihan UĞUROĞLU</v>
      </c>
      <c r="I1110" t="str">
        <f t="shared" si="70"/>
        <v>11H Otomotiv Mekanikerliği</v>
      </c>
      <c r="J1110" t="str">
        <f t="shared" si="71"/>
        <v>11H</v>
      </c>
    </row>
    <row r="1111" spans="1:10" x14ac:dyDescent="0.25">
      <c r="A1111" s="3">
        <v>16310640348</v>
      </c>
      <c r="B1111" s="3" t="s">
        <v>1211</v>
      </c>
      <c r="C1111" s="3" t="s">
        <v>12</v>
      </c>
      <c r="D1111" s="3" t="s">
        <v>314</v>
      </c>
      <c r="E1111" s="3">
        <v>11</v>
      </c>
      <c r="F1111" s="3" t="s">
        <v>55</v>
      </c>
      <c r="G1111" s="4" t="str">
        <f t="shared" si="68"/>
        <v>40348</v>
      </c>
      <c r="H1111" t="str">
        <f t="shared" si="69"/>
        <v>Efecan HOŞAFCI</v>
      </c>
      <c r="I1111" t="str">
        <f t="shared" si="70"/>
        <v>11G Otomotiv Mekanikerliği</v>
      </c>
      <c r="J1111" t="str">
        <f t="shared" si="71"/>
        <v>11G</v>
      </c>
    </row>
    <row r="1112" spans="1:10" x14ac:dyDescent="0.25">
      <c r="A1112" s="3">
        <v>36757958516</v>
      </c>
      <c r="B1112" s="3" t="s">
        <v>1212</v>
      </c>
      <c r="C1112" s="3" t="s">
        <v>12</v>
      </c>
      <c r="D1112" s="3" t="s">
        <v>314</v>
      </c>
      <c r="E1112" s="3">
        <v>11</v>
      </c>
      <c r="F1112" s="3" t="s">
        <v>438</v>
      </c>
      <c r="G1112" s="4" t="str">
        <f t="shared" si="68"/>
        <v>58516</v>
      </c>
      <c r="H1112" t="str">
        <f t="shared" si="69"/>
        <v>Emirhan Bilal KALFA</v>
      </c>
      <c r="I1112" t="str">
        <f t="shared" si="70"/>
        <v>11H Otomotiv Mekanikerliği</v>
      </c>
      <c r="J1112" t="str">
        <f t="shared" si="71"/>
        <v>11H</v>
      </c>
    </row>
    <row r="1113" spans="1:10" x14ac:dyDescent="0.25">
      <c r="A1113" s="3">
        <v>70141035360</v>
      </c>
      <c r="B1113" s="3" t="s">
        <v>1213</v>
      </c>
      <c r="C1113" s="3" t="s">
        <v>12</v>
      </c>
      <c r="D1113" s="3" t="s">
        <v>314</v>
      </c>
      <c r="E1113" s="3">
        <v>11</v>
      </c>
      <c r="F1113" s="3" t="s">
        <v>55</v>
      </c>
      <c r="G1113" s="4" t="str">
        <f t="shared" si="68"/>
        <v>35360</v>
      </c>
      <c r="H1113" t="str">
        <f t="shared" si="69"/>
        <v>Emre ÇOBAN</v>
      </c>
      <c r="I1113" t="str">
        <f t="shared" si="70"/>
        <v>11G Otomotiv Mekanikerliği</v>
      </c>
      <c r="J1113" t="str">
        <f t="shared" si="71"/>
        <v>11G</v>
      </c>
    </row>
    <row r="1114" spans="1:10" x14ac:dyDescent="0.25">
      <c r="A1114" s="3">
        <v>57127517522</v>
      </c>
      <c r="B1114" s="3" t="s">
        <v>1214</v>
      </c>
      <c r="C1114" s="3" t="s">
        <v>12</v>
      </c>
      <c r="D1114" s="3" t="s">
        <v>314</v>
      </c>
      <c r="E1114" s="3">
        <v>11</v>
      </c>
      <c r="F1114" s="3" t="s">
        <v>55</v>
      </c>
      <c r="G1114" s="4" t="str">
        <f t="shared" si="68"/>
        <v>17522</v>
      </c>
      <c r="H1114" t="str">
        <f t="shared" si="69"/>
        <v>Eyüb Cihan ATEŞ</v>
      </c>
      <c r="I1114" t="str">
        <f t="shared" si="70"/>
        <v>11G Otomotiv Mekanikerliği</v>
      </c>
      <c r="J1114" t="str">
        <f t="shared" si="71"/>
        <v>11G</v>
      </c>
    </row>
    <row r="1115" spans="1:10" x14ac:dyDescent="0.25">
      <c r="A1115" s="3">
        <v>28582952494</v>
      </c>
      <c r="B1115" s="3" t="s">
        <v>1215</v>
      </c>
      <c r="C1115" s="3" t="s">
        <v>12</v>
      </c>
      <c r="D1115" s="3" t="s">
        <v>314</v>
      </c>
      <c r="E1115" s="3">
        <v>11</v>
      </c>
      <c r="F1115" s="3" t="s">
        <v>55</v>
      </c>
      <c r="G1115" s="4" t="str">
        <f t="shared" si="68"/>
        <v>52494</v>
      </c>
      <c r="H1115" t="str">
        <f t="shared" si="69"/>
        <v>Fırat Efe MUMCU</v>
      </c>
      <c r="I1115" t="str">
        <f t="shared" si="70"/>
        <v>11G Otomotiv Mekanikerliği</v>
      </c>
      <c r="J1115" t="str">
        <f t="shared" si="71"/>
        <v>11G</v>
      </c>
    </row>
    <row r="1116" spans="1:10" x14ac:dyDescent="0.25">
      <c r="A1116" s="3">
        <v>46519633018</v>
      </c>
      <c r="B1116" s="3" t="s">
        <v>1216</v>
      </c>
      <c r="C1116" s="3" t="s">
        <v>12</v>
      </c>
      <c r="D1116" s="3" t="s">
        <v>314</v>
      </c>
      <c r="E1116" s="3">
        <v>11</v>
      </c>
      <c r="F1116" s="3" t="s">
        <v>438</v>
      </c>
      <c r="G1116" s="4" t="str">
        <f t="shared" si="68"/>
        <v>33018</v>
      </c>
      <c r="H1116" t="str">
        <f t="shared" si="69"/>
        <v>Furkan ARSLAN</v>
      </c>
      <c r="I1116" t="str">
        <f t="shared" si="70"/>
        <v>11H Otomotiv Mekanikerliği</v>
      </c>
      <c r="J1116" t="str">
        <f t="shared" si="71"/>
        <v>11H</v>
      </c>
    </row>
    <row r="1117" spans="1:10" x14ac:dyDescent="0.25">
      <c r="A1117" s="3">
        <v>36634962728</v>
      </c>
      <c r="B1117" s="3" t="s">
        <v>1217</v>
      </c>
      <c r="C1117" s="3" t="s">
        <v>12</v>
      </c>
      <c r="D1117" s="3" t="s">
        <v>314</v>
      </c>
      <c r="E1117" s="3">
        <v>11</v>
      </c>
      <c r="F1117" s="3" t="s">
        <v>438</v>
      </c>
      <c r="G1117" s="4" t="str">
        <f t="shared" si="68"/>
        <v>62728</v>
      </c>
      <c r="H1117" t="str">
        <f t="shared" si="69"/>
        <v>Furkan KURT</v>
      </c>
      <c r="I1117" t="str">
        <f t="shared" si="70"/>
        <v>11H Otomotiv Mekanikerliği</v>
      </c>
      <c r="J1117" t="str">
        <f t="shared" si="71"/>
        <v>11H</v>
      </c>
    </row>
    <row r="1118" spans="1:10" x14ac:dyDescent="0.25">
      <c r="A1118" s="3">
        <v>46252642292</v>
      </c>
      <c r="B1118" s="3" t="s">
        <v>1218</v>
      </c>
      <c r="C1118" s="3" t="s">
        <v>898</v>
      </c>
      <c r="D1118" s="3" t="s">
        <v>314</v>
      </c>
      <c r="E1118" s="3">
        <v>11</v>
      </c>
      <c r="F1118" s="3" t="s">
        <v>438</v>
      </c>
      <c r="G1118" s="4" t="str">
        <f t="shared" si="68"/>
        <v>42292</v>
      </c>
      <c r="H1118" t="str">
        <f t="shared" si="69"/>
        <v>Göktuğ YÖRÜBAŞ</v>
      </c>
      <c r="I1118" t="str">
        <f t="shared" si="70"/>
        <v>11H Otomotiv Mekanikerliği</v>
      </c>
      <c r="J1118" t="str">
        <f t="shared" si="71"/>
        <v>11H</v>
      </c>
    </row>
    <row r="1119" spans="1:10" x14ac:dyDescent="0.25">
      <c r="A1119" s="3">
        <v>21092481232</v>
      </c>
      <c r="B1119" s="3" t="s">
        <v>1219</v>
      </c>
      <c r="C1119" s="3" t="s">
        <v>12</v>
      </c>
      <c r="D1119" s="3" t="s">
        <v>314</v>
      </c>
      <c r="E1119" s="3">
        <v>11</v>
      </c>
      <c r="F1119" s="3" t="s">
        <v>438</v>
      </c>
      <c r="G1119" s="4" t="str">
        <f t="shared" si="68"/>
        <v>81232</v>
      </c>
      <c r="H1119" t="str">
        <f t="shared" si="69"/>
        <v>Hasan BİNGÖL</v>
      </c>
      <c r="I1119" t="str">
        <f t="shared" si="70"/>
        <v>11H Otomotiv Mekanikerliği</v>
      </c>
      <c r="J1119" t="str">
        <f t="shared" si="71"/>
        <v>11H</v>
      </c>
    </row>
    <row r="1120" spans="1:10" x14ac:dyDescent="0.25">
      <c r="A1120" s="3">
        <v>53197776296</v>
      </c>
      <c r="B1120" s="3" t="s">
        <v>1220</v>
      </c>
      <c r="C1120" s="3" t="s">
        <v>12</v>
      </c>
      <c r="D1120" s="3" t="s">
        <v>314</v>
      </c>
      <c r="E1120" s="3">
        <v>11</v>
      </c>
      <c r="F1120" s="3" t="s">
        <v>438</v>
      </c>
      <c r="G1120" s="4" t="str">
        <f t="shared" si="68"/>
        <v>76296</v>
      </c>
      <c r="H1120" t="str">
        <f t="shared" si="69"/>
        <v>Hasan Sefa KARACA</v>
      </c>
      <c r="I1120" t="str">
        <f t="shared" si="70"/>
        <v>11H Otomotiv Mekanikerliği</v>
      </c>
      <c r="J1120" t="str">
        <f t="shared" si="71"/>
        <v>11H</v>
      </c>
    </row>
    <row r="1121" spans="1:10" x14ac:dyDescent="0.25">
      <c r="A1121" s="3">
        <v>30362322236</v>
      </c>
      <c r="B1121" s="3" t="s">
        <v>1221</v>
      </c>
      <c r="C1121" s="3" t="s">
        <v>12</v>
      </c>
      <c r="D1121" s="3" t="s">
        <v>314</v>
      </c>
      <c r="E1121" s="3">
        <v>11</v>
      </c>
      <c r="F1121" s="3" t="s">
        <v>55</v>
      </c>
      <c r="G1121" s="4" t="str">
        <f t="shared" si="68"/>
        <v>22236</v>
      </c>
      <c r="H1121" t="str">
        <f t="shared" si="69"/>
        <v>Hüseyin SOSYAL</v>
      </c>
      <c r="I1121" t="str">
        <f t="shared" si="70"/>
        <v>11G Otomotiv Mekanikerliği</v>
      </c>
      <c r="J1121" t="str">
        <f t="shared" si="71"/>
        <v>11G</v>
      </c>
    </row>
    <row r="1122" spans="1:10" x14ac:dyDescent="0.25">
      <c r="A1122" s="3">
        <v>16781252620</v>
      </c>
      <c r="B1122" s="3" t="s">
        <v>1222</v>
      </c>
      <c r="C1122" s="3" t="s">
        <v>12</v>
      </c>
      <c r="D1122" s="3" t="s">
        <v>314</v>
      </c>
      <c r="E1122" s="3">
        <v>11</v>
      </c>
      <c r="F1122" s="3" t="s">
        <v>438</v>
      </c>
      <c r="G1122" s="4" t="str">
        <f t="shared" si="68"/>
        <v>52620</v>
      </c>
      <c r="H1122" t="str">
        <f t="shared" si="69"/>
        <v>İbrahim Davut KURT</v>
      </c>
      <c r="I1122" t="str">
        <f t="shared" si="70"/>
        <v>11H Otomotiv Mekanikerliği</v>
      </c>
      <c r="J1122" t="str">
        <f t="shared" si="71"/>
        <v>11H</v>
      </c>
    </row>
    <row r="1123" spans="1:10" x14ac:dyDescent="0.25">
      <c r="A1123" s="3">
        <v>41047877682</v>
      </c>
      <c r="B1123" s="3" t="s">
        <v>1223</v>
      </c>
      <c r="C1123" s="3" t="s">
        <v>12</v>
      </c>
      <c r="D1123" s="3" t="s">
        <v>314</v>
      </c>
      <c r="E1123" s="3">
        <v>11</v>
      </c>
      <c r="F1123" s="3" t="s">
        <v>438</v>
      </c>
      <c r="G1123" s="4" t="str">
        <f t="shared" si="68"/>
        <v>77682</v>
      </c>
      <c r="H1123" t="str">
        <f t="shared" si="69"/>
        <v>İsa KIRMIZIYILDIZ</v>
      </c>
      <c r="I1123" t="str">
        <f t="shared" si="70"/>
        <v>11H Otomotiv Mekanikerliği</v>
      </c>
      <c r="J1123" t="str">
        <f t="shared" si="71"/>
        <v>11H</v>
      </c>
    </row>
    <row r="1124" spans="1:10" x14ac:dyDescent="0.25">
      <c r="A1124" s="3">
        <v>48784617892</v>
      </c>
      <c r="B1124" s="3" t="s">
        <v>1224</v>
      </c>
      <c r="C1124" s="3" t="s">
        <v>12</v>
      </c>
      <c r="D1124" s="3" t="s">
        <v>314</v>
      </c>
      <c r="E1124" s="3">
        <v>11</v>
      </c>
      <c r="F1124" s="3" t="s">
        <v>55</v>
      </c>
      <c r="G1124" s="4" t="str">
        <f t="shared" si="68"/>
        <v>17892</v>
      </c>
      <c r="H1124" t="str">
        <f t="shared" si="69"/>
        <v>İsmail UĞUZ</v>
      </c>
      <c r="I1124" t="str">
        <f t="shared" si="70"/>
        <v>11G Otomotiv Mekanikerliği</v>
      </c>
      <c r="J1124" t="str">
        <f t="shared" si="71"/>
        <v>11G</v>
      </c>
    </row>
    <row r="1125" spans="1:10" x14ac:dyDescent="0.25">
      <c r="A1125" s="3">
        <v>34898020420</v>
      </c>
      <c r="B1125" s="3" t="s">
        <v>1225</v>
      </c>
      <c r="C1125" s="3" t="s">
        <v>12</v>
      </c>
      <c r="D1125" s="3" t="s">
        <v>314</v>
      </c>
      <c r="E1125" s="3">
        <v>11</v>
      </c>
      <c r="F1125" s="3" t="s">
        <v>438</v>
      </c>
      <c r="G1125" s="4" t="str">
        <f t="shared" si="68"/>
        <v>20420</v>
      </c>
      <c r="H1125" t="str">
        <f t="shared" si="69"/>
        <v>Kerem EPÇAÇAN</v>
      </c>
      <c r="I1125" t="str">
        <f t="shared" si="70"/>
        <v>11H Otomotiv Mekanikerliği</v>
      </c>
      <c r="J1125" t="str">
        <f t="shared" si="71"/>
        <v>11H</v>
      </c>
    </row>
    <row r="1126" spans="1:10" x14ac:dyDescent="0.25">
      <c r="A1126" s="3">
        <v>47560598004</v>
      </c>
      <c r="B1126" s="3" t="s">
        <v>1226</v>
      </c>
      <c r="C1126" s="3" t="s">
        <v>12</v>
      </c>
      <c r="D1126" s="3" t="s">
        <v>314</v>
      </c>
      <c r="E1126" s="3">
        <v>11</v>
      </c>
      <c r="F1126" s="3" t="s">
        <v>55</v>
      </c>
      <c r="G1126" s="4" t="str">
        <f t="shared" si="68"/>
        <v>98004</v>
      </c>
      <c r="H1126" t="str">
        <f t="shared" si="69"/>
        <v>Melih ÇAPİN</v>
      </c>
      <c r="I1126" t="str">
        <f t="shared" si="70"/>
        <v>11G Otomotiv Mekanikerliği</v>
      </c>
      <c r="J1126" t="str">
        <f t="shared" si="71"/>
        <v>11G</v>
      </c>
    </row>
    <row r="1127" spans="1:10" x14ac:dyDescent="0.25">
      <c r="A1127" s="3">
        <v>55864321396</v>
      </c>
      <c r="B1127" s="3" t="s">
        <v>1227</v>
      </c>
      <c r="C1127" s="3" t="s">
        <v>12</v>
      </c>
      <c r="D1127" s="3" t="s">
        <v>314</v>
      </c>
      <c r="E1127" s="3">
        <v>11</v>
      </c>
      <c r="F1127" s="3" t="s">
        <v>55</v>
      </c>
      <c r="G1127" s="4" t="str">
        <f t="shared" si="68"/>
        <v>21396</v>
      </c>
      <c r="H1127" t="str">
        <f t="shared" si="69"/>
        <v>Mert BEŞİKÇİ</v>
      </c>
      <c r="I1127" t="str">
        <f t="shared" si="70"/>
        <v>11G Otomotiv Mekanikerliği</v>
      </c>
      <c r="J1127" t="str">
        <f t="shared" si="71"/>
        <v>11G</v>
      </c>
    </row>
    <row r="1128" spans="1:10" x14ac:dyDescent="0.25">
      <c r="A1128" s="3">
        <v>12590764194</v>
      </c>
      <c r="B1128" s="3" t="s">
        <v>1228</v>
      </c>
      <c r="C1128" s="3" t="s">
        <v>898</v>
      </c>
      <c r="D1128" s="3" t="s">
        <v>314</v>
      </c>
      <c r="E1128" s="3">
        <v>11</v>
      </c>
      <c r="F1128" s="3" t="s">
        <v>55</v>
      </c>
      <c r="G1128" s="4" t="str">
        <f t="shared" si="68"/>
        <v>64194</v>
      </c>
      <c r="H1128" t="str">
        <f t="shared" si="69"/>
        <v>Mert Veli TONBUL</v>
      </c>
      <c r="I1128" t="str">
        <f t="shared" si="70"/>
        <v>11G Otomotiv Mekanikerliği</v>
      </c>
      <c r="J1128" t="str">
        <f t="shared" si="71"/>
        <v>11G</v>
      </c>
    </row>
    <row r="1129" spans="1:10" x14ac:dyDescent="0.25">
      <c r="A1129" s="3">
        <v>25321726064</v>
      </c>
      <c r="B1129" s="3" t="s">
        <v>283</v>
      </c>
      <c r="C1129" s="3" t="s">
        <v>12</v>
      </c>
      <c r="D1129" s="3" t="s">
        <v>314</v>
      </c>
      <c r="E1129" s="3">
        <v>11</v>
      </c>
      <c r="F1129" s="3" t="s">
        <v>438</v>
      </c>
      <c r="G1129" s="4" t="str">
        <f t="shared" si="68"/>
        <v>26064</v>
      </c>
      <c r="H1129" t="str">
        <f t="shared" si="69"/>
        <v>Muhammed AYDIN</v>
      </c>
      <c r="I1129" t="str">
        <f t="shared" si="70"/>
        <v>11H Otomotiv Mekanikerliği</v>
      </c>
      <c r="J1129" t="str">
        <f t="shared" si="71"/>
        <v>11H</v>
      </c>
    </row>
    <row r="1130" spans="1:10" x14ac:dyDescent="0.25">
      <c r="A1130" s="3">
        <v>14987325278</v>
      </c>
      <c r="B1130" s="3" t="s">
        <v>1229</v>
      </c>
      <c r="C1130" s="3" t="s">
        <v>12</v>
      </c>
      <c r="D1130" s="3" t="s">
        <v>314</v>
      </c>
      <c r="E1130" s="3">
        <v>11</v>
      </c>
      <c r="F1130" s="3" t="s">
        <v>55</v>
      </c>
      <c r="G1130" s="4" t="str">
        <f t="shared" si="68"/>
        <v>25278</v>
      </c>
      <c r="H1130" t="str">
        <f t="shared" si="69"/>
        <v>Muhammed İZSİZ</v>
      </c>
      <c r="I1130" t="str">
        <f t="shared" si="70"/>
        <v>11G Otomotiv Mekanikerliği</v>
      </c>
      <c r="J1130" t="str">
        <f t="shared" si="71"/>
        <v>11G</v>
      </c>
    </row>
    <row r="1131" spans="1:10" x14ac:dyDescent="0.25">
      <c r="A1131" s="3">
        <v>24788357262</v>
      </c>
      <c r="B1131" s="3" t="s">
        <v>1230</v>
      </c>
      <c r="C1131" s="3" t="s">
        <v>12</v>
      </c>
      <c r="D1131" s="3" t="s">
        <v>314</v>
      </c>
      <c r="E1131" s="3">
        <v>11</v>
      </c>
      <c r="F1131" s="3" t="s">
        <v>55</v>
      </c>
      <c r="G1131" s="4" t="str">
        <f t="shared" si="68"/>
        <v>57262</v>
      </c>
      <c r="H1131" t="str">
        <f t="shared" si="69"/>
        <v>Mustafa DEMİR</v>
      </c>
      <c r="I1131" t="str">
        <f t="shared" si="70"/>
        <v>11G Otomotiv Mekanikerliği</v>
      </c>
      <c r="J1131" t="str">
        <f t="shared" si="71"/>
        <v>11G</v>
      </c>
    </row>
    <row r="1132" spans="1:10" x14ac:dyDescent="0.25">
      <c r="A1132" s="3">
        <v>59770191548</v>
      </c>
      <c r="B1132" s="3" t="s">
        <v>1231</v>
      </c>
      <c r="C1132" s="3" t="s">
        <v>12</v>
      </c>
      <c r="D1132" s="3" t="s">
        <v>314</v>
      </c>
      <c r="E1132" s="3">
        <v>11</v>
      </c>
      <c r="F1132" s="3" t="s">
        <v>55</v>
      </c>
      <c r="G1132" s="4" t="str">
        <f t="shared" si="68"/>
        <v>91548</v>
      </c>
      <c r="H1132" t="str">
        <f t="shared" si="69"/>
        <v>Mustafa Yavuz BALCI</v>
      </c>
      <c r="I1132" t="str">
        <f t="shared" si="70"/>
        <v>11G Otomotiv Mekanikerliği</v>
      </c>
      <c r="J1132" t="str">
        <f t="shared" si="71"/>
        <v>11G</v>
      </c>
    </row>
    <row r="1133" spans="1:10" x14ac:dyDescent="0.25">
      <c r="A1133" s="3">
        <v>14003716912</v>
      </c>
      <c r="B1133" s="3" t="s">
        <v>1232</v>
      </c>
      <c r="C1133" s="3" t="s">
        <v>12</v>
      </c>
      <c r="D1133" s="3" t="s">
        <v>314</v>
      </c>
      <c r="E1133" s="3">
        <v>11</v>
      </c>
      <c r="F1133" s="3" t="s">
        <v>55</v>
      </c>
      <c r="G1133" s="4" t="str">
        <f t="shared" si="68"/>
        <v>16912</v>
      </c>
      <c r="H1133" t="str">
        <f t="shared" si="69"/>
        <v>Nurullah YILMAZ</v>
      </c>
      <c r="I1133" t="str">
        <f t="shared" si="70"/>
        <v>11G Otomotiv Mekanikerliği</v>
      </c>
      <c r="J1133" t="str">
        <f t="shared" si="71"/>
        <v>11G</v>
      </c>
    </row>
    <row r="1134" spans="1:10" x14ac:dyDescent="0.25">
      <c r="A1134" s="3">
        <v>32465101428</v>
      </c>
      <c r="B1134" s="3" t="s">
        <v>1233</v>
      </c>
      <c r="C1134" s="3" t="s">
        <v>12</v>
      </c>
      <c r="D1134" s="3" t="s">
        <v>314</v>
      </c>
      <c r="E1134" s="3">
        <v>11</v>
      </c>
      <c r="F1134" s="3" t="s">
        <v>438</v>
      </c>
      <c r="G1134" s="4" t="str">
        <f t="shared" si="68"/>
        <v>01428</v>
      </c>
      <c r="H1134" t="str">
        <f t="shared" si="69"/>
        <v>Oruç Can KARABOĞA</v>
      </c>
      <c r="I1134" t="str">
        <f t="shared" si="70"/>
        <v>11H Otomotiv Mekanikerliği</v>
      </c>
      <c r="J1134" t="str">
        <f t="shared" si="71"/>
        <v>11H</v>
      </c>
    </row>
    <row r="1135" spans="1:10" x14ac:dyDescent="0.25">
      <c r="A1135" s="3">
        <v>28850222694</v>
      </c>
      <c r="B1135" s="3" t="s">
        <v>1234</v>
      </c>
      <c r="C1135" s="3" t="s">
        <v>12</v>
      </c>
      <c r="D1135" s="3" t="s">
        <v>314</v>
      </c>
      <c r="E1135" s="3">
        <v>11</v>
      </c>
      <c r="F1135" s="3" t="s">
        <v>438</v>
      </c>
      <c r="G1135" s="4" t="str">
        <f t="shared" si="68"/>
        <v>22694</v>
      </c>
      <c r="H1135" t="str">
        <f t="shared" si="69"/>
        <v>Poyraz AYDINLI</v>
      </c>
      <c r="I1135" t="str">
        <f t="shared" si="70"/>
        <v>11H Otomotiv Mekanikerliği</v>
      </c>
      <c r="J1135" t="str">
        <f t="shared" si="71"/>
        <v>11H</v>
      </c>
    </row>
    <row r="1136" spans="1:10" x14ac:dyDescent="0.25">
      <c r="A1136" s="3">
        <v>50710206506</v>
      </c>
      <c r="B1136" s="3" t="s">
        <v>1235</v>
      </c>
      <c r="C1136" s="3" t="s">
        <v>12</v>
      </c>
      <c r="D1136" s="3" t="s">
        <v>314</v>
      </c>
      <c r="E1136" s="3">
        <v>11</v>
      </c>
      <c r="F1136" s="3" t="s">
        <v>55</v>
      </c>
      <c r="G1136" s="4" t="str">
        <f t="shared" si="68"/>
        <v>06506</v>
      </c>
      <c r="H1136" t="str">
        <f t="shared" si="69"/>
        <v>Rüzgar ATEŞSAÇAN</v>
      </c>
      <c r="I1136" t="str">
        <f t="shared" si="70"/>
        <v>11G Otomotiv Mekanikerliği</v>
      </c>
      <c r="J1136" t="str">
        <f t="shared" si="71"/>
        <v>11G</v>
      </c>
    </row>
    <row r="1137" spans="1:10" x14ac:dyDescent="0.25">
      <c r="A1137" s="3">
        <v>49996517178</v>
      </c>
      <c r="B1137" s="3" t="s">
        <v>1236</v>
      </c>
      <c r="C1137" s="3" t="s">
        <v>12</v>
      </c>
      <c r="D1137" s="3" t="s">
        <v>314</v>
      </c>
      <c r="E1137" s="3">
        <v>11</v>
      </c>
      <c r="F1137" s="3" t="s">
        <v>55</v>
      </c>
      <c r="G1137" s="4" t="str">
        <f t="shared" si="68"/>
        <v>17178</v>
      </c>
      <c r="H1137" t="str">
        <f t="shared" si="69"/>
        <v>Samed Alperen SELVİ</v>
      </c>
      <c r="I1137" t="str">
        <f t="shared" si="70"/>
        <v>11G Otomotiv Mekanikerliği</v>
      </c>
      <c r="J1137" t="str">
        <f t="shared" si="71"/>
        <v>11G</v>
      </c>
    </row>
    <row r="1138" spans="1:10" x14ac:dyDescent="0.25">
      <c r="A1138" s="3">
        <v>54919353368</v>
      </c>
      <c r="B1138" s="3" t="s">
        <v>1237</v>
      </c>
      <c r="C1138" s="3" t="s">
        <v>12</v>
      </c>
      <c r="D1138" s="3" t="s">
        <v>314</v>
      </c>
      <c r="E1138" s="3">
        <v>11</v>
      </c>
      <c r="F1138" s="3" t="s">
        <v>55</v>
      </c>
      <c r="G1138" s="4" t="str">
        <f t="shared" si="68"/>
        <v>53368</v>
      </c>
      <c r="H1138" t="str">
        <f t="shared" si="69"/>
        <v>Samet ÇOLAKER</v>
      </c>
      <c r="I1138" t="str">
        <f t="shared" si="70"/>
        <v>11G Otomotiv Mekanikerliği</v>
      </c>
      <c r="J1138" t="str">
        <f t="shared" si="71"/>
        <v>11G</v>
      </c>
    </row>
    <row r="1139" spans="1:10" x14ac:dyDescent="0.25">
      <c r="A1139" s="3">
        <v>29677517420</v>
      </c>
      <c r="B1139" s="3" t="s">
        <v>1238</v>
      </c>
      <c r="C1139" s="3" t="s">
        <v>12</v>
      </c>
      <c r="D1139" s="3" t="s">
        <v>314</v>
      </c>
      <c r="E1139" s="3">
        <v>11</v>
      </c>
      <c r="F1139" s="3" t="s">
        <v>438</v>
      </c>
      <c r="G1139" s="4" t="str">
        <f t="shared" si="68"/>
        <v>17420</v>
      </c>
      <c r="H1139" t="str">
        <f t="shared" si="69"/>
        <v>Samet Ege ÇELİKLER</v>
      </c>
      <c r="I1139" t="str">
        <f t="shared" si="70"/>
        <v>11H Otomotiv Mekanikerliği</v>
      </c>
      <c r="J1139" t="str">
        <f t="shared" si="71"/>
        <v>11H</v>
      </c>
    </row>
    <row r="1140" spans="1:10" x14ac:dyDescent="0.25">
      <c r="A1140" s="3">
        <v>46954331432</v>
      </c>
      <c r="B1140" s="3" t="s">
        <v>1239</v>
      </c>
      <c r="C1140" s="3" t="s">
        <v>12</v>
      </c>
      <c r="D1140" s="3" t="s">
        <v>314</v>
      </c>
      <c r="E1140" s="3">
        <v>11</v>
      </c>
      <c r="F1140" s="3" t="s">
        <v>438</v>
      </c>
      <c r="G1140" s="4" t="str">
        <f t="shared" si="68"/>
        <v>31432</v>
      </c>
      <c r="H1140" t="str">
        <f t="shared" si="69"/>
        <v>Siraç Emin GÜVEN</v>
      </c>
      <c r="I1140" t="str">
        <f t="shared" si="70"/>
        <v>11H Otomotiv Mekanikerliği</v>
      </c>
      <c r="J1140" t="str">
        <f t="shared" si="71"/>
        <v>11H</v>
      </c>
    </row>
    <row r="1141" spans="1:10" x14ac:dyDescent="0.25">
      <c r="A1141" s="3">
        <v>17696277364</v>
      </c>
      <c r="B1141" s="3" t="s">
        <v>1240</v>
      </c>
      <c r="C1141" s="3" t="s">
        <v>12</v>
      </c>
      <c r="D1141" s="3" t="s">
        <v>314</v>
      </c>
      <c r="E1141" s="3">
        <v>11</v>
      </c>
      <c r="F1141" s="3" t="s">
        <v>438</v>
      </c>
      <c r="G1141" s="4" t="str">
        <f t="shared" si="68"/>
        <v>77364</v>
      </c>
      <c r="H1141" t="str">
        <f t="shared" si="69"/>
        <v>Süleyman GÜNEŞ</v>
      </c>
      <c r="I1141" t="str">
        <f t="shared" si="70"/>
        <v>11H Otomotiv Mekanikerliği</v>
      </c>
      <c r="J1141" t="str">
        <f t="shared" si="71"/>
        <v>11H</v>
      </c>
    </row>
    <row r="1142" spans="1:10" x14ac:dyDescent="0.25">
      <c r="A1142" s="3">
        <v>58981472330</v>
      </c>
      <c r="B1142" s="3" t="s">
        <v>1241</v>
      </c>
      <c r="C1142" s="3" t="s">
        <v>12</v>
      </c>
      <c r="D1142" s="3" t="s">
        <v>314</v>
      </c>
      <c r="E1142" s="3">
        <v>11</v>
      </c>
      <c r="F1142" s="3" t="s">
        <v>55</v>
      </c>
      <c r="G1142" s="4" t="str">
        <f t="shared" si="68"/>
        <v>72330</v>
      </c>
      <c r="H1142" t="str">
        <f t="shared" si="69"/>
        <v>Şervan ERBULUN</v>
      </c>
      <c r="I1142" t="str">
        <f t="shared" si="70"/>
        <v>11G Otomotiv Mekanikerliği</v>
      </c>
      <c r="J1142" t="str">
        <f t="shared" si="71"/>
        <v>11G</v>
      </c>
    </row>
    <row r="1143" spans="1:10" x14ac:dyDescent="0.25">
      <c r="A1143" s="3">
        <v>57349272032</v>
      </c>
      <c r="B1143" s="3" t="s">
        <v>1242</v>
      </c>
      <c r="C1143" s="3" t="s">
        <v>12</v>
      </c>
      <c r="D1143" s="3" t="s">
        <v>314</v>
      </c>
      <c r="E1143" s="3">
        <v>11</v>
      </c>
      <c r="F1143" s="3" t="s">
        <v>438</v>
      </c>
      <c r="G1143" s="4" t="str">
        <f t="shared" si="68"/>
        <v>72032</v>
      </c>
      <c r="H1143" t="str">
        <f t="shared" si="69"/>
        <v>Toprak KOÇDAĞ</v>
      </c>
      <c r="I1143" t="str">
        <f t="shared" si="70"/>
        <v>11H Otomotiv Mekanikerliği</v>
      </c>
      <c r="J1143" t="str">
        <f t="shared" si="71"/>
        <v>11H</v>
      </c>
    </row>
    <row r="1144" spans="1:10" x14ac:dyDescent="0.25">
      <c r="A1144" s="3">
        <v>53695393520</v>
      </c>
      <c r="B1144" s="3" t="s">
        <v>1243</v>
      </c>
      <c r="C1144" s="3" t="s">
        <v>12</v>
      </c>
      <c r="D1144" s="3" t="s">
        <v>314</v>
      </c>
      <c r="E1144" s="3">
        <v>11</v>
      </c>
      <c r="F1144" s="3" t="s">
        <v>55</v>
      </c>
      <c r="G1144" s="4" t="str">
        <f t="shared" si="68"/>
        <v>93520</v>
      </c>
      <c r="H1144" t="str">
        <f t="shared" si="69"/>
        <v>Ufuk ELÇİ</v>
      </c>
      <c r="I1144" t="str">
        <f t="shared" si="70"/>
        <v>11G Otomotiv Mekanikerliği</v>
      </c>
      <c r="J1144" t="str">
        <f t="shared" si="71"/>
        <v>11G</v>
      </c>
    </row>
    <row r="1145" spans="1:10" x14ac:dyDescent="0.25">
      <c r="A1145" s="3">
        <v>46231642480</v>
      </c>
      <c r="B1145" s="3" t="s">
        <v>1244</v>
      </c>
      <c r="C1145" s="3" t="s">
        <v>12</v>
      </c>
      <c r="D1145" s="3" t="s">
        <v>314</v>
      </c>
      <c r="E1145" s="3">
        <v>11</v>
      </c>
      <c r="F1145" s="3" t="s">
        <v>55</v>
      </c>
      <c r="G1145" s="4" t="str">
        <f t="shared" si="68"/>
        <v>42480</v>
      </c>
      <c r="H1145" t="str">
        <f t="shared" si="69"/>
        <v>Utku Yiğit ÖZLÜ</v>
      </c>
      <c r="I1145" t="str">
        <f t="shared" si="70"/>
        <v>11G Otomotiv Mekanikerliği</v>
      </c>
      <c r="J1145" t="str">
        <f t="shared" si="71"/>
        <v>11G</v>
      </c>
    </row>
    <row r="1146" spans="1:10" x14ac:dyDescent="0.25">
      <c r="A1146" s="3">
        <v>13958969404</v>
      </c>
      <c r="B1146" s="3" t="s">
        <v>1245</v>
      </c>
      <c r="C1146" s="3" t="s">
        <v>12</v>
      </c>
      <c r="D1146" s="3" t="s">
        <v>314</v>
      </c>
      <c r="E1146" s="3">
        <v>11</v>
      </c>
      <c r="F1146" s="3" t="s">
        <v>55</v>
      </c>
      <c r="G1146" s="4" t="str">
        <f t="shared" si="68"/>
        <v>69404</v>
      </c>
      <c r="H1146" t="str">
        <f t="shared" si="69"/>
        <v>Ümit KAYA</v>
      </c>
      <c r="I1146" t="str">
        <f t="shared" si="70"/>
        <v>11G Otomotiv Mekanikerliği</v>
      </c>
      <c r="J1146" t="str">
        <f t="shared" si="71"/>
        <v>11G</v>
      </c>
    </row>
    <row r="1147" spans="1:10" x14ac:dyDescent="0.25">
      <c r="A1147" s="3">
        <v>51139479458</v>
      </c>
      <c r="B1147" s="3" t="s">
        <v>1246</v>
      </c>
      <c r="C1147" s="3" t="s">
        <v>12</v>
      </c>
      <c r="D1147" s="3" t="s">
        <v>314</v>
      </c>
      <c r="E1147" s="3">
        <v>11</v>
      </c>
      <c r="F1147" s="3" t="s">
        <v>55</v>
      </c>
      <c r="G1147" s="4" t="str">
        <f t="shared" si="68"/>
        <v>79458</v>
      </c>
      <c r="H1147" t="str">
        <f t="shared" si="69"/>
        <v>Yunus Emre BÜLBÜLER</v>
      </c>
      <c r="I1147" t="str">
        <f t="shared" si="70"/>
        <v>11G Otomotiv Mekanikerliği</v>
      </c>
      <c r="J1147" t="str">
        <f t="shared" si="71"/>
        <v>11G</v>
      </c>
    </row>
    <row r="1148" spans="1:10" x14ac:dyDescent="0.25">
      <c r="A1148" s="3">
        <v>21224104466</v>
      </c>
      <c r="B1148" s="3" t="s">
        <v>1247</v>
      </c>
      <c r="C1148" s="3" t="s">
        <v>12</v>
      </c>
      <c r="D1148" s="3" t="s">
        <v>345</v>
      </c>
      <c r="E1148" s="3">
        <v>11</v>
      </c>
      <c r="F1148" s="3" t="s">
        <v>1248</v>
      </c>
      <c r="G1148" s="4" t="str">
        <f t="shared" si="68"/>
        <v>04466</v>
      </c>
      <c r="H1148" t="str">
        <f t="shared" si="69"/>
        <v>Burak TOPÇU</v>
      </c>
      <c r="I1148" t="str">
        <f t="shared" si="70"/>
        <v>11G2 Otomotiv Motor Yenileştirmeciliği</v>
      </c>
      <c r="J1148" t="str">
        <f t="shared" si="71"/>
        <v>11G</v>
      </c>
    </row>
    <row r="1149" spans="1:10" x14ac:dyDescent="0.25">
      <c r="A1149" s="3">
        <v>38665988340</v>
      </c>
      <c r="B1149" s="3" t="s">
        <v>1249</v>
      </c>
      <c r="C1149" s="3" t="s">
        <v>12</v>
      </c>
      <c r="D1149" s="3" t="s">
        <v>345</v>
      </c>
      <c r="E1149" s="3">
        <v>11</v>
      </c>
      <c r="F1149" s="3" t="s">
        <v>1248</v>
      </c>
      <c r="G1149" s="4" t="str">
        <f t="shared" si="68"/>
        <v>88340</v>
      </c>
      <c r="H1149" t="str">
        <f t="shared" si="69"/>
        <v>Efe Hamza BAKACAK</v>
      </c>
      <c r="I1149" t="str">
        <f t="shared" si="70"/>
        <v>11G2 Otomotiv Motor Yenileştirmeciliği</v>
      </c>
      <c r="J1149" t="str">
        <f t="shared" si="71"/>
        <v>11G</v>
      </c>
    </row>
    <row r="1150" spans="1:10" x14ac:dyDescent="0.25">
      <c r="A1150" s="3">
        <v>62857089072</v>
      </c>
      <c r="B1150" s="3" t="s">
        <v>1250</v>
      </c>
      <c r="C1150" s="3" t="s">
        <v>12</v>
      </c>
      <c r="D1150" s="3" t="s">
        <v>345</v>
      </c>
      <c r="E1150" s="3">
        <v>11</v>
      </c>
      <c r="F1150" s="3" t="s">
        <v>1248</v>
      </c>
      <c r="G1150" s="4" t="str">
        <f t="shared" si="68"/>
        <v>89072</v>
      </c>
      <c r="H1150" t="str">
        <f t="shared" si="69"/>
        <v>Yiğit ŞENER</v>
      </c>
      <c r="I1150" t="str">
        <f t="shared" si="70"/>
        <v>11G2 Otomotiv Motor Yenileştirmeciliği</v>
      </c>
      <c r="J1150" t="str">
        <f t="shared" si="71"/>
        <v>11G</v>
      </c>
    </row>
    <row r="1151" spans="1:10" x14ac:dyDescent="0.25">
      <c r="A1151" s="3">
        <v>12194352704</v>
      </c>
      <c r="B1151" s="3" t="s">
        <v>1251</v>
      </c>
      <c r="C1151" s="3" t="s">
        <v>12</v>
      </c>
      <c r="D1151" s="3" t="s">
        <v>348</v>
      </c>
      <c r="E1151" s="3">
        <v>11</v>
      </c>
      <c r="F1151" s="3" t="s">
        <v>1252</v>
      </c>
      <c r="G1151" s="4" t="str">
        <f t="shared" si="68"/>
        <v>52704</v>
      </c>
      <c r="H1151" t="str">
        <f t="shared" si="69"/>
        <v>Ahmet Efe ÇOBANOĞLU</v>
      </c>
      <c r="I1151" t="str">
        <f t="shared" si="70"/>
        <v>11F2 Ön Düzen Ayarcılığı Ve Lastikçilik</v>
      </c>
      <c r="J1151" t="str">
        <f t="shared" si="71"/>
        <v>11F</v>
      </c>
    </row>
    <row r="1152" spans="1:10" x14ac:dyDescent="0.25">
      <c r="A1152" s="3">
        <v>14699933150</v>
      </c>
      <c r="B1152" s="3" t="s">
        <v>1253</v>
      </c>
      <c r="C1152" s="3" t="s">
        <v>12</v>
      </c>
      <c r="D1152" s="3" t="s">
        <v>348</v>
      </c>
      <c r="E1152" s="3">
        <v>11</v>
      </c>
      <c r="F1152" s="3" t="s">
        <v>1252</v>
      </c>
      <c r="G1152" s="4" t="str">
        <f t="shared" si="68"/>
        <v>33150</v>
      </c>
      <c r="H1152" t="str">
        <f t="shared" si="69"/>
        <v>Mehmet KARA</v>
      </c>
      <c r="I1152" t="str">
        <f t="shared" si="70"/>
        <v>11F2 Ön Düzen Ayarcılığı Ve Lastikçilik</v>
      </c>
      <c r="J1152" t="str">
        <f t="shared" si="71"/>
        <v>11F</v>
      </c>
    </row>
    <row r="1153" spans="1:10" x14ac:dyDescent="0.25">
      <c r="A1153" s="3">
        <v>39607588130</v>
      </c>
      <c r="B1153" s="3" t="s">
        <v>1254</v>
      </c>
      <c r="C1153" s="3" t="s">
        <v>12</v>
      </c>
      <c r="D1153" s="3" t="s">
        <v>348</v>
      </c>
      <c r="E1153" s="3">
        <v>11</v>
      </c>
      <c r="F1153" s="3" t="s">
        <v>1252</v>
      </c>
      <c r="G1153" s="4" t="str">
        <f t="shared" si="68"/>
        <v>88130</v>
      </c>
      <c r="H1153" t="str">
        <f t="shared" si="69"/>
        <v>Nadi Can BAKICI</v>
      </c>
      <c r="I1153" t="str">
        <f t="shared" si="70"/>
        <v>11F2 Ön Düzen Ayarcılığı Ve Lastikçilik</v>
      </c>
      <c r="J1153" t="str">
        <f t="shared" si="71"/>
        <v>11F</v>
      </c>
    </row>
    <row r="1154" spans="1:10" x14ac:dyDescent="0.25">
      <c r="A1154" s="3">
        <v>53986359884</v>
      </c>
      <c r="B1154" s="3" t="s">
        <v>1255</v>
      </c>
      <c r="C1154" s="3" t="s">
        <v>12</v>
      </c>
      <c r="D1154" s="3" t="s">
        <v>348</v>
      </c>
      <c r="E1154" s="3">
        <v>11</v>
      </c>
      <c r="F1154" s="3" t="s">
        <v>1252</v>
      </c>
      <c r="G1154" s="4" t="str">
        <f t="shared" si="68"/>
        <v>59884</v>
      </c>
      <c r="H1154" t="str">
        <f t="shared" si="69"/>
        <v>Okan ÖZDOĞAN</v>
      </c>
      <c r="I1154" t="str">
        <f t="shared" si="70"/>
        <v>11F2 Ön Düzen Ayarcılığı Ve Lastikçilik</v>
      </c>
      <c r="J1154" t="str">
        <f t="shared" si="71"/>
        <v>11F</v>
      </c>
    </row>
    <row r="1155" spans="1:10" x14ac:dyDescent="0.25">
      <c r="A1155" s="3">
        <v>12635762260</v>
      </c>
      <c r="B1155" s="3" t="s">
        <v>1256</v>
      </c>
      <c r="C1155" s="3" t="s">
        <v>12</v>
      </c>
      <c r="D1155" s="3" t="s">
        <v>348</v>
      </c>
      <c r="E1155" s="3">
        <v>11</v>
      </c>
      <c r="F1155" s="3" t="s">
        <v>1252</v>
      </c>
      <c r="G1155" s="4" t="str">
        <f t="shared" si="68"/>
        <v>62260</v>
      </c>
      <c r="H1155" t="str">
        <f t="shared" si="69"/>
        <v>Taha ÖZER</v>
      </c>
      <c r="I1155" t="str">
        <f t="shared" si="70"/>
        <v>11F2 Ön Düzen Ayarcılığı Ve Lastikçilik</v>
      </c>
      <c r="J1155" t="str">
        <f t="shared" si="71"/>
        <v>11F</v>
      </c>
    </row>
    <row r="1156" spans="1:10" x14ac:dyDescent="0.25">
      <c r="A1156" s="3">
        <v>38672148560</v>
      </c>
      <c r="B1156" s="3" t="s">
        <v>1257</v>
      </c>
      <c r="C1156" s="3" t="s">
        <v>12</v>
      </c>
      <c r="D1156" s="3" t="s">
        <v>348</v>
      </c>
      <c r="E1156" s="3">
        <v>11</v>
      </c>
      <c r="F1156" s="3" t="s">
        <v>1252</v>
      </c>
      <c r="G1156" s="4" t="str">
        <f t="shared" si="68"/>
        <v>48560</v>
      </c>
      <c r="H1156" t="str">
        <f t="shared" si="69"/>
        <v>Umut Baran AKIN</v>
      </c>
      <c r="I1156" t="str">
        <f t="shared" si="70"/>
        <v>11F2 Ön Düzen Ayarcılığı Ve Lastikçilik</v>
      </c>
      <c r="J1156" t="str">
        <f t="shared" si="71"/>
        <v>11F</v>
      </c>
    </row>
    <row r="1157" spans="1:10" x14ac:dyDescent="0.25">
      <c r="A1157" s="3">
        <v>16027606378</v>
      </c>
      <c r="B1157" s="3" t="s">
        <v>1258</v>
      </c>
      <c r="C1157" s="3" t="s">
        <v>12</v>
      </c>
      <c r="D1157" s="3" t="s">
        <v>348</v>
      </c>
      <c r="E1157" s="3">
        <v>11</v>
      </c>
      <c r="F1157" s="3" t="s">
        <v>1252</v>
      </c>
      <c r="G1157" s="4" t="str">
        <f t="shared" ref="G1157:G1220" si="72">RIGHT(A1157,5)</f>
        <v>06378</v>
      </c>
      <c r="H1157" t="str">
        <f t="shared" ref="H1157:H1220" si="73">B1157</f>
        <v>Yiğit Ramazan OLUŞAN</v>
      </c>
      <c r="I1157" t="str">
        <f t="shared" ref="I1157:I1220" si="74">CONCATENATE(E1157,F1157," ",D1157)</f>
        <v>11F2 Ön Düzen Ayarcılığı Ve Lastikçilik</v>
      </c>
      <c r="J1157" t="str">
        <f t="shared" ref="J1157:J1220" si="75">LEFT(I1157,3)</f>
        <v>11F</v>
      </c>
    </row>
    <row r="1158" spans="1:10" x14ac:dyDescent="0.25">
      <c r="A1158" s="3">
        <v>15800657248</v>
      </c>
      <c r="B1158" s="3" t="s">
        <v>1259</v>
      </c>
      <c r="C1158" s="3" t="s">
        <v>12</v>
      </c>
      <c r="D1158" s="3" t="s">
        <v>354</v>
      </c>
      <c r="E1158" s="3">
        <v>11</v>
      </c>
      <c r="F1158" s="3" t="s">
        <v>363</v>
      </c>
      <c r="G1158" s="4" t="str">
        <f t="shared" si="72"/>
        <v>57248</v>
      </c>
      <c r="H1158" t="str">
        <f t="shared" si="73"/>
        <v>Eylül OKUR</v>
      </c>
      <c r="I1158" t="str">
        <f t="shared" si="74"/>
        <v>11D1 Pasta Ve Tatlı Yapımı</v>
      </c>
      <c r="J1158" t="str">
        <f t="shared" si="75"/>
        <v>11D</v>
      </c>
    </row>
    <row r="1159" spans="1:10" x14ac:dyDescent="0.25">
      <c r="A1159" s="3">
        <v>60697160296</v>
      </c>
      <c r="B1159" s="3" t="s">
        <v>1260</v>
      </c>
      <c r="C1159" s="3" t="s">
        <v>12</v>
      </c>
      <c r="D1159" s="3" t="s">
        <v>354</v>
      </c>
      <c r="E1159" s="3">
        <v>11</v>
      </c>
      <c r="F1159" s="3" t="s">
        <v>363</v>
      </c>
      <c r="G1159" s="4" t="str">
        <f t="shared" si="72"/>
        <v>60296</v>
      </c>
      <c r="H1159" t="str">
        <f t="shared" si="73"/>
        <v>Furkan KINIK</v>
      </c>
      <c r="I1159" t="str">
        <f t="shared" si="74"/>
        <v>11D1 Pasta Ve Tatlı Yapımı</v>
      </c>
      <c r="J1159" t="str">
        <f t="shared" si="75"/>
        <v>11D</v>
      </c>
    </row>
    <row r="1160" spans="1:10" x14ac:dyDescent="0.25">
      <c r="A1160" s="3">
        <v>53410403572</v>
      </c>
      <c r="B1160" s="3" t="s">
        <v>1261</v>
      </c>
      <c r="C1160" s="3" t="s">
        <v>12</v>
      </c>
      <c r="D1160" s="3" t="s">
        <v>354</v>
      </c>
      <c r="E1160" s="3">
        <v>11</v>
      </c>
      <c r="F1160" s="3" t="s">
        <v>363</v>
      </c>
      <c r="G1160" s="4" t="str">
        <f t="shared" si="72"/>
        <v>03572</v>
      </c>
      <c r="H1160" t="str">
        <f t="shared" si="73"/>
        <v>Hiranur ÇABEK</v>
      </c>
      <c r="I1160" t="str">
        <f t="shared" si="74"/>
        <v>11D1 Pasta Ve Tatlı Yapımı</v>
      </c>
      <c r="J1160" t="str">
        <f t="shared" si="75"/>
        <v>11D</v>
      </c>
    </row>
    <row r="1161" spans="1:10" x14ac:dyDescent="0.25">
      <c r="A1161" s="3">
        <v>61861121624</v>
      </c>
      <c r="B1161" s="3" t="s">
        <v>1262</v>
      </c>
      <c r="C1161" s="3" t="s">
        <v>12</v>
      </c>
      <c r="D1161" s="3" t="s">
        <v>354</v>
      </c>
      <c r="E1161" s="3">
        <v>11</v>
      </c>
      <c r="F1161" s="3" t="s">
        <v>363</v>
      </c>
      <c r="G1161" s="4" t="str">
        <f t="shared" si="72"/>
        <v>21624</v>
      </c>
      <c r="H1161" t="str">
        <f t="shared" si="73"/>
        <v>Medine GEZER</v>
      </c>
      <c r="I1161" t="str">
        <f t="shared" si="74"/>
        <v>11D1 Pasta Ve Tatlı Yapımı</v>
      </c>
      <c r="J1161" t="str">
        <f t="shared" si="75"/>
        <v>11D</v>
      </c>
    </row>
    <row r="1162" spans="1:10" x14ac:dyDescent="0.25">
      <c r="A1162" s="3">
        <v>47680594092</v>
      </c>
      <c r="B1162" s="3" t="s">
        <v>1263</v>
      </c>
      <c r="C1162" s="3" t="s">
        <v>12</v>
      </c>
      <c r="D1162" s="3" t="s">
        <v>354</v>
      </c>
      <c r="E1162" s="3">
        <v>11</v>
      </c>
      <c r="F1162" s="3" t="s">
        <v>363</v>
      </c>
      <c r="G1162" s="4" t="str">
        <f t="shared" si="72"/>
        <v>94092</v>
      </c>
      <c r="H1162" t="str">
        <f t="shared" si="73"/>
        <v>Melek ÇABEK</v>
      </c>
      <c r="I1162" t="str">
        <f t="shared" si="74"/>
        <v>11D1 Pasta Ve Tatlı Yapımı</v>
      </c>
      <c r="J1162" t="str">
        <f t="shared" si="75"/>
        <v>11D</v>
      </c>
    </row>
    <row r="1163" spans="1:10" x14ac:dyDescent="0.25">
      <c r="A1163" s="3">
        <v>30350539110</v>
      </c>
      <c r="B1163" s="3" t="s">
        <v>1264</v>
      </c>
      <c r="C1163" s="3" t="s">
        <v>12</v>
      </c>
      <c r="D1163" s="3" t="s">
        <v>354</v>
      </c>
      <c r="E1163" s="3">
        <v>11</v>
      </c>
      <c r="F1163" s="3" t="s">
        <v>363</v>
      </c>
      <c r="G1163" s="4" t="str">
        <f t="shared" si="72"/>
        <v>39110</v>
      </c>
      <c r="H1163" t="str">
        <f t="shared" si="73"/>
        <v>Muhammed ARSLAN</v>
      </c>
      <c r="I1163" t="str">
        <f t="shared" si="74"/>
        <v>11D1 Pasta Ve Tatlı Yapımı</v>
      </c>
      <c r="J1163" t="str">
        <f t="shared" si="75"/>
        <v>11D</v>
      </c>
    </row>
    <row r="1164" spans="1:10" x14ac:dyDescent="0.25">
      <c r="A1164" s="3">
        <v>53755391558</v>
      </c>
      <c r="B1164" s="3" t="s">
        <v>1265</v>
      </c>
      <c r="C1164" s="3" t="s">
        <v>12</v>
      </c>
      <c r="D1164" s="3" t="s">
        <v>354</v>
      </c>
      <c r="E1164" s="3">
        <v>11</v>
      </c>
      <c r="F1164" s="3" t="s">
        <v>363</v>
      </c>
      <c r="G1164" s="4" t="str">
        <f t="shared" si="72"/>
        <v>91558</v>
      </c>
      <c r="H1164" t="str">
        <f t="shared" si="73"/>
        <v>Nisa Nur AYDOĞAN</v>
      </c>
      <c r="I1164" t="str">
        <f t="shared" si="74"/>
        <v>11D1 Pasta Ve Tatlı Yapımı</v>
      </c>
      <c r="J1164" t="str">
        <f t="shared" si="75"/>
        <v>11D</v>
      </c>
    </row>
    <row r="1165" spans="1:10" x14ac:dyDescent="0.25">
      <c r="A1165" s="3">
        <v>42475902632</v>
      </c>
      <c r="B1165" s="3" t="s">
        <v>1266</v>
      </c>
      <c r="C1165" s="3" t="s">
        <v>12</v>
      </c>
      <c r="D1165" s="3" t="s">
        <v>354</v>
      </c>
      <c r="E1165" s="3">
        <v>11</v>
      </c>
      <c r="F1165" s="3" t="s">
        <v>363</v>
      </c>
      <c r="G1165" s="4" t="str">
        <f t="shared" si="72"/>
        <v>02632</v>
      </c>
      <c r="H1165" t="str">
        <f t="shared" si="73"/>
        <v>Sude DEMİR</v>
      </c>
      <c r="I1165" t="str">
        <f t="shared" si="74"/>
        <v>11D1 Pasta Ve Tatlı Yapımı</v>
      </c>
      <c r="J1165" t="str">
        <f t="shared" si="75"/>
        <v>11D</v>
      </c>
    </row>
    <row r="1166" spans="1:10" x14ac:dyDescent="0.25">
      <c r="A1166" s="3">
        <v>23822114182</v>
      </c>
      <c r="B1166" s="3" t="s">
        <v>1267</v>
      </c>
      <c r="C1166" s="3" t="s">
        <v>12</v>
      </c>
      <c r="D1166" s="3" t="s">
        <v>354</v>
      </c>
      <c r="E1166" s="3">
        <v>11</v>
      </c>
      <c r="F1166" s="3" t="s">
        <v>363</v>
      </c>
      <c r="G1166" s="4" t="str">
        <f t="shared" si="72"/>
        <v>14182</v>
      </c>
      <c r="H1166" t="str">
        <f t="shared" si="73"/>
        <v>Yağmur TEKİN</v>
      </c>
      <c r="I1166" t="str">
        <f t="shared" si="74"/>
        <v>11D1 Pasta Ve Tatlı Yapımı</v>
      </c>
      <c r="J1166" t="str">
        <f t="shared" si="75"/>
        <v>11D</v>
      </c>
    </row>
    <row r="1167" spans="1:10" x14ac:dyDescent="0.25">
      <c r="A1167" s="3">
        <v>32894087270</v>
      </c>
      <c r="B1167" s="3" t="s">
        <v>1268</v>
      </c>
      <c r="C1167" s="3" t="s">
        <v>12</v>
      </c>
      <c r="D1167" s="3" t="s">
        <v>354</v>
      </c>
      <c r="E1167" s="3">
        <v>11</v>
      </c>
      <c r="F1167" s="3" t="s">
        <v>363</v>
      </c>
      <c r="G1167" s="4" t="str">
        <f t="shared" si="72"/>
        <v>87270</v>
      </c>
      <c r="H1167" t="str">
        <f t="shared" si="73"/>
        <v>Yunus Emre AFŞAR</v>
      </c>
      <c r="I1167" t="str">
        <f t="shared" si="74"/>
        <v>11D1 Pasta Ve Tatlı Yapımı</v>
      </c>
      <c r="J1167" t="str">
        <f t="shared" si="75"/>
        <v>11D</v>
      </c>
    </row>
    <row r="1168" spans="1:10" x14ac:dyDescent="0.25">
      <c r="A1168" s="3">
        <v>38884529232</v>
      </c>
      <c r="B1168" s="3" t="s">
        <v>1269</v>
      </c>
      <c r="C1168" s="3" t="s">
        <v>12</v>
      </c>
      <c r="D1168" s="3" t="s">
        <v>354</v>
      </c>
      <c r="E1168" s="3">
        <v>11</v>
      </c>
      <c r="F1168" s="3" t="s">
        <v>363</v>
      </c>
      <c r="G1168" s="4" t="str">
        <f t="shared" si="72"/>
        <v>29232</v>
      </c>
      <c r="H1168" t="str">
        <f t="shared" si="73"/>
        <v>Yusuf ALADAĞ</v>
      </c>
      <c r="I1168" t="str">
        <f t="shared" si="74"/>
        <v>11D1 Pasta Ve Tatlı Yapımı</v>
      </c>
      <c r="J1168" t="str">
        <f t="shared" si="75"/>
        <v>11D</v>
      </c>
    </row>
    <row r="1169" spans="1:10" x14ac:dyDescent="0.25">
      <c r="A1169" s="3">
        <v>31646129046</v>
      </c>
      <c r="B1169" s="3" t="s">
        <v>1270</v>
      </c>
      <c r="C1169" s="3" t="s">
        <v>12</v>
      </c>
      <c r="D1169" s="3" t="s">
        <v>886</v>
      </c>
      <c r="E1169" s="3">
        <v>11</v>
      </c>
      <c r="F1169" s="3" t="s">
        <v>1271</v>
      </c>
      <c r="G1169" s="4" t="str">
        <f t="shared" si="72"/>
        <v>29046</v>
      </c>
      <c r="H1169" t="str">
        <f t="shared" si="73"/>
        <v>Ali GÜLTEKİN</v>
      </c>
      <c r="I1169" t="str">
        <f t="shared" si="74"/>
        <v>11K1 Sac İşleri</v>
      </c>
      <c r="J1169" t="str">
        <f t="shared" si="75"/>
        <v>11K</v>
      </c>
    </row>
    <row r="1170" spans="1:10" x14ac:dyDescent="0.25">
      <c r="A1170" s="3">
        <v>12566854478</v>
      </c>
      <c r="B1170" s="3" t="s">
        <v>1272</v>
      </c>
      <c r="C1170" s="3" t="s">
        <v>12</v>
      </c>
      <c r="D1170" s="3" t="s">
        <v>886</v>
      </c>
      <c r="E1170" s="3">
        <v>11</v>
      </c>
      <c r="F1170" s="3" t="s">
        <v>1271</v>
      </c>
      <c r="G1170" s="4" t="str">
        <f t="shared" si="72"/>
        <v>54478</v>
      </c>
      <c r="H1170" t="str">
        <f t="shared" si="73"/>
        <v>Eren HÜLÜR</v>
      </c>
      <c r="I1170" t="str">
        <f t="shared" si="74"/>
        <v>11K1 Sac İşleri</v>
      </c>
      <c r="J1170" t="str">
        <f t="shared" si="75"/>
        <v>11K</v>
      </c>
    </row>
    <row r="1171" spans="1:10" x14ac:dyDescent="0.25">
      <c r="A1171" s="3">
        <v>36128137854</v>
      </c>
      <c r="B1171" s="3" t="s">
        <v>1273</v>
      </c>
      <c r="C1171" s="3" t="s">
        <v>12</v>
      </c>
      <c r="D1171" s="3" t="s">
        <v>886</v>
      </c>
      <c r="E1171" s="3">
        <v>11</v>
      </c>
      <c r="F1171" s="3" t="s">
        <v>1271</v>
      </c>
      <c r="G1171" s="4" t="str">
        <f t="shared" si="72"/>
        <v>37854</v>
      </c>
      <c r="H1171" t="str">
        <f t="shared" si="73"/>
        <v>Hüseyin ÇOLAK</v>
      </c>
      <c r="I1171" t="str">
        <f t="shared" si="74"/>
        <v>11K1 Sac İşleri</v>
      </c>
      <c r="J1171" t="str">
        <f t="shared" si="75"/>
        <v>11K</v>
      </c>
    </row>
    <row r="1172" spans="1:10" x14ac:dyDescent="0.25">
      <c r="A1172" s="3">
        <v>49639529636</v>
      </c>
      <c r="B1172" s="3" t="s">
        <v>1274</v>
      </c>
      <c r="C1172" s="3" t="s">
        <v>12</v>
      </c>
      <c r="D1172" s="3" t="s">
        <v>888</v>
      </c>
      <c r="E1172" s="3">
        <v>11</v>
      </c>
      <c r="F1172" s="3" t="s">
        <v>209</v>
      </c>
      <c r="G1172" s="4" t="str">
        <f t="shared" si="72"/>
        <v>29636</v>
      </c>
      <c r="H1172" t="str">
        <f t="shared" si="73"/>
        <v>Hikmet Anıl LAÇIN</v>
      </c>
      <c r="I1172" t="str">
        <f t="shared" si="74"/>
        <v>11D3 Satış Elemanlığı</v>
      </c>
      <c r="J1172" t="str">
        <f t="shared" si="75"/>
        <v>11D</v>
      </c>
    </row>
    <row r="1173" spans="1:10" x14ac:dyDescent="0.25">
      <c r="A1173" s="3">
        <v>54436369156</v>
      </c>
      <c r="B1173" s="3" t="s">
        <v>1275</v>
      </c>
      <c r="C1173" s="3" t="s">
        <v>12</v>
      </c>
      <c r="D1173" s="3" t="s">
        <v>888</v>
      </c>
      <c r="E1173" s="3">
        <v>11</v>
      </c>
      <c r="F1173" s="3" t="s">
        <v>209</v>
      </c>
      <c r="G1173" s="4" t="str">
        <f t="shared" si="72"/>
        <v>69156</v>
      </c>
      <c r="H1173" t="str">
        <f t="shared" si="73"/>
        <v>Yasin AKİCİ</v>
      </c>
      <c r="I1173" t="str">
        <f t="shared" si="74"/>
        <v>11D3 Satış Elemanlığı</v>
      </c>
      <c r="J1173" t="str">
        <f t="shared" si="75"/>
        <v>11D</v>
      </c>
    </row>
    <row r="1174" spans="1:10" x14ac:dyDescent="0.25">
      <c r="A1174" s="3">
        <v>21176478332</v>
      </c>
      <c r="B1174" s="3" t="s">
        <v>1276</v>
      </c>
      <c r="C1174" s="3" t="s">
        <v>12</v>
      </c>
      <c r="D1174" s="3" t="s">
        <v>1277</v>
      </c>
      <c r="E1174" s="3">
        <v>11</v>
      </c>
      <c r="F1174" s="3" t="s">
        <v>157</v>
      </c>
      <c r="G1174" s="4" t="str">
        <f t="shared" si="72"/>
        <v>78332</v>
      </c>
      <c r="H1174" t="str">
        <f t="shared" si="73"/>
        <v>Hira Nur BAYGIN</v>
      </c>
      <c r="I1174" t="str">
        <f t="shared" si="74"/>
        <v>11D4 Sigortacılık</v>
      </c>
      <c r="J1174" t="str">
        <f t="shared" si="75"/>
        <v>11D</v>
      </c>
    </row>
    <row r="1175" spans="1:10" x14ac:dyDescent="0.25">
      <c r="A1175" s="3">
        <v>11016101360</v>
      </c>
      <c r="B1175" s="3" t="s">
        <v>1278</v>
      </c>
      <c r="C1175" s="3" t="s">
        <v>12</v>
      </c>
      <c r="D1175" s="3" t="s">
        <v>891</v>
      </c>
      <c r="E1175" s="3">
        <v>11</v>
      </c>
      <c r="F1175" s="3" t="s">
        <v>1279</v>
      </c>
      <c r="G1175" s="4" t="str">
        <f t="shared" si="72"/>
        <v>01360</v>
      </c>
      <c r="H1175" t="str">
        <f t="shared" si="73"/>
        <v>Abdulkadir DEMİRCİ</v>
      </c>
      <c r="I1175" t="str">
        <f t="shared" si="74"/>
        <v>11İ6 Soğutma Sistemleri</v>
      </c>
      <c r="J1175" t="str">
        <f t="shared" si="75"/>
        <v>11İ</v>
      </c>
    </row>
    <row r="1176" spans="1:10" x14ac:dyDescent="0.25">
      <c r="A1176" s="3">
        <v>29867188706</v>
      </c>
      <c r="B1176" s="3" t="s">
        <v>1280</v>
      </c>
      <c r="C1176" s="3" t="s">
        <v>12</v>
      </c>
      <c r="D1176" s="3" t="s">
        <v>360</v>
      </c>
      <c r="E1176" s="3">
        <v>11</v>
      </c>
      <c r="F1176" s="3" t="s">
        <v>1281</v>
      </c>
      <c r="G1176" s="4" t="str">
        <f t="shared" si="72"/>
        <v>88706</v>
      </c>
      <c r="H1176" t="str">
        <f t="shared" si="73"/>
        <v>Hamit HAMİTOĞLU</v>
      </c>
      <c r="I1176" t="str">
        <f t="shared" si="74"/>
        <v>11K11 Vitrin Kuyumculuğu</v>
      </c>
      <c r="J1176" t="str">
        <f t="shared" si="75"/>
        <v>11K</v>
      </c>
    </row>
    <row r="1177" spans="1:10" x14ac:dyDescent="0.25">
      <c r="A1177" s="3">
        <v>44572697992</v>
      </c>
      <c r="B1177" s="3" t="s">
        <v>1282</v>
      </c>
      <c r="C1177" s="3" t="s">
        <v>12</v>
      </c>
      <c r="D1177" s="3" t="s">
        <v>360</v>
      </c>
      <c r="E1177" s="3">
        <v>11</v>
      </c>
      <c r="F1177" s="3" t="s">
        <v>1281</v>
      </c>
      <c r="G1177" s="4" t="str">
        <f t="shared" si="72"/>
        <v>97992</v>
      </c>
      <c r="H1177" t="str">
        <f t="shared" si="73"/>
        <v>Kaan DEMİRPERÇİN</v>
      </c>
      <c r="I1177" t="str">
        <f t="shared" si="74"/>
        <v>11K11 Vitrin Kuyumculuğu</v>
      </c>
      <c r="J1177" t="str">
        <f t="shared" si="75"/>
        <v>11K</v>
      </c>
    </row>
    <row r="1178" spans="1:10" x14ac:dyDescent="0.25">
      <c r="A1178" s="3">
        <v>24833064268</v>
      </c>
      <c r="B1178" s="3" t="s">
        <v>1283</v>
      </c>
      <c r="C1178" s="3" t="s">
        <v>12</v>
      </c>
      <c r="D1178" s="3" t="s">
        <v>893</v>
      </c>
      <c r="E1178" s="3">
        <v>11</v>
      </c>
      <c r="F1178" s="3" t="s">
        <v>1284</v>
      </c>
      <c r="G1178" s="4" t="str">
        <f t="shared" si="72"/>
        <v>64268</v>
      </c>
      <c r="H1178" t="str">
        <f t="shared" si="73"/>
        <v>Altan Selim BAŞAR</v>
      </c>
      <c r="I1178" t="str">
        <f t="shared" si="74"/>
        <v>11K5 Yazılım Geliştirme</v>
      </c>
      <c r="J1178" t="str">
        <f t="shared" si="75"/>
        <v>11K</v>
      </c>
    </row>
    <row r="1179" spans="1:10" x14ac:dyDescent="0.25">
      <c r="A1179" s="3">
        <v>53656395372</v>
      </c>
      <c r="B1179" s="3" t="s">
        <v>1285</v>
      </c>
      <c r="C1179" s="3" t="s">
        <v>12</v>
      </c>
      <c r="D1179" s="3" t="s">
        <v>893</v>
      </c>
      <c r="E1179" s="3">
        <v>11</v>
      </c>
      <c r="F1179" s="3" t="s">
        <v>1284</v>
      </c>
      <c r="G1179" s="4" t="str">
        <f t="shared" si="72"/>
        <v>95372</v>
      </c>
      <c r="H1179" t="str">
        <f t="shared" si="73"/>
        <v>Ege ÇOBAN</v>
      </c>
      <c r="I1179" t="str">
        <f t="shared" si="74"/>
        <v>11K5 Yazılım Geliştirme</v>
      </c>
      <c r="J1179" t="str">
        <f t="shared" si="75"/>
        <v>11K</v>
      </c>
    </row>
    <row r="1180" spans="1:10" x14ac:dyDescent="0.25">
      <c r="A1180" s="3">
        <v>10799167976</v>
      </c>
      <c r="B1180" s="3" t="s">
        <v>1286</v>
      </c>
      <c r="C1180" s="3" t="s">
        <v>898</v>
      </c>
      <c r="D1180" s="3" t="s">
        <v>362</v>
      </c>
      <c r="E1180" s="3">
        <v>12</v>
      </c>
      <c r="F1180" s="3" t="s">
        <v>1287</v>
      </c>
      <c r="G1180" s="4" t="str">
        <f t="shared" si="72"/>
        <v>67976</v>
      </c>
      <c r="H1180" t="str">
        <f t="shared" si="73"/>
        <v>Kaan AKGÜN</v>
      </c>
      <c r="I1180" t="str">
        <f t="shared" si="74"/>
        <v>12B2 Ahşap Doğrama Teknolojisi</v>
      </c>
      <c r="J1180" t="str">
        <f t="shared" si="75"/>
        <v>12B</v>
      </c>
    </row>
    <row r="1181" spans="1:10" x14ac:dyDescent="0.25">
      <c r="A1181" s="3">
        <v>41878787976</v>
      </c>
      <c r="B1181" s="3" t="s">
        <v>1288</v>
      </c>
      <c r="C1181" s="3" t="s">
        <v>12</v>
      </c>
      <c r="D1181" s="3" t="s">
        <v>362</v>
      </c>
      <c r="E1181" s="3">
        <v>12</v>
      </c>
      <c r="F1181" s="3" t="s">
        <v>1287</v>
      </c>
      <c r="G1181" s="4" t="str">
        <f t="shared" si="72"/>
        <v>87976</v>
      </c>
      <c r="H1181" t="str">
        <f t="shared" si="73"/>
        <v>Muhammed Eren ATALAY</v>
      </c>
      <c r="I1181" t="str">
        <f t="shared" si="74"/>
        <v>12B2 Ahşap Doğrama Teknolojisi</v>
      </c>
      <c r="J1181" t="str">
        <f t="shared" si="75"/>
        <v>12B</v>
      </c>
    </row>
    <row r="1182" spans="1:10" x14ac:dyDescent="0.25">
      <c r="A1182" s="3">
        <v>31654842104</v>
      </c>
      <c r="B1182" s="3" t="s">
        <v>1289</v>
      </c>
      <c r="C1182" s="3" t="s">
        <v>12</v>
      </c>
      <c r="D1182" s="3" t="s">
        <v>16</v>
      </c>
      <c r="E1182" s="3">
        <v>12</v>
      </c>
      <c r="F1182" s="3" t="s">
        <v>1290</v>
      </c>
      <c r="G1182" s="4" t="str">
        <f t="shared" si="72"/>
        <v>42104</v>
      </c>
      <c r="H1182" t="str">
        <f t="shared" si="73"/>
        <v>Kadir EMİNOĞLU</v>
      </c>
      <c r="I1182" t="str">
        <f t="shared" si="74"/>
        <v>12E4 Aşçılık</v>
      </c>
      <c r="J1182" t="str">
        <f t="shared" si="75"/>
        <v>12E</v>
      </c>
    </row>
    <row r="1183" spans="1:10" x14ac:dyDescent="0.25">
      <c r="A1183" s="3">
        <v>10922624826</v>
      </c>
      <c r="B1183" s="3" t="s">
        <v>1291</v>
      </c>
      <c r="C1183" s="3" t="s">
        <v>898</v>
      </c>
      <c r="D1183" s="3" t="s">
        <v>16</v>
      </c>
      <c r="E1183" s="3">
        <v>12</v>
      </c>
      <c r="F1183" s="3" t="s">
        <v>1290</v>
      </c>
      <c r="G1183" s="4" t="str">
        <f t="shared" si="72"/>
        <v>24826</v>
      </c>
      <c r="H1183" t="str">
        <f t="shared" si="73"/>
        <v>Muhammed MAVİŞ</v>
      </c>
      <c r="I1183" t="str">
        <f t="shared" si="74"/>
        <v>12E4 Aşçılık</v>
      </c>
      <c r="J1183" t="str">
        <f t="shared" si="75"/>
        <v>12E</v>
      </c>
    </row>
    <row r="1184" spans="1:10" x14ac:dyDescent="0.25">
      <c r="A1184" s="3">
        <v>36853955532</v>
      </c>
      <c r="B1184" s="3" t="s">
        <v>1292</v>
      </c>
      <c r="C1184" s="3" t="s">
        <v>12</v>
      </c>
      <c r="D1184" s="3" t="s">
        <v>16</v>
      </c>
      <c r="E1184" s="3">
        <v>12</v>
      </c>
      <c r="F1184" s="3" t="s">
        <v>1290</v>
      </c>
      <c r="G1184" s="4" t="str">
        <f t="shared" si="72"/>
        <v>55532</v>
      </c>
      <c r="H1184" t="str">
        <f t="shared" si="73"/>
        <v>Nilay DEMİRAL</v>
      </c>
      <c r="I1184" t="str">
        <f t="shared" si="74"/>
        <v>12E4 Aşçılık</v>
      </c>
      <c r="J1184" t="str">
        <f t="shared" si="75"/>
        <v>12E</v>
      </c>
    </row>
    <row r="1185" spans="1:10" x14ac:dyDescent="0.25">
      <c r="A1185" s="3">
        <v>32570466542</v>
      </c>
      <c r="B1185" s="3" t="s">
        <v>1293</v>
      </c>
      <c r="C1185" s="3" t="s">
        <v>12</v>
      </c>
      <c r="D1185" s="3" t="s">
        <v>16</v>
      </c>
      <c r="E1185" s="3">
        <v>12</v>
      </c>
      <c r="F1185" s="3" t="s">
        <v>1290</v>
      </c>
      <c r="G1185" s="4" t="str">
        <f t="shared" si="72"/>
        <v>66542</v>
      </c>
      <c r="H1185" t="str">
        <f t="shared" si="73"/>
        <v>Şevin Dar TÜRKAY</v>
      </c>
      <c r="I1185" t="str">
        <f t="shared" si="74"/>
        <v>12E4 Aşçılık</v>
      </c>
      <c r="J1185" t="str">
        <f t="shared" si="75"/>
        <v>12E</v>
      </c>
    </row>
    <row r="1186" spans="1:10" x14ac:dyDescent="0.25">
      <c r="A1186" s="3">
        <v>46672628494</v>
      </c>
      <c r="B1186" s="3" t="s">
        <v>1294</v>
      </c>
      <c r="C1186" s="3" t="s">
        <v>12</v>
      </c>
      <c r="D1186" s="3" t="s">
        <v>16</v>
      </c>
      <c r="E1186" s="3">
        <v>12</v>
      </c>
      <c r="F1186" s="3" t="s">
        <v>1290</v>
      </c>
      <c r="G1186" s="4" t="str">
        <f t="shared" si="72"/>
        <v>28494</v>
      </c>
      <c r="H1186" t="str">
        <f t="shared" si="73"/>
        <v>Uğur SAMAR</v>
      </c>
      <c r="I1186" t="str">
        <f t="shared" si="74"/>
        <v>12E4 Aşçılık</v>
      </c>
      <c r="J1186" t="str">
        <f t="shared" si="75"/>
        <v>12E</v>
      </c>
    </row>
    <row r="1187" spans="1:10" x14ac:dyDescent="0.25">
      <c r="A1187" s="3">
        <v>11598136262</v>
      </c>
      <c r="B1187" s="3" t="s">
        <v>1295</v>
      </c>
      <c r="C1187" s="3" t="s">
        <v>12</v>
      </c>
      <c r="D1187" s="3" t="s">
        <v>16</v>
      </c>
      <c r="E1187" s="3">
        <v>12</v>
      </c>
      <c r="F1187" s="3" t="s">
        <v>1290</v>
      </c>
      <c r="G1187" s="4" t="str">
        <f t="shared" si="72"/>
        <v>36262</v>
      </c>
      <c r="H1187" t="str">
        <f t="shared" si="73"/>
        <v>Yağmur ŞİRİN</v>
      </c>
      <c r="I1187" t="str">
        <f t="shared" si="74"/>
        <v>12E4 Aşçılık</v>
      </c>
      <c r="J1187" t="str">
        <f t="shared" si="75"/>
        <v>12E</v>
      </c>
    </row>
    <row r="1188" spans="1:10" x14ac:dyDescent="0.25">
      <c r="A1188" s="3">
        <v>21197201902</v>
      </c>
      <c r="B1188" s="3" t="s">
        <v>1296</v>
      </c>
      <c r="C1188" s="3" t="s">
        <v>12</v>
      </c>
      <c r="D1188" s="3" t="s">
        <v>1297</v>
      </c>
      <c r="E1188" s="3">
        <v>12</v>
      </c>
      <c r="F1188" s="3" t="s">
        <v>1298</v>
      </c>
      <c r="G1188" s="4" t="str">
        <f t="shared" si="72"/>
        <v>01902</v>
      </c>
      <c r="H1188" t="str">
        <f t="shared" si="73"/>
        <v>Can DEMİRKAYNAK</v>
      </c>
      <c r="I1188" t="str">
        <f t="shared" si="74"/>
        <v>12F5 Bilgisayar Destekli Makine Ressamlığı</v>
      </c>
      <c r="J1188" t="str">
        <f t="shared" si="75"/>
        <v>12F</v>
      </c>
    </row>
    <row r="1189" spans="1:10" x14ac:dyDescent="0.25">
      <c r="A1189" s="3">
        <v>14060278378</v>
      </c>
      <c r="B1189" s="3" t="s">
        <v>1299</v>
      </c>
      <c r="C1189" s="3" t="s">
        <v>12</v>
      </c>
      <c r="D1189" s="3" t="s">
        <v>27</v>
      </c>
      <c r="E1189" s="3">
        <v>12</v>
      </c>
      <c r="F1189" s="3" t="s">
        <v>1300</v>
      </c>
      <c r="G1189" s="4" t="str">
        <f t="shared" si="72"/>
        <v>78378</v>
      </c>
      <c r="H1189" t="str">
        <f t="shared" si="73"/>
        <v>Yağız Efe ÖZMEN</v>
      </c>
      <c r="I1189" t="str">
        <f t="shared" si="74"/>
        <v>12F6 Bilgisayar Teknik Servisi</v>
      </c>
      <c r="J1189" t="str">
        <f t="shared" si="75"/>
        <v>12F</v>
      </c>
    </row>
    <row r="1190" spans="1:10" x14ac:dyDescent="0.25">
      <c r="A1190" s="3">
        <v>39250588426</v>
      </c>
      <c r="B1190" s="3" t="s">
        <v>1301</v>
      </c>
      <c r="C1190" s="3" t="s">
        <v>12</v>
      </c>
      <c r="D1190" s="3" t="s">
        <v>31</v>
      </c>
      <c r="E1190" s="3">
        <v>12</v>
      </c>
      <c r="F1190" s="3" t="s">
        <v>1302</v>
      </c>
      <c r="G1190" s="4" t="str">
        <f t="shared" si="72"/>
        <v>88426</v>
      </c>
      <c r="H1190" t="str">
        <f t="shared" si="73"/>
        <v>Adem Yakup ÖZDEMİR</v>
      </c>
      <c r="I1190" t="str">
        <f t="shared" si="74"/>
        <v>12F3 Bilgisayarlı Makine İmalatı</v>
      </c>
      <c r="J1190" t="str">
        <f t="shared" si="75"/>
        <v>12F</v>
      </c>
    </row>
    <row r="1191" spans="1:10" x14ac:dyDescent="0.25">
      <c r="A1191" s="3">
        <v>42382771598</v>
      </c>
      <c r="B1191" s="3" t="s">
        <v>1303</v>
      </c>
      <c r="C1191" s="3" t="s">
        <v>12</v>
      </c>
      <c r="D1191" s="3" t="s">
        <v>31</v>
      </c>
      <c r="E1191" s="3">
        <v>12</v>
      </c>
      <c r="F1191" s="3" t="s">
        <v>1302</v>
      </c>
      <c r="G1191" s="4" t="str">
        <f t="shared" si="72"/>
        <v>71598</v>
      </c>
      <c r="H1191" t="str">
        <f t="shared" si="73"/>
        <v>Ahmetcan CANTÜRK</v>
      </c>
      <c r="I1191" t="str">
        <f t="shared" si="74"/>
        <v>12F3 Bilgisayarlı Makine İmalatı</v>
      </c>
      <c r="J1191" t="str">
        <f t="shared" si="75"/>
        <v>12F</v>
      </c>
    </row>
    <row r="1192" spans="1:10" x14ac:dyDescent="0.25">
      <c r="A1192" s="3">
        <v>13322739886</v>
      </c>
      <c r="B1192" s="3" t="s">
        <v>1304</v>
      </c>
      <c r="C1192" s="3" t="s">
        <v>12</v>
      </c>
      <c r="D1192" s="3" t="s">
        <v>31</v>
      </c>
      <c r="E1192" s="3">
        <v>12</v>
      </c>
      <c r="F1192" s="3" t="s">
        <v>1302</v>
      </c>
      <c r="G1192" s="4" t="str">
        <f t="shared" si="72"/>
        <v>39886</v>
      </c>
      <c r="H1192" t="str">
        <f t="shared" si="73"/>
        <v>Berat BUL</v>
      </c>
      <c r="I1192" t="str">
        <f t="shared" si="74"/>
        <v>12F3 Bilgisayarlı Makine İmalatı</v>
      </c>
      <c r="J1192" t="str">
        <f t="shared" si="75"/>
        <v>12F</v>
      </c>
    </row>
    <row r="1193" spans="1:10" x14ac:dyDescent="0.25">
      <c r="A1193" s="3">
        <v>26075374600</v>
      </c>
      <c r="B1193" s="3" t="s">
        <v>1305</v>
      </c>
      <c r="C1193" s="3" t="s">
        <v>12</v>
      </c>
      <c r="D1193" s="3" t="s">
        <v>31</v>
      </c>
      <c r="E1193" s="3">
        <v>12</v>
      </c>
      <c r="F1193" s="3" t="s">
        <v>1302</v>
      </c>
      <c r="G1193" s="4" t="str">
        <f t="shared" si="72"/>
        <v>74600</v>
      </c>
      <c r="H1193" t="str">
        <f t="shared" si="73"/>
        <v>Davut AKTEKİN</v>
      </c>
      <c r="I1193" t="str">
        <f t="shared" si="74"/>
        <v>12F3 Bilgisayarlı Makine İmalatı</v>
      </c>
      <c r="J1193" t="str">
        <f t="shared" si="75"/>
        <v>12F</v>
      </c>
    </row>
    <row r="1194" spans="1:10" x14ac:dyDescent="0.25">
      <c r="A1194" s="3">
        <v>35396205340</v>
      </c>
      <c r="B1194" s="3" t="s">
        <v>1306</v>
      </c>
      <c r="C1194" s="3" t="s">
        <v>12</v>
      </c>
      <c r="D1194" s="3" t="s">
        <v>31</v>
      </c>
      <c r="E1194" s="3">
        <v>12</v>
      </c>
      <c r="F1194" s="3" t="s">
        <v>1302</v>
      </c>
      <c r="G1194" s="4" t="str">
        <f t="shared" si="72"/>
        <v>05340</v>
      </c>
      <c r="H1194" t="str">
        <f t="shared" si="73"/>
        <v>Hasan AKMAN</v>
      </c>
      <c r="I1194" t="str">
        <f t="shared" si="74"/>
        <v>12F3 Bilgisayarlı Makine İmalatı</v>
      </c>
      <c r="J1194" t="str">
        <f t="shared" si="75"/>
        <v>12F</v>
      </c>
    </row>
    <row r="1195" spans="1:10" x14ac:dyDescent="0.25">
      <c r="A1195" s="3">
        <v>68893072856</v>
      </c>
      <c r="B1195" s="3" t="s">
        <v>1307</v>
      </c>
      <c r="C1195" s="3" t="s">
        <v>12</v>
      </c>
      <c r="D1195" s="3" t="s">
        <v>31</v>
      </c>
      <c r="E1195" s="3">
        <v>12</v>
      </c>
      <c r="F1195" s="3" t="s">
        <v>1302</v>
      </c>
      <c r="G1195" s="4" t="str">
        <f t="shared" si="72"/>
        <v>72856</v>
      </c>
      <c r="H1195" t="str">
        <f t="shared" si="73"/>
        <v>Timuçin YEŞİLTEPE</v>
      </c>
      <c r="I1195" t="str">
        <f t="shared" si="74"/>
        <v>12F3 Bilgisayarlı Makine İmalatı</v>
      </c>
      <c r="J1195" t="str">
        <f t="shared" si="75"/>
        <v>12F</v>
      </c>
    </row>
    <row r="1196" spans="1:10" x14ac:dyDescent="0.25">
      <c r="A1196" s="3">
        <v>55333052196</v>
      </c>
      <c r="B1196" s="3" t="s">
        <v>1308</v>
      </c>
      <c r="C1196" s="3" t="s">
        <v>12</v>
      </c>
      <c r="D1196" s="3" t="s">
        <v>50</v>
      </c>
      <c r="E1196" s="3">
        <v>12</v>
      </c>
      <c r="F1196" s="3" t="s">
        <v>625</v>
      </c>
      <c r="G1196" s="4" t="str">
        <f t="shared" si="72"/>
        <v>52196</v>
      </c>
      <c r="H1196" t="str">
        <f t="shared" si="73"/>
        <v>Ahmet Taha KOÇ</v>
      </c>
      <c r="I1196" t="str">
        <f t="shared" si="74"/>
        <v>12C1 Bobinaj</v>
      </c>
      <c r="J1196" t="str">
        <f t="shared" si="75"/>
        <v>12C</v>
      </c>
    </row>
    <row r="1197" spans="1:10" x14ac:dyDescent="0.25">
      <c r="A1197" s="3">
        <v>13535732964</v>
      </c>
      <c r="B1197" s="3" t="s">
        <v>1309</v>
      </c>
      <c r="C1197" s="3" t="s">
        <v>898</v>
      </c>
      <c r="D1197" s="3" t="s">
        <v>50</v>
      </c>
      <c r="E1197" s="3">
        <v>12</v>
      </c>
      <c r="F1197" s="3" t="s">
        <v>625</v>
      </c>
      <c r="G1197" s="4" t="str">
        <f t="shared" si="72"/>
        <v>32964</v>
      </c>
      <c r="H1197" t="str">
        <f t="shared" si="73"/>
        <v>Burhan Can YILMAZ</v>
      </c>
      <c r="I1197" t="str">
        <f t="shared" si="74"/>
        <v>12C1 Bobinaj</v>
      </c>
      <c r="J1197" t="str">
        <f t="shared" si="75"/>
        <v>12C</v>
      </c>
    </row>
    <row r="1198" spans="1:10" x14ac:dyDescent="0.25">
      <c r="A1198" s="3">
        <v>10688827516</v>
      </c>
      <c r="B1198" s="3" t="s">
        <v>1310</v>
      </c>
      <c r="C1198" s="3" t="s">
        <v>898</v>
      </c>
      <c r="D1198" s="3" t="s">
        <v>50</v>
      </c>
      <c r="E1198" s="3">
        <v>12</v>
      </c>
      <c r="F1198" s="3" t="s">
        <v>625</v>
      </c>
      <c r="G1198" s="4" t="str">
        <f t="shared" si="72"/>
        <v>27516</v>
      </c>
      <c r="H1198" t="str">
        <f t="shared" si="73"/>
        <v>Kemalettin KABAY</v>
      </c>
      <c r="I1198" t="str">
        <f t="shared" si="74"/>
        <v>12C1 Bobinaj</v>
      </c>
      <c r="J1198" t="str">
        <f t="shared" si="75"/>
        <v>12C</v>
      </c>
    </row>
    <row r="1199" spans="1:10" x14ac:dyDescent="0.25">
      <c r="A1199" s="3">
        <v>13829722442</v>
      </c>
      <c r="B1199" s="3" t="s">
        <v>1311</v>
      </c>
      <c r="C1199" s="3" t="s">
        <v>898</v>
      </c>
      <c r="D1199" s="3" t="s">
        <v>50</v>
      </c>
      <c r="E1199" s="3">
        <v>12</v>
      </c>
      <c r="F1199" s="3" t="s">
        <v>625</v>
      </c>
      <c r="G1199" s="4" t="str">
        <f t="shared" si="72"/>
        <v>22442</v>
      </c>
      <c r="H1199" t="str">
        <f t="shared" si="73"/>
        <v>Muhammed Emin DEMİREL</v>
      </c>
      <c r="I1199" t="str">
        <f t="shared" si="74"/>
        <v>12C1 Bobinaj</v>
      </c>
      <c r="J1199" t="str">
        <f t="shared" si="75"/>
        <v>12C</v>
      </c>
    </row>
    <row r="1200" spans="1:10" x14ac:dyDescent="0.25">
      <c r="A1200" s="3">
        <v>40264999856</v>
      </c>
      <c r="B1200" s="3" t="s">
        <v>1312</v>
      </c>
      <c r="C1200" s="3" t="s">
        <v>12</v>
      </c>
      <c r="D1200" s="3" t="s">
        <v>50</v>
      </c>
      <c r="E1200" s="3">
        <v>12</v>
      </c>
      <c r="F1200" s="3" t="s">
        <v>625</v>
      </c>
      <c r="G1200" s="4" t="str">
        <f t="shared" si="72"/>
        <v>99856</v>
      </c>
      <c r="H1200" t="str">
        <f t="shared" si="73"/>
        <v>Nurettin DAĞBAŞI</v>
      </c>
      <c r="I1200" t="str">
        <f t="shared" si="74"/>
        <v>12C1 Bobinaj</v>
      </c>
      <c r="J1200" t="str">
        <f t="shared" si="75"/>
        <v>12C</v>
      </c>
    </row>
    <row r="1201" spans="1:10" x14ac:dyDescent="0.25">
      <c r="A1201" s="3">
        <v>12851755992</v>
      </c>
      <c r="B1201" s="3" t="s">
        <v>1313</v>
      </c>
      <c r="C1201" s="3" t="s">
        <v>898</v>
      </c>
      <c r="D1201" s="3" t="s">
        <v>53</v>
      </c>
      <c r="E1201" s="3">
        <v>12</v>
      </c>
      <c r="F1201" s="3" t="s">
        <v>219</v>
      </c>
      <c r="G1201" s="4" t="str">
        <f t="shared" si="72"/>
        <v>55992</v>
      </c>
      <c r="H1201" t="str">
        <f t="shared" si="73"/>
        <v>Açelya Şule ERGENE</v>
      </c>
      <c r="I1201" t="str">
        <f t="shared" si="74"/>
        <v>12A1 Cilt Bakımı Ve Makyaj</v>
      </c>
      <c r="J1201" t="str">
        <f t="shared" si="75"/>
        <v>12A</v>
      </c>
    </row>
    <row r="1202" spans="1:10" x14ac:dyDescent="0.25">
      <c r="A1202" s="3">
        <v>23252409186</v>
      </c>
      <c r="B1202" s="3" t="s">
        <v>1314</v>
      </c>
      <c r="C1202" s="3" t="s">
        <v>12</v>
      </c>
      <c r="D1202" s="3" t="s">
        <v>53</v>
      </c>
      <c r="E1202" s="3">
        <v>12</v>
      </c>
      <c r="F1202" s="3" t="s">
        <v>219</v>
      </c>
      <c r="G1202" s="4" t="str">
        <f t="shared" si="72"/>
        <v>09186</v>
      </c>
      <c r="H1202" t="str">
        <f t="shared" si="73"/>
        <v>Beyza ÇAKIR</v>
      </c>
      <c r="I1202" t="str">
        <f t="shared" si="74"/>
        <v>12A1 Cilt Bakımı Ve Makyaj</v>
      </c>
      <c r="J1202" t="str">
        <f t="shared" si="75"/>
        <v>12A</v>
      </c>
    </row>
    <row r="1203" spans="1:10" x14ac:dyDescent="0.25">
      <c r="A1203" s="3">
        <v>68137277900</v>
      </c>
      <c r="B1203" s="3" t="s">
        <v>1315</v>
      </c>
      <c r="C1203" s="3" t="s">
        <v>12</v>
      </c>
      <c r="D1203" s="3" t="s">
        <v>53</v>
      </c>
      <c r="E1203" s="3">
        <v>12</v>
      </c>
      <c r="F1203" s="3" t="s">
        <v>219</v>
      </c>
      <c r="G1203" s="4" t="str">
        <f t="shared" si="72"/>
        <v>77900</v>
      </c>
      <c r="H1203" t="str">
        <f t="shared" si="73"/>
        <v>Kübra ÇELİK</v>
      </c>
      <c r="I1203" t="str">
        <f t="shared" si="74"/>
        <v>12A1 Cilt Bakımı Ve Makyaj</v>
      </c>
      <c r="J1203" t="str">
        <f t="shared" si="75"/>
        <v>12A</v>
      </c>
    </row>
    <row r="1204" spans="1:10" x14ac:dyDescent="0.25">
      <c r="A1204" s="3">
        <v>13418736980</v>
      </c>
      <c r="B1204" s="3" t="s">
        <v>1316</v>
      </c>
      <c r="C1204" s="3" t="s">
        <v>898</v>
      </c>
      <c r="D1204" s="3" t="s">
        <v>53</v>
      </c>
      <c r="E1204" s="3">
        <v>12</v>
      </c>
      <c r="F1204" s="3" t="s">
        <v>219</v>
      </c>
      <c r="G1204" s="4" t="str">
        <f t="shared" si="72"/>
        <v>36980</v>
      </c>
      <c r="H1204" t="str">
        <f t="shared" si="73"/>
        <v>Naz KAYALAR</v>
      </c>
      <c r="I1204" t="str">
        <f t="shared" si="74"/>
        <v>12A1 Cilt Bakımı Ve Makyaj</v>
      </c>
      <c r="J1204" t="str">
        <f t="shared" si="75"/>
        <v>12A</v>
      </c>
    </row>
    <row r="1205" spans="1:10" x14ac:dyDescent="0.25">
      <c r="A1205" s="3">
        <v>24971069514</v>
      </c>
      <c r="B1205" s="3" t="s">
        <v>1317</v>
      </c>
      <c r="C1205" s="3" t="s">
        <v>898</v>
      </c>
      <c r="D1205" s="3" t="s">
        <v>53</v>
      </c>
      <c r="E1205" s="3">
        <v>12</v>
      </c>
      <c r="F1205" s="3" t="s">
        <v>219</v>
      </c>
      <c r="G1205" s="4" t="str">
        <f t="shared" si="72"/>
        <v>69514</v>
      </c>
      <c r="H1205" t="str">
        <f t="shared" si="73"/>
        <v>Sıla Nazlı KARAMAN</v>
      </c>
      <c r="I1205" t="str">
        <f t="shared" si="74"/>
        <v>12A1 Cilt Bakımı Ve Makyaj</v>
      </c>
      <c r="J1205" t="str">
        <f t="shared" si="75"/>
        <v>12A</v>
      </c>
    </row>
    <row r="1206" spans="1:10" x14ac:dyDescent="0.25">
      <c r="A1206" s="3">
        <v>34720746924</v>
      </c>
      <c r="B1206" s="3" t="s">
        <v>1318</v>
      </c>
      <c r="C1206" s="3" t="s">
        <v>898</v>
      </c>
      <c r="D1206" s="3" t="s">
        <v>53</v>
      </c>
      <c r="E1206" s="3">
        <v>12</v>
      </c>
      <c r="F1206" s="3" t="s">
        <v>219</v>
      </c>
      <c r="G1206" s="4" t="str">
        <f t="shared" si="72"/>
        <v>46924</v>
      </c>
      <c r="H1206" t="str">
        <f t="shared" si="73"/>
        <v>Yağmur Sude AYKUT</v>
      </c>
      <c r="I1206" t="str">
        <f t="shared" si="74"/>
        <v>12A1 Cilt Bakımı Ve Makyaj</v>
      </c>
      <c r="J1206" t="str">
        <f t="shared" si="75"/>
        <v>12A</v>
      </c>
    </row>
    <row r="1207" spans="1:10" x14ac:dyDescent="0.25">
      <c r="A1207" s="3">
        <v>12101780910</v>
      </c>
      <c r="B1207" s="3" t="s">
        <v>1319</v>
      </c>
      <c r="C1207" s="3" t="s">
        <v>898</v>
      </c>
      <c r="D1207" s="3" t="s">
        <v>53</v>
      </c>
      <c r="E1207" s="3">
        <v>12</v>
      </c>
      <c r="F1207" s="3" t="s">
        <v>219</v>
      </c>
      <c r="G1207" s="4" t="str">
        <f t="shared" si="72"/>
        <v>80910</v>
      </c>
      <c r="H1207" t="str">
        <f t="shared" si="73"/>
        <v>Yaren ZEYBEKOĞLU</v>
      </c>
      <c r="I1207" t="str">
        <f t="shared" si="74"/>
        <v>12A1 Cilt Bakımı Ve Makyaj</v>
      </c>
      <c r="J1207" t="str">
        <f t="shared" si="75"/>
        <v>12A</v>
      </c>
    </row>
    <row r="1208" spans="1:10" x14ac:dyDescent="0.25">
      <c r="A1208" s="3">
        <v>37783924766</v>
      </c>
      <c r="B1208" s="3" t="s">
        <v>1320</v>
      </c>
      <c r="C1208" s="3" t="s">
        <v>12</v>
      </c>
      <c r="D1208" s="3" t="s">
        <v>57</v>
      </c>
      <c r="E1208" s="3">
        <v>12</v>
      </c>
      <c r="F1208" s="3" t="s">
        <v>363</v>
      </c>
      <c r="G1208" s="4" t="str">
        <f t="shared" si="72"/>
        <v>24766</v>
      </c>
      <c r="H1208" t="str">
        <f t="shared" si="73"/>
        <v>Oğuzcan EKMEKCİ</v>
      </c>
      <c r="I1208" t="str">
        <f t="shared" si="74"/>
        <v>12D1 Dizel Motorları Yakıt Pompası Ve Enjektör Ayarcılığı</v>
      </c>
      <c r="J1208" t="str">
        <f t="shared" si="75"/>
        <v>12D</v>
      </c>
    </row>
    <row r="1209" spans="1:10" x14ac:dyDescent="0.25">
      <c r="A1209" s="3">
        <v>52060169616</v>
      </c>
      <c r="B1209" s="3" t="s">
        <v>1321</v>
      </c>
      <c r="C1209" s="3" t="s">
        <v>12</v>
      </c>
      <c r="D1209" s="3" t="s">
        <v>60</v>
      </c>
      <c r="E1209" s="3">
        <v>12</v>
      </c>
      <c r="F1209" s="3" t="s">
        <v>164</v>
      </c>
      <c r="G1209" s="4" t="str">
        <f t="shared" si="72"/>
        <v>69616</v>
      </c>
      <c r="H1209" t="str">
        <f t="shared" si="73"/>
        <v>Abdullah UÇAN</v>
      </c>
      <c r="I1209" t="str">
        <f t="shared" si="74"/>
        <v>12C Elektrik Tesisatları Ve Pano Montörlüğü</v>
      </c>
      <c r="J1209" t="str">
        <f t="shared" si="75"/>
        <v>12C</v>
      </c>
    </row>
    <row r="1210" spans="1:10" x14ac:dyDescent="0.25">
      <c r="A1210" s="3">
        <v>52894133432</v>
      </c>
      <c r="B1210" s="3" t="s">
        <v>1322</v>
      </c>
      <c r="C1210" s="3" t="s">
        <v>12</v>
      </c>
      <c r="D1210" s="3" t="s">
        <v>60</v>
      </c>
      <c r="E1210" s="3">
        <v>12</v>
      </c>
      <c r="F1210" s="3" t="s">
        <v>164</v>
      </c>
      <c r="G1210" s="4" t="str">
        <f t="shared" si="72"/>
        <v>33432</v>
      </c>
      <c r="H1210" t="str">
        <f t="shared" si="73"/>
        <v>Alp DURMAZ</v>
      </c>
      <c r="I1210" t="str">
        <f t="shared" si="74"/>
        <v>12C Elektrik Tesisatları Ve Pano Montörlüğü</v>
      </c>
      <c r="J1210" t="str">
        <f t="shared" si="75"/>
        <v>12C</v>
      </c>
    </row>
    <row r="1211" spans="1:10" x14ac:dyDescent="0.25">
      <c r="A1211" s="3">
        <v>31750754530</v>
      </c>
      <c r="B1211" s="3" t="s">
        <v>1323</v>
      </c>
      <c r="C1211" s="3" t="s">
        <v>12</v>
      </c>
      <c r="D1211" s="3" t="s">
        <v>60</v>
      </c>
      <c r="E1211" s="3">
        <v>12</v>
      </c>
      <c r="F1211" s="3" t="s">
        <v>164</v>
      </c>
      <c r="G1211" s="4" t="str">
        <f t="shared" si="72"/>
        <v>54530</v>
      </c>
      <c r="H1211" t="str">
        <f t="shared" si="73"/>
        <v>Alperen ÇAVGA</v>
      </c>
      <c r="I1211" t="str">
        <f t="shared" si="74"/>
        <v>12C Elektrik Tesisatları Ve Pano Montörlüğü</v>
      </c>
      <c r="J1211" t="str">
        <f t="shared" si="75"/>
        <v>12C</v>
      </c>
    </row>
    <row r="1212" spans="1:10" x14ac:dyDescent="0.25">
      <c r="A1212" s="3">
        <v>16760251750</v>
      </c>
      <c r="B1212" s="3" t="s">
        <v>1324</v>
      </c>
      <c r="C1212" s="3" t="s">
        <v>12</v>
      </c>
      <c r="D1212" s="3" t="s">
        <v>60</v>
      </c>
      <c r="E1212" s="3">
        <v>12</v>
      </c>
      <c r="F1212" s="3" t="s">
        <v>164</v>
      </c>
      <c r="G1212" s="4" t="str">
        <f t="shared" si="72"/>
        <v>51750</v>
      </c>
      <c r="H1212" t="str">
        <f t="shared" si="73"/>
        <v>Arda BELLİ</v>
      </c>
      <c r="I1212" t="str">
        <f t="shared" si="74"/>
        <v>12C Elektrik Tesisatları Ve Pano Montörlüğü</v>
      </c>
      <c r="J1212" t="str">
        <f t="shared" si="75"/>
        <v>12C</v>
      </c>
    </row>
    <row r="1213" spans="1:10" x14ac:dyDescent="0.25">
      <c r="A1213" s="3">
        <v>25709326510</v>
      </c>
      <c r="B1213" s="3" t="s">
        <v>1325</v>
      </c>
      <c r="C1213" s="3" t="s">
        <v>12</v>
      </c>
      <c r="D1213" s="3" t="s">
        <v>60</v>
      </c>
      <c r="E1213" s="3">
        <v>12</v>
      </c>
      <c r="F1213" s="3" t="s">
        <v>164</v>
      </c>
      <c r="G1213" s="4" t="str">
        <f t="shared" si="72"/>
        <v>26510</v>
      </c>
      <c r="H1213" t="str">
        <f t="shared" si="73"/>
        <v>Arda TUNCA</v>
      </c>
      <c r="I1213" t="str">
        <f t="shared" si="74"/>
        <v>12C Elektrik Tesisatları Ve Pano Montörlüğü</v>
      </c>
      <c r="J1213" t="str">
        <f t="shared" si="75"/>
        <v>12C</v>
      </c>
    </row>
    <row r="1214" spans="1:10" x14ac:dyDescent="0.25">
      <c r="A1214" s="3">
        <v>61687127312</v>
      </c>
      <c r="B1214" s="3" t="s">
        <v>1326</v>
      </c>
      <c r="C1214" s="3" t="s">
        <v>12</v>
      </c>
      <c r="D1214" s="3" t="s">
        <v>60</v>
      </c>
      <c r="E1214" s="3">
        <v>12</v>
      </c>
      <c r="F1214" s="3" t="s">
        <v>164</v>
      </c>
      <c r="G1214" s="4" t="str">
        <f t="shared" si="72"/>
        <v>27312</v>
      </c>
      <c r="H1214" t="str">
        <f t="shared" si="73"/>
        <v>Çağrı TUĞLU</v>
      </c>
      <c r="I1214" t="str">
        <f t="shared" si="74"/>
        <v>12C Elektrik Tesisatları Ve Pano Montörlüğü</v>
      </c>
      <c r="J1214" t="str">
        <f t="shared" si="75"/>
        <v>12C</v>
      </c>
    </row>
    <row r="1215" spans="1:10" x14ac:dyDescent="0.25">
      <c r="A1215" s="3">
        <v>13283741010</v>
      </c>
      <c r="B1215" s="3" t="s">
        <v>1327</v>
      </c>
      <c r="C1215" s="3" t="s">
        <v>898</v>
      </c>
      <c r="D1215" s="3" t="s">
        <v>60</v>
      </c>
      <c r="E1215" s="3">
        <v>12</v>
      </c>
      <c r="F1215" s="3" t="s">
        <v>164</v>
      </c>
      <c r="G1215" s="4" t="str">
        <f t="shared" si="72"/>
        <v>41010</v>
      </c>
      <c r="H1215" t="str">
        <f t="shared" si="73"/>
        <v>Emir PINAR</v>
      </c>
      <c r="I1215" t="str">
        <f t="shared" si="74"/>
        <v>12C Elektrik Tesisatları Ve Pano Montörlüğü</v>
      </c>
      <c r="J1215" t="str">
        <f t="shared" si="75"/>
        <v>12C</v>
      </c>
    </row>
    <row r="1216" spans="1:10" x14ac:dyDescent="0.25">
      <c r="A1216" s="3">
        <v>15689720750</v>
      </c>
      <c r="B1216" s="3" t="s">
        <v>1328</v>
      </c>
      <c r="C1216" s="3" t="s">
        <v>898</v>
      </c>
      <c r="D1216" s="3" t="s">
        <v>60</v>
      </c>
      <c r="E1216" s="3">
        <v>12</v>
      </c>
      <c r="F1216" s="3" t="s">
        <v>164</v>
      </c>
      <c r="G1216" s="4" t="str">
        <f t="shared" si="72"/>
        <v>20750</v>
      </c>
      <c r="H1216" t="str">
        <f t="shared" si="73"/>
        <v>Habir OK</v>
      </c>
      <c r="I1216" t="str">
        <f t="shared" si="74"/>
        <v>12C Elektrik Tesisatları Ve Pano Montörlüğü</v>
      </c>
      <c r="J1216" t="str">
        <f t="shared" si="75"/>
        <v>12C</v>
      </c>
    </row>
    <row r="1217" spans="1:10" x14ac:dyDescent="0.25">
      <c r="A1217" s="3">
        <v>38932885556</v>
      </c>
      <c r="B1217" s="3" t="s">
        <v>1329</v>
      </c>
      <c r="C1217" s="3" t="s">
        <v>12</v>
      </c>
      <c r="D1217" s="3" t="s">
        <v>60</v>
      </c>
      <c r="E1217" s="3">
        <v>12</v>
      </c>
      <c r="F1217" s="3" t="s">
        <v>164</v>
      </c>
      <c r="G1217" s="4" t="str">
        <f t="shared" si="72"/>
        <v>85556</v>
      </c>
      <c r="H1217" t="str">
        <f t="shared" si="73"/>
        <v>İbrahim Efe KÖLEMEN</v>
      </c>
      <c r="I1217" t="str">
        <f t="shared" si="74"/>
        <v>12C Elektrik Tesisatları Ve Pano Montörlüğü</v>
      </c>
      <c r="J1217" t="str">
        <f t="shared" si="75"/>
        <v>12C</v>
      </c>
    </row>
    <row r="1218" spans="1:10" x14ac:dyDescent="0.25">
      <c r="A1218" s="3">
        <v>67708061870</v>
      </c>
      <c r="B1218" s="3" t="s">
        <v>1330</v>
      </c>
      <c r="C1218" s="3" t="s">
        <v>12</v>
      </c>
      <c r="D1218" s="3" t="s">
        <v>60</v>
      </c>
      <c r="E1218" s="3">
        <v>12</v>
      </c>
      <c r="F1218" s="3" t="s">
        <v>164</v>
      </c>
      <c r="G1218" s="4" t="str">
        <f t="shared" si="72"/>
        <v>61870</v>
      </c>
      <c r="H1218" t="str">
        <f t="shared" si="73"/>
        <v>Nurullah KÜL</v>
      </c>
      <c r="I1218" t="str">
        <f t="shared" si="74"/>
        <v>12C Elektrik Tesisatları Ve Pano Montörlüğü</v>
      </c>
      <c r="J1218" t="str">
        <f t="shared" si="75"/>
        <v>12C</v>
      </c>
    </row>
    <row r="1219" spans="1:10" x14ac:dyDescent="0.25">
      <c r="A1219" s="3">
        <v>35279067874</v>
      </c>
      <c r="B1219" s="3" t="s">
        <v>1331</v>
      </c>
      <c r="C1219" s="3" t="s">
        <v>12</v>
      </c>
      <c r="D1219" s="3" t="s">
        <v>60</v>
      </c>
      <c r="E1219" s="3">
        <v>12</v>
      </c>
      <c r="F1219" s="3" t="s">
        <v>164</v>
      </c>
      <c r="G1219" s="4" t="str">
        <f t="shared" si="72"/>
        <v>67874</v>
      </c>
      <c r="H1219" t="str">
        <f t="shared" si="73"/>
        <v>Sametcan BAYANDUR</v>
      </c>
      <c r="I1219" t="str">
        <f t="shared" si="74"/>
        <v>12C Elektrik Tesisatları Ve Pano Montörlüğü</v>
      </c>
      <c r="J1219" t="str">
        <f t="shared" si="75"/>
        <v>12C</v>
      </c>
    </row>
    <row r="1220" spans="1:10" x14ac:dyDescent="0.25">
      <c r="A1220" s="3">
        <v>23549399138</v>
      </c>
      <c r="B1220" s="3" t="s">
        <v>1332</v>
      </c>
      <c r="C1220" s="3" t="s">
        <v>12</v>
      </c>
      <c r="D1220" s="3" t="s">
        <v>60</v>
      </c>
      <c r="E1220" s="3">
        <v>12</v>
      </c>
      <c r="F1220" s="3" t="s">
        <v>164</v>
      </c>
      <c r="G1220" s="4" t="str">
        <f t="shared" si="72"/>
        <v>99138</v>
      </c>
      <c r="H1220" t="str">
        <f t="shared" si="73"/>
        <v>Uğur Efe DURDABAK</v>
      </c>
      <c r="I1220" t="str">
        <f t="shared" si="74"/>
        <v>12C Elektrik Tesisatları Ve Pano Montörlüğü</v>
      </c>
      <c r="J1220" t="str">
        <f t="shared" si="75"/>
        <v>12C</v>
      </c>
    </row>
    <row r="1221" spans="1:10" x14ac:dyDescent="0.25">
      <c r="A1221" s="3">
        <v>25295340426</v>
      </c>
      <c r="B1221" s="3" t="s">
        <v>1333</v>
      </c>
      <c r="C1221" s="3" t="s">
        <v>12</v>
      </c>
      <c r="D1221" s="3" t="s">
        <v>79</v>
      </c>
      <c r="E1221" s="3">
        <v>12</v>
      </c>
      <c r="F1221" s="3" t="s">
        <v>637</v>
      </c>
      <c r="G1221" s="4" t="str">
        <f t="shared" ref="G1221:G1284" si="76">RIGHT(A1221,5)</f>
        <v>40426</v>
      </c>
      <c r="H1221" t="str">
        <f t="shared" ref="H1221:H1284" si="77">B1221</f>
        <v>Arda ÖREN</v>
      </c>
      <c r="I1221" t="str">
        <f t="shared" ref="I1221:I1284" si="78">CONCATENATE(E1221,F1221," ",D1221)</f>
        <v>12C2 Elektrikli Ev Aletleri Teknik Servisi</v>
      </c>
      <c r="J1221" t="str">
        <f t="shared" ref="J1221:J1284" si="79">LEFT(I1221,3)</f>
        <v>12C</v>
      </c>
    </row>
    <row r="1222" spans="1:10" x14ac:dyDescent="0.25">
      <c r="A1222" s="3">
        <v>19340731604</v>
      </c>
      <c r="B1222" s="3" t="s">
        <v>1334</v>
      </c>
      <c r="C1222" s="3" t="s">
        <v>12</v>
      </c>
      <c r="D1222" s="3" t="s">
        <v>79</v>
      </c>
      <c r="E1222" s="3">
        <v>12</v>
      </c>
      <c r="F1222" s="3" t="s">
        <v>637</v>
      </c>
      <c r="G1222" s="4" t="str">
        <f t="shared" si="76"/>
        <v>31604</v>
      </c>
      <c r="H1222" t="str">
        <f t="shared" si="77"/>
        <v>Melih BEKDEMİR</v>
      </c>
      <c r="I1222" t="str">
        <f t="shared" si="78"/>
        <v>12C2 Elektrikli Ev Aletleri Teknik Servisi</v>
      </c>
      <c r="J1222" t="str">
        <f t="shared" si="79"/>
        <v>12C</v>
      </c>
    </row>
    <row r="1223" spans="1:10" x14ac:dyDescent="0.25">
      <c r="A1223" s="3">
        <v>13346738612</v>
      </c>
      <c r="B1223" s="3" t="s">
        <v>1335</v>
      </c>
      <c r="C1223" s="3" t="s">
        <v>898</v>
      </c>
      <c r="D1223" s="3" t="s">
        <v>83</v>
      </c>
      <c r="E1223" s="3">
        <v>12</v>
      </c>
      <c r="F1223" s="3" t="s">
        <v>971</v>
      </c>
      <c r="G1223" s="4" t="str">
        <f t="shared" si="76"/>
        <v>38612</v>
      </c>
      <c r="H1223" t="str">
        <f t="shared" si="77"/>
        <v>Eren BİLGİÇ</v>
      </c>
      <c r="I1223" t="str">
        <f t="shared" si="78"/>
        <v>12C3 Endüstriyel Bakım Onarım</v>
      </c>
      <c r="J1223" t="str">
        <f t="shared" si="79"/>
        <v>12C</v>
      </c>
    </row>
    <row r="1224" spans="1:10" x14ac:dyDescent="0.25">
      <c r="A1224" s="3">
        <v>38584737982</v>
      </c>
      <c r="B1224" s="3" t="s">
        <v>1336</v>
      </c>
      <c r="C1224" s="3" t="s">
        <v>12</v>
      </c>
      <c r="D1224" s="3" t="s">
        <v>83</v>
      </c>
      <c r="E1224" s="3">
        <v>12</v>
      </c>
      <c r="F1224" s="3" t="s">
        <v>971</v>
      </c>
      <c r="G1224" s="4" t="str">
        <f t="shared" si="76"/>
        <v>37982</v>
      </c>
      <c r="H1224" t="str">
        <f t="shared" si="77"/>
        <v>Muhammet Taha ÇELİK</v>
      </c>
      <c r="I1224" t="str">
        <f t="shared" si="78"/>
        <v>12C3 Endüstriyel Bakım Onarım</v>
      </c>
      <c r="J1224" t="str">
        <f t="shared" si="79"/>
        <v>12C</v>
      </c>
    </row>
    <row r="1225" spans="1:10" x14ac:dyDescent="0.25">
      <c r="A1225" s="3">
        <v>13419086596</v>
      </c>
      <c r="B1225" s="3" t="s">
        <v>1337</v>
      </c>
      <c r="C1225" s="3" t="s">
        <v>12</v>
      </c>
      <c r="D1225" s="3" t="s">
        <v>83</v>
      </c>
      <c r="E1225" s="3">
        <v>12</v>
      </c>
      <c r="F1225" s="3" t="s">
        <v>971</v>
      </c>
      <c r="G1225" s="4" t="str">
        <f t="shared" si="76"/>
        <v>86596</v>
      </c>
      <c r="H1225" t="str">
        <f t="shared" si="77"/>
        <v>Turgut TOPAL</v>
      </c>
      <c r="I1225" t="str">
        <f t="shared" si="78"/>
        <v>12C3 Endüstriyel Bakım Onarım</v>
      </c>
      <c r="J1225" t="str">
        <f t="shared" si="79"/>
        <v>12C</v>
      </c>
    </row>
    <row r="1226" spans="1:10" x14ac:dyDescent="0.25">
      <c r="A1226" s="3">
        <v>29803715522</v>
      </c>
      <c r="B1226" s="3" t="s">
        <v>1338</v>
      </c>
      <c r="C1226" s="3" t="s">
        <v>12</v>
      </c>
      <c r="D1226" s="3" t="s">
        <v>91</v>
      </c>
      <c r="E1226" s="3">
        <v>12</v>
      </c>
      <c r="F1226" s="3" t="s">
        <v>58</v>
      </c>
      <c r="G1226" s="4" t="str">
        <f t="shared" si="76"/>
        <v>15522</v>
      </c>
      <c r="H1226" t="str">
        <f t="shared" si="77"/>
        <v>Abdullah IRMAK</v>
      </c>
      <c r="I1226" t="str">
        <f t="shared" si="78"/>
        <v>12B Erkek Kuaförlüğü</v>
      </c>
      <c r="J1226" t="str">
        <f t="shared" si="79"/>
        <v>12B</v>
      </c>
    </row>
    <row r="1227" spans="1:10" x14ac:dyDescent="0.25">
      <c r="A1227" s="3">
        <v>13985717214</v>
      </c>
      <c r="B1227" s="3" t="s">
        <v>1126</v>
      </c>
      <c r="C1227" s="3" t="s">
        <v>12</v>
      </c>
      <c r="D1227" s="3" t="s">
        <v>91</v>
      </c>
      <c r="E1227" s="3">
        <v>12</v>
      </c>
      <c r="F1227" s="3" t="s">
        <v>58</v>
      </c>
      <c r="G1227" s="4" t="str">
        <f t="shared" si="76"/>
        <v>17214</v>
      </c>
      <c r="H1227" t="str">
        <f t="shared" si="77"/>
        <v>Ahmet YİĞİT</v>
      </c>
      <c r="I1227" t="str">
        <f t="shared" si="78"/>
        <v>12B Erkek Kuaförlüğü</v>
      </c>
      <c r="J1227" t="str">
        <f t="shared" si="79"/>
        <v>12B</v>
      </c>
    </row>
    <row r="1228" spans="1:10" x14ac:dyDescent="0.25">
      <c r="A1228" s="3">
        <v>69361020096</v>
      </c>
      <c r="B1228" s="3" t="s">
        <v>1339</v>
      </c>
      <c r="C1228" s="3" t="s">
        <v>12</v>
      </c>
      <c r="D1228" s="3" t="s">
        <v>91</v>
      </c>
      <c r="E1228" s="3">
        <v>12</v>
      </c>
      <c r="F1228" s="3" t="s">
        <v>58</v>
      </c>
      <c r="G1228" s="4" t="str">
        <f t="shared" si="76"/>
        <v>20096</v>
      </c>
      <c r="H1228" t="str">
        <f t="shared" si="77"/>
        <v>Arif KAPLAN</v>
      </c>
      <c r="I1228" t="str">
        <f t="shared" si="78"/>
        <v>12B Erkek Kuaförlüğü</v>
      </c>
      <c r="J1228" t="str">
        <f t="shared" si="79"/>
        <v>12B</v>
      </c>
    </row>
    <row r="1229" spans="1:10" x14ac:dyDescent="0.25">
      <c r="A1229" s="3">
        <v>27743259380</v>
      </c>
      <c r="B1229" s="3" t="s">
        <v>1340</v>
      </c>
      <c r="C1229" s="3" t="s">
        <v>12</v>
      </c>
      <c r="D1229" s="3" t="s">
        <v>91</v>
      </c>
      <c r="E1229" s="3">
        <v>12</v>
      </c>
      <c r="F1229" s="3" t="s">
        <v>58</v>
      </c>
      <c r="G1229" s="4" t="str">
        <f t="shared" si="76"/>
        <v>59380</v>
      </c>
      <c r="H1229" t="str">
        <f t="shared" si="77"/>
        <v>Baran Efe BİTİRGİÇ</v>
      </c>
      <c r="I1229" t="str">
        <f t="shared" si="78"/>
        <v>12B Erkek Kuaförlüğü</v>
      </c>
      <c r="J1229" t="str">
        <f t="shared" si="79"/>
        <v>12B</v>
      </c>
    </row>
    <row r="1230" spans="1:10" x14ac:dyDescent="0.25">
      <c r="A1230" s="3">
        <v>25267108078</v>
      </c>
      <c r="B1230" s="3" t="s">
        <v>1341</v>
      </c>
      <c r="C1230" s="3" t="s">
        <v>12</v>
      </c>
      <c r="D1230" s="3" t="s">
        <v>91</v>
      </c>
      <c r="E1230" s="3">
        <v>12</v>
      </c>
      <c r="F1230" s="3" t="s">
        <v>58</v>
      </c>
      <c r="G1230" s="4" t="str">
        <f t="shared" si="76"/>
        <v>08078</v>
      </c>
      <c r="H1230" t="str">
        <f t="shared" si="77"/>
        <v>Barış POLAT</v>
      </c>
      <c r="I1230" t="str">
        <f t="shared" si="78"/>
        <v>12B Erkek Kuaförlüğü</v>
      </c>
      <c r="J1230" t="str">
        <f t="shared" si="79"/>
        <v>12B</v>
      </c>
    </row>
    <row r="1231" spans="1:10" x14ac:dyDescent="0.25">
      <c r="A1231" s="3">
        <v>57889314094</v>
      </c>
      <c r="B1231" s="3" t="s">
        <v>1342</v>
      </c>
      <c r="C1231" s="3" t="s">
        <v>12</v>
      </c>
      <c r="D1231" s="3" t="s">
        <v>91</v>
      </c>
      <c r="E1231" s="3">
        <v>12</v>
      </c>
      <c r="F1231" s="3" t="s">
        <v>58</v>
      </c>
      <c r="G1231" s="4" t="str">
        <f t="shared" si="76"/>
        <v>14094</v>
      </c>
      <c r="H1231" t="str">
        <f t="shared" si="77"/>
        <v>Berat TURAN</v>
      </c>
      <c r="I1231" t="str">
        <f t="shared" si="78"/>
        <v>12B Erkek Kuaförlüğü</v>
      </c>
      <c r="J1231" t="str">
        <f t="shared" si="79"/>
        <v>12B</v>
      </c>
    </row>
    <row r="1232" spans="1:10" x14ac:dyDescent="0.25">
      <c r="A1232" s="3">
        <v>13298740060</v>
      </c>
      <c r="B1232" s="3" t="s">
        <v>1343</v>
      </c>
      <c r="C1232" s="3" t="s">
        <v>12</v>
      </c>
      <c r="D1232" s="3" t="s">
        <v>91</v>
      </c>
      <c r="E1232" s="3">
        <v>12</v>
      </c>
      <c r="F1232" s="3" t="s">
        <v>58</v>
      </c>
      <c r="G1232" s="4" t="str">
        <f t="shared" si="76"/>
        <v>40060</v>
      </c>
      <c r="H1232" t="str">
        <f t="shared" si="77"/>
        <v>Boran SAVAŞ</v>
      </c>
      <c r="I1232" t="str">
        <f t="shared" si="78"/>
        <v>12B Erkek Kuaförlüğü</v>
      </c>
      <c r="J1232" t="str">
        <f t="shared" si="79"/>
        <v>12B</v>
      </c>
    </row>
    <row r="1233" spans="1:10" x14ac:dyDescent="0.25">
      <c r="A1233" s="3">
        <v>12554764802</v>
      </c>
      <c r="B1233" s="3" t="s">
        <v>1344</v>
      </c>
      <c r="C1233" s="3" t="s">
        <v>898</v>
      </c>
      <c r="D1233" s="3" t="s">
        <v>91</v>
      </c>
      <c r="E1233" s="3">
        <v>12</v>
      </c>
      <c r="F1233" s="3" t="s">
        <v>58</v>
      </c>
      <c r="G1233" s="4" t="str">
        <f t="shared" si="76"/>
        <v>64802</v>
      </c>
      <c r="H1233" t="str">
        <f t="shared" si="77"/>
        <v>Emir ŞENKAL</v>
      </c>
      <c r="I1233" t="str">
        <f t="shared" si="78"/>
        <v>12B Erkek Kuaförlüğü</v>
      </c>
      <c r="J1233" t="str">
        <f t="shared" si="79"/>
        <v>12B</v>
      </c>
    </row>
    <row r="1234" spans="1:10" x14ac:dyDescent="0.25">
      <c r="A1234" s="3">
        <v>63928203496</v>
      </c>
      <c r="B1234" s="3" t="s">
        <v>1345</v>
      </c>
      <c r="C1234" s="3" t="s">
        <v>12</v>
      </c>
      <c r="D1234" s="3" t="s">
        <v>91</v>
      </c>
      <c r="E1234" s="3">
        <v>12</v>
      </c>
      <c r="F1234" s="3" t="s">
        <v>58</v>
      </c>
      <c r="G1234" s="4" t="str">
        <f t="shared" si="76"/>
        <v>03496</v>
      </c>
      <c r="H1234" t="str">
        <f t="shared" si="77"/>
        <v>Emrullah BİLECEN</v>
      </c>
      <c r="I1234" t="str">
        <f t="shared" si="78"/>
        <v>12B Erkek Kuaförlüğü</v>
      </c>
      <c r="J1234" t="str">
        <f t="shared" si="79"/>
        <v>12B</v>
      </c>
    </row>
    <row r="1235" spans="1:10" x14ac:dyDescent="0.25">
      <c r="A1235" s="3">
        <v>41666049590</v>
      </c>
      <c r="B1235" s="3" t="s">
        <v>1346</v>
      </c>
      <c r="C1235" s="3" t="s">
        <v>12</v>
      </c>
      <c r="D1235" s="3" t="s">
        <v>91</v>
      </c>
      <c r="E1235" s="3">
        <v>12</v>
      </c>
      <c r="F1235" s="3" t="s">
        <v>58</v>
      </c>
      <c r="G1235" s="4" t="str">
        <f t="shared" si="76"/>
        <v>49590</v>
      </c>
      <c r="H1235" t="str">
        <f t="shared" si="77"/>
        <v>Eyüp YALIN</v>
      </c>
      <c r="I1235" t="str">
        <f t="shared" si="78"/>
        <v>12B Erkek Kuaförlüğü</v>
      </c>
      <c r="J1235" t="str">
        <f t="shared" si="79"/>
        <v>12B</v>
      </c>
    </row>
    <row r="1236" spans="1:10" x14ac:dyDescent="0.25">
      <c r="A1236" s="3">
        <v>31304140444</v>
      </c>
      <c r="B1236" s="3" t="s">
        <v>1347</v>
      </c>
      <c r="C1236" s="3" t="s">
        <v>12</v>
      </c>
      <c r="D1236" s="3" t="s">
        <v>91</v>
      </c>
      <c r="E1236" s="3">
        <v>12</v>
      </c>
      <c r="F1236" s="3" t="s">
        <v>58</v>
      </c>
      <c r="G1236" s="4" t="str">
        <f t="shared" si="76"/>
        <v>40444</v>
      </c>
      <c r="H1236" t="str">
        <f t="shared" si="77"/>
        <v>Furkan ÖZER</v>
      </c>
      <c r="I1236" t="str">
        <f t="shared" si="78"/>
        <v>12B Erkek Kuaförlüğü</v>
      </c>
      <c r="J1236" t="str">
        <f t="shared" si="79"/>
        <v>12B</v>
      </c>
    </row>
    <row r="1237" spans="1:10" x14ac:dyDescent="0.25">
      <c r="A1237" s="3">
        <v>34775082770</v>
      </c>
      <c r="B1237" s="3" t="s">
        <v>1348</v>
      </c>
      <c r="C1237" s="3" t="s">
        <v>12</v>
      </c>
      <c r="D1237" s="3" t="s">
        <v>91</v>
      </c>
      <c r="E1237" s="3">
        <v>12</v>
      </c>
      <c r="F1237" s="3" t="s">
        <v>58</v>
      </c>
      <c r="G1237" s="4" t="str">
        <f t="shared" si="76"/>
        <v>82770</v>
      </c>
      <c r="H1237" t="str">
        <f t="shared" si="77"/>
        <v>Hüseyin ÇOBAN</v>
      </c>
      <c r="I1237" t="str">
        <f t="shared" si="78"/>
        <v>12B Erkek Kuaförlüğü</v>
      </c>
      <c r="J1237" t="str">
        <f t="shared" si="79"/>
        <v>12B</v>
      </c>
    </row>
    <row r="1238" spans="1:10" x14ac:dyDescent="0.25">
      <c r="A1238" s="3">
        <v>60694161036</v>
      </c>
      <c r="B1238" s="3" t="s">
        <v>1349</v>
      </c>
      <c r="C1238" s="3" t="s">
        <v>12</v>
      </c>
      <c r="D1238" s="3" t="s">
        <v>91</v>
      </c>
      <c r="E1238" s="3">
        <v>12</v>
      </c>
      <c r="F1238" s="3" t="s">
        <v>58</v>
      </c>
      <c r="G1238" s="4" t="str">
        <f t="shared" si="76"/>
        <v>61036</v>
      </c>
      <c r="H1238" t="str">
        <f t="shared" si="77"/>
        <v>Kayra KUĞUMCU</v>
      </c>
      <c r="I1238" t="str">
        <f t="shared" si="78"/>
        <v>12B Erkek Kuaförlüğü</v>
      </c>
      <c r="J1238" t="str">
        <f t="shared" si="79"/>
        <v>12B</v>
      </c>
    </row>
    <row r="1239" spans="1:10" x14ac:dyDescent="0.25">
      <c r="A1239" s="3">
        <v>50911819734</v>
      </c>
      <c r="B1239" s="3" t="s">
        <v>1350</v>
      </c>
      <c r="C1239" s="3" t="s">
        <v>12</v>
      </c>
      <c r="D1239" s="3" t="s">
        <v>91</v>
      </c>
      <c r="E1239" s="3">
        <v>12</v>
      </c>
      <c r="F1239" s="3" t="s">
        <v>58</v>
      </c>
      <c r="G1239" s="4" t="str">
        <f t="shared" si="76"/>
        <v>19734</v>
      </c>
      <c r="H1239" t="str">
        <f t="shared" si="77"/>
        <v>Mert SUÇİN</v>
      </c>
      <c r="I1239" t="str">
        <f t="shared" si="78"/>
        <v>12B Erkek Kuaförlüğü</v>
      </c>
      <c r="J1239" t="str">
        <f t="shared" si="79"/>
        <v>12B</v>
      </c>
    </row>
    <row r="1240" spans="1:10" x14ac:dyDescent="0.25">
      <c r="A1240" s="3">
        <v>52339022758</v>
      </c>
      <c r="B1240" s="3" t="s">
        <v>1351</v>
      </c>
      <c r="C1240" s="3" t="s">
        <v>12</v>
      </c>
      <c r="D1240" s="3" t="s">
        <v>91</v>
      </c>
      <c r="E1240" s="3">
        <v>12</v>
      </c>
      <c r="F1240" s="3" t="s">
        <v>58</v>
      </c>
      <c r="G1240" s="4" t="str">
        <f t="shared" si="76"/>
        <v>22758</v>
      </c>
      <c r="H1240" t="str">
        <f t="shared" si="77"/>
        <v>Muhammed Mustafa ALTUNTAŞ</v>
      </c>
      <c r="I1240" t="str">
        <f t="shared" si="78"/>
        <v>12B Erkek Kuaförlüğü</v>
      </c>
      <c r="J1240" t="str">
        <f t="shared" si="79"/>
        <v>12B</v>
      </c>
    </row>
    <row r="1241" spans="1:10" x14ac:dyDescent="0.25">
      <c r="A1241" s="3">
        <v>47173288460</v>
      </c>
      <c r="B1241" s="3" t="s">
        <v>1352</v>
      </c>
      <c r="C1241" s="3" t="s">
        <v>12</v>
      </c>
      <c r="D1241" s="3" t="s">
        <v>91</v>
      </c>
      <c r="E1241" s="3">
        <v>12</v>
      </c>
      <c r="F1241" s="3" t="s">
        <v>58</v>
      </c>
      <c r="G1241" s="4" t="str">
        <f t="shared" si="76"/>
        <v>88460</v>
      </c>
      <c r="H1241" t="str">
        <f t="shared" si="77"/>
        <v>Muhammet Furkan AYDOĞAN</v>
      </c>
      <c r="I1241" t="str">
        <f t="shared" si="78"/>
        <v>12B Erkek Kuaförlüğü</v>
      </c>
      <c r="J1241" t="str">
        <f t="shared" si="79"/>
        <v>12B</v>
      </c>
    </row>
    <row r="1242" spans="1:10" x14ac:dyDescent="0.25">
      <c r="A1242" s="3">
        <v>44809847510</v>
      </c>
      <c r="B1242" s="3" t="s">
        <v>1353</v>
      </c>
      <c r="C1242" s="3" t="s">
        <v>12</v>
      </c>
      <c r="D1242" s="3" t="s">
        <v>91</v>
      </c>
      <c r="E1242" s="3">
        <v>12</v>
      </c>
      <c r="F1242" s="3" t="s">
        <v>58</v>
      </c>
      <c r="G1242" s="4" t="str">
        <f t="shared" si="76"/>
        <v>47510</v>
      </c>
      <c r="H1242" t="str">
        <f t="shared" si="77"/>
        <v>Musa ÇETİN</v>
      </c>
      <c r="I1242" t="str">
        <f t="shared" si="78"/>
        <v>12B Erkek Kuaförlüğü</v>
      </c>
      <c r="J1242" t="str">
        <f t="shared" si="79"/>
        <v>12B</v>
      </c>
    </row>
    <row r="1243" spans="1:10" x14ac:dyDescent="0.25">
      <c r="A1243" s="3">
        <v>13715180578</v>
      </c>
      <c r="B1243" s="3" t="s">
        <v>1354</v>
      </c>
      <c r="C1243" s="3" t="s">
        <v>12</v>
      </c>
      <c r="D1243" s="3" t="s">
        <v>91</v>
      </c>
      <c r="E1243" s="3">
        <v>12</v>
      </c>
      <c r="F1243" s="3" t="s">
        <v>58</v>
      </c>
      <c r="G1243" s="4" t="str">
        <f t="shared" si="76"/>
        <v>80578</v>
      </c>
      <c r="H1243" t="str">
        <f t="shared" si="77"/>
        <v>Osman KOCA</v>
      </c>
      <c r="I1243" t="str">
        <f t="shared" si="78"/>
        <v>12B Erkek Kuaförlüğü</v>
      </c>
      <c r="J1243" t="str">
        <f t="shared" si="79"/>
        <v>12B</v>
      </c>
    </row>
    <row r="1244" spans="1:10" x14ac:dyDescent="0.25">
      <c r="A1244" s="3">
        <v>33245075526</v>
      </c>
      <c r="B1244" s="3" t="s">
        <v>1355</v>
      </c>
      <c r="C1244" s="3" t="s">
        <v>12</v>
      </c>
      <c r="D1244" s="3" t="s">
        <v>91</v>
      </c>
      <c r="E1244" s="3">
        <v>12</v>
      </c>
      <c r="F1244" s="3" t="s">
        <v>58</v>
      </c>
      <c r="G1244" s="4" t="str">
        <f t="shared" si="76"/>
        <v>75526</v>
      </c>
      <c r="H1244" t="str">
        <f t="shared" si="77"/>
        <v>Ömür OCAK</v>
      </c>
      <c r="I1244" t="str">
        <f t="shared" si="78"/>
        <v>12B Erkek Kuaförlüğü</v>
      </c>
      <c r="J1244" t="str">
        <f t="shared" si="79"/>
        <v>12B</v>
      </c>
    </row>
    <row r="1245" spans="1:10" x14ac:dyDescent="0.25">
      <c r="A1245" s="3">
        <v>10185002478</v>
      </c>
      <c r="B1245" s="3" t="s">
        <v>1356</v>
      </c>
      <c r="C1245" s="3" t="s">
        <v>898</v>
      </c>
      <c r="D1245" s="3" t="s">
        <v>91</v>
      </c>
      <c r="E1245" s="3">
        <v>12</v>
      </c>
      <c r="F1245" s="3" t="s">
        <v>58</v>
      </c>
      <c r="G1245" s="4" t="str">
        <f t="shared" si="76"/>
        <v>02478</v>
      </c>
      <c r="H1245" t="str">
        <f t="shared" si="77"/>
        <v>Ramazan GÜRCÜ</v>
      </c>
      <c r="I1245" t="str">
        <f t="shared" si="78"/>
        <v>12B Erkek Kuaförlüğü</v>
      </c>
      <c r="J1245" t="str">
        <f t="shared" si="79"/>
        <v>12B</v>
      </c>
    </row>
    <row r="1246" spans="1:10" x14ac:dyDescent="0.25">
      <c r="A1246" s="3">
        <v>10913978334</v>
      </c>
      <c r="B1246" s="3" t="s">
        <v>1357</v>
      </c>
      <c r="C1246" s="3" t="s">
        <v>12</v>
      </c>
      <c r="D1246" s="3" t="s">
        <v>91</v>
      </c>
      <c r="E1246" s="3">
        <v>12</v>
      </c>
      <c r="F1246" s="3" t="s">
        <v>58</v>
      </c>
      <c r="G1246" s="4" t="str">
        <f t="shared" si="76"/>
        <v>78334</v>
      </c>
      <c r="H1246" t="str">
        <f t="shared" si="77"/>
        <v>Recep Can TAYLAN</v>
      </c>
      <c r="I1246" t="str">
        <f t="shared" si="78"/>
        <v>12B Erkek Kuaförlüğü</v>
      </c>
      <c r="J1246" t="str">
        <f t="shared" si="79"/>
        <v>12B</v>
      </c>
    </row>
    <row r="1247" spans="1:10" x14ac:dyDescent="0.25">
      <c r="A1247" s="3">
        <v>53080414588</v>
      </c>
      <c r="B1247" s="3" t="s">
        <v>1358</v>
      </c>
      <c r="C1247" s="3" t="s">
        <v>12</v>
      </c>
      <c r="D1247" s="3" t="s">
        <v>91</v>
      </c>
      <c r="E1247" s="3">
        <v>12</v>
      </c>
      <c r="F1247" s="3" t="s">
        <v>58</v>
      </c>
      <c r="G1247" s="4" t="str">
        <f t="shared" si="76"/>
        <v>14588</v>
      </c>
      <c r="H1247" t="str">
        <f t="shared" si="77"/>
        <v>Salih Can TOPAL</v>
      </c>
      <c r="I1247" t="str">
        <f t="shared" si="78"/>
        <v>12B Erkek Kuaförlüğü</v>
      </c>
      <c r="J1247" t="str">
        <f t="shared" si="79"/>
        <v>12B</v>
      </c>
    </row>
    <row r="1248" spans="1:10" x14ac:dyDescent="0.25">
      <c r="A1248" s="3">
        <v>11420803638</v>
      </c>
      <c r="B1248" s="3" t="s">
        <v>1359</v>
      </c>
      <c r="C1248" s="3" t="s">
        <v>898</v>
      </c>
      <c r="D1248" s="3" t="s">
        <v>91</v>
      </c>
      <c r="E1248" s="3">
        <v>12</v>
      </c>
      <c r="F1248" s="3" t="s">
        <v>58</v>
      </c>
      <c r="G1248" s="4" t="str">
        <f t="shared" si="76"/>
        <v>03638</v>
      </c>
      <c r="H1248" t="str">
        <f t="shared" si="77"/>
        <v>Sedat İPEK</v>
      </c>
      <c r="I1248" t="str">
        <f t="shared" si="78"/>
        <v>12B Erkek Kuaförlüğü</v>
      </c>
      <c r="J1248" t="str">
        <f t="shared" si="79"/>
        <v>12B</v>
      </c>
    </row>
    <row r="1249" spans="1:10" x14ac:dyDescent="0.25">
      <c r="A1249" s="3">
        <v>45056047258</v>
      </c>
      <c r="B1249" s="3" t="s">
        <v>1360</v>
      </c>
      <c r="C1249" s="3" t="s">
        <v>12</v>
      </c>
      <c r="D1249" s="3" t="s">
        <v>91</v>
      </c>
      <c r="E1249" s="3">
        <v>12</v>
      </c>
      <c r="F1249" s="3" t="s">
        <v>58</v>
      </c>
      <c r="G1249" s="4" t="str">
        <f t="shared" si="76"/>
        <v>47258</v>
      </c>
      <c r="H1249" t="str">
        <f t="shared" si="77"/>
        <v>Serkan CORUK</v>
      </c>
      <c r="I1249" t="str">
        <f t="shared" si="78"/>
        <v>12B Erkek Kuaförlüğü</v>
      </c>
      <c r="J1249" t="str">
        <f t="shared" si="79"/>
        <v>12B</v>
      </c>
    </row>
    <row r="1250" spans="1:10" x14ac:dyDescent="0.25">
      <c r="A1250" s="3">
        <v>10455025428</v>
      </c>
      <c r="B1250" s="3" t="s">
        <v>1361</v>
      </c>
      <c r="C1250" s="3" t="s">
        <v>12</v>
      </c>
      <c r="D1250" s="3" t="s">
        <v>91</v>
      </c>
      <c r="E1250" s="3">
        <v>12</v>
      </c>
      <c r="F1250" s="3" t="s">
        <v>58</v>
      </c>
      <c r="G1250" s="4" t="str">
        <f t="shared" si="76"/>
        <v>25428</v>
      </c>
      <c r="H1250" t="str">
        <f t="shared" si="77"/>
        <v>Tayfun DEVELİ</v>
      </c>
      <c r="I1250" t="str">
        <f t="shared" si="78"/>
        <v>12B Erkek Kuaförlüğü</v>
      </c>
      <c r="J1250" t="str">
        <f t="shared" si="79"/>
        <v>12B</v>
      </c>
    </row>
    <row r="1251" spans="1:10" x14ac:dyDescent="0.25">
      <c r="A1251" s="3">
        <v>66385254650</v>
      </c>
      <c r="B1251" s="3" t="s">
        <v>1362</v>
      </c>
      <c r="C1251" s="3" t="s">
        <v>12</v>
      </c>
      <c r="D1251" s="3" t="s">
        <v>91</v>
      </c>
      <c r="E1251" s="3">
        <v>12</v>
      </c>
      <c r="F1251" s="3" t="s">
        <v>58</v>
      </c>
      <c r="G1251" s="4" t="str">
        <f t="shared" si="76"/>
        <v>54650</v>
      </c>
      <c r="H1251" t="str">
        <f t="shared" si="77"/>
        <v>Veli Melih SAKA</v>
      </c>
      <c r="I1251" t="str">
        <f t="shared" si="78"/>
        <v>12B Erkek Kuaförlüğü</v>
      </c>
      <c r="J1251" t="str">
        <f t="shared" si="79"/>
        <v>12B</v>
      </c>
    </row>
    <row r="1252" spans="1:10" x14ac:dyDescent="0.25">
      <c r="A1252" s="3">
        <v>49573929042</v>
      </c>
      <c r="B1252" s="3" t="s">
        <v>1363</v>
      </c>
      <c r="C1252" s="3" t="s">
        <v>12</v>
      </c>
      <c r="D1252" s="3" t="s">
        <v>91</v>
      </c>
      <c r="E1252" s="3">
        <v>12</v>
      </c>
      <c r="F1252" s="3" t="s">
        <v>58</v>
      </c>
      <c r="G1252" s="4" t="str">
        <f t="shared" si="76"/>
        <v>29042</v>
      </c>
      <c r="H1252" t="str">
        <f t="shared" si="77"/>
        <v>Yezen ABDULLAH</v>
      </c>
      <c r="I1252" t="str">
        <f t="shared" si="78"/>
        <v>12B Erkek Kuaförlüğü</v>
      </c>
      <c r="J1252" t="str">
        <f t="shared" si="79"/>
        <v>12B</v>
      </c>
    </row>
    <row r="1253" spans="1:10" x14ac:dyDescent="0.25">
      <c r="A1253" s="3">
        <v>13904720400</v>
      </c>
      <c r="B1253" s="3" t="s">
        <v>1364</v>
      </c>
      <c r="C1253" s="3" t="s">
        <v>12</v>
      </c>
      <c r="D1253" s="3" t="s">
        <v>138</v>
      </c>
      <c r="E1253" s="3">
        <v>12</v>
      </c>
      <c r="F1253" s="3" t="s">
        <v>1365</v>
      </c>
      <c r="G1253" s="4" t="str">
        <f t="shared" si="76"/>
        <v>20400</v>
      </c>
      <c r="H1253" t="str">
        <f t="shared" si="77"/>
        <v>Umut BORAL</v>
      </c>
      <c r="I1253" t="str">
        <f t="shared" si="78"/>
        <v>12F8 Fotoğraf</v>
      </c>
      <c r="J1253" t="str">
        <f t="shared" si="79"/>
        <v>12F</v>
      </c>
    </row>
    <row r="1254" spans="1:10" x14ac:dyDescent="0.25">
      <c r="A1254" s="3">
        <v>23993383752</v>
      </c>
      <c r="B1254" s="3" t="s">
        <v>1366</v>
      </c>
      <c r="C1254" s="3" t="s">
        <v>12</v>
      </c>
      <c r="D1254" s="3" t="s">
        <v>1019</v>
      </c>
      <c r="E1254" s="3">
        <v>12</v>
      </c>
      <c r="F1254" s="3" t="s">
        <v>1047</v>
      </c>
      <c r="G1254" s="4" t="str">
        <f t="shared" si="76"/>
        <v>83752</v>
      </c>
      <c r="H1254" t="str">
        <f t="shared" si="77"/>
        <v>Bekir GÜLGEN</v>
      </c>
      <c r="I1254" t="str">
        <f t="shared" si="78"/>
        <v>12F1 Gaz Yakıcı Cihazlar Ve Servis</v>
      </c>
      <c r="J1254" t="str">
        <f t="shared" si="79"/>
        <v>12F</v>
      </c>
    </row>
    <row r="1255" spans="1:10" x14ac:dyDescent="0.25">
      <c r="A1255" s="3">
        <v>14006717466</v>
      </c>
      <c r="B1255" s="3" t="s">
        <v>1367</v>
      </c>
      <c r="C1255" s="3" t="s">
        <v>12</v>
      </c>
      <c r="D1255" s="3" t="s">
        <v>550</v>
      </c>
      <c r="E1255" s="3">
        <v>12</v>
      </c>
      <c r="F1255" s="3" t="s">
        <v>1030</v>
      </c>
      <c r="G1255" s="4" t="str">
        <f t="shared" si="76"/>
        <v>17466</v>
      </c>
      <c r="H1255" t="str">
        <f t="shared" si="77"/>
        <v>Abdulkadir YAŞAR</v>
      </c>
      <c r="I1255" t="str">
        <f t="shared" si="78"/>
        <v>12C4 Görüntü Ve Ses Sistemleri</v>
      </c>
      <c r="J1255" t="str">
        <f t="shared" si="79"/>
        <v>12C</v>
      </c>
    </row>
    <row r="1256" spans="1:10" x14ac:dyDescent="0.25">
      <c r="A1256" s="3">
        <v>13856722330</v>
      </c>
      <c r="B1256" s="3" t="s">
        <v>1368</v>
      </c>
      <c r="C1256" s="3" t="s">
        <v>12</v>
      </c>
      <c r="D1256" s="3" t="s">
        <v>550</v>
      </c>
      <c r="E1256" s="3">
        <v>12</v>
      </c>
      <c r="F1256" s="3" t="s">
        <v>1030</v>
      </c>
      <c r="G1256" s="4" t="str">
        <f t="shared" si="76"/>
        <v>22330</v>
      </c>
      <c r="H1256" t="str">
        <f t="shared" si="77"/>
        <v>Fazıl ARSLAN</v>
      </c>
      <c r="I1256" t="str">
        <f t="shared" si="78"/>
        <v>12C4 Görüntü Ve Ses Sistemleri</v>
      </c>
      <c r="J1256" t="str">
        <f t="shared" si="79"/>
        <v>12C</v>
      </c>
    </row>
    <row r="1257" spans="1:10" x14ac:dyDescent="0.25">
      <c r="A1257" s="3">
        <v>40732826080</v>
      </c>
      <c r="B1257" s="3" t="s">
        <v>200</v>
      </c>
      <c r="C1257" s="3" t="s">
        <v>12</v>
      </c>
      <c r="D1257" s="3" t="s">
        <v>554</v>
      </c>
      <c r="E1257" s="3">
        <v>12</v>
      </c>
      <c r="F1257" s="3" t="s">
        <v>1369</v>
      </c>
      <c r="G1257" s="4" t="str">
        <f t="shared" si="76"/>
        <v>26080</v>
      </c>
      <c r="H1257" t="str">
        <f t="shared" si="77"/>
        <v>Zeynep DEMİR</v>
      </c>
      <c r="I1257" t="str">
        <f t="shared" si="78"/>
        <v>12F9 Grafik</v>
      </c>
      <c r="J1257" t="str">
        <f t="shared" si="79"/>
        <v>12F</v>
      </c>
    </row>
    <row r="1258" spans="1:10" x14ac:dyDescent="0.25">
      <c r="A1258" s="3">
        <v>26501020972</v>
      </c>
      <c r="B1258" s="3" t="s">
        <v>1370</v>
      </c>
      <c r="C1258" s="3" t="s">
        <v>898</v>
      </c>
      <c r="D1258" s="3" t="s">
        <v>151</v>
      </c>
      <c r="E1258" s="3">
        <v>12</v>
      </c>
      <c r="F1258" s="3" t="s">
        <v>166</v>
      </c>
      <c r="G1258" s="4" t="str">
        <f t="shared" si="76"/>
        <v>20972</v>
      </c>
      <c r="H1258" t="str">
        <f t="shared" si="77"/>
        <v>Arda Kerem ERDEM</v>
      </c>
      <c r="I1258" t="str">
        <f t="shared" si="78"/>
        <v>12F Isıtma Ve Sıhhi Tesisat Sistemleri</v>
      </c>
      <c r="J1258" t="str">
        <f t="shared" si="79"/>
        <v>12F</v>
      </c>
    </row>
    <row r="1259" spans="1:10" x14ac:dyDescent="0.25">
      <c r="A1259" s="3">
        <v>58108614902</v>
      </c>
      <c r="B1259" s="3" t="s">
        <v>1371</v>
      </c>
      <c r="C1259" s="3" t="s">
        <v>12</v>
      </c>
      <c r="D1259" s="3" t="s">
        <v>151</v>
      </c>
      <c r="E1259" s="3">
        <v>12</v>
      </c>
      <c r="F1259" s="3" t="s">
        <v>166</v>
      </c>
      <c r="G1259" s="4" t="str">
        <f t="shared" si="76"/>
        <v>14902</v>
      </c>
      <c r="H1259" t="str">
        <f t="shared" si="77"/>
        <v>Arif Buğra YALÇIN</v>
      </c>
      <c r="I1259" t="str">
        <f t="shared" si="78"/>
        <v>12F Isıtma Ve Sıhhi Tesisat Sistemleri</v>
      </c>
      <c r="J1259" t="str">
        <f t="shared" si="79"/>
        <v>12F</v>
      </c>
    </row>
    <row r="1260" spans="1:10" x14ac:dyDescent="0.25">
      <c r="A1260" s="3">
        <v>12272774350</v>
      </c>
      <c r="B1260" s="3" t="s">
        <v>1372</v>
      </c>
      <c r="C1260" s="3" t="s">
        <v>898</v>
      </c>
      <c r="D1260" s="3" t="s">
        <v>151</v>
      </c>
      <c r="E1260" s="3">
        <v>12</v>
      </c>
      <c r="F1260" s="2"/>
      <c r="G1260" s="4" t="str">
        <f t="shared" si="76"/>
        <v>74350</v>
      </c>
      <c r="H1260" t="str">
        <f t="shared" si="77"/>
        <v>Batuhan ŞEN</v>
      </c>
      <c r="I1260" t="str">
        <f t="shared" si="78"/>
        <v>12 Isıtma Ve Sıhhi Tesisat Sistemleri</v>
      </c>
      <c r="J1260" t="str">
        <f t="shared" si="79"/>
        <v xml:space="preserve">12 </v>
      </c>
    </row>
    <row r="1261" spans="1:10" x14ac:dyDescent="0.25">
      <c r="A1261" s="3">
        <v>10602106512</v>
      </c>
      <c r="B1261" s="3" t="s">
        <v>1373</v>
      </c>
      <c r="C1261" s="3" t="s">
        <v>898</v>
      </c>
      <c r="D1261" s="3" t="s">
        <v>151</v>
      </c>
      <c r="E1261" s="3">
        <v>12</v>
      </c>
      <c r="F1261" s="2"/>
      <c r="G1261" s="4" t="str">
        <f t="shared" si="76"/>
        <v>06512</v>
      </c>
      <c r="H1261" t="str">
        <f t="shared" si="77"/>
        <v>Berat USLUER</v>
      </c>
      <c r="I1261" t="str">
        <f t="shared" si="78"/>
        <v>12 Isıtma Ve Sıhhi Tesisat Sistemleri</v>
      </c>
      <c r="J1261" t="str">
        <f t="shared" si="79"/>
        <v xml:space="preserve">12 </v>
      </c>
    </row>
    <row r="1262" spans="1:10" x14ac:dyDescent="0.25">
      <c r="A1262" s="3">
        <v>13556732462</v>
      </c>
      <c r="B1262" s="3" t="s">
        <v>1374</v>
      </c>
      <c r="C1262" s="3" t="s">
        <v>12</v>
      </c>
      <c r="D1262" s="3" t="s">
        <v>151</v>
      </c>
      <c r="E1262" s="3">
        <v>12</v>
      </c>
      <c r="F1262" s="3" t="s">
        <v>166</v>
      </c>
      <c r="G1262" s="4" t="str">
        <f t="shared" si="76"/>
        <v>32462</v>
      </c>
      <c r="H1262" t="str">
        <f t="shared" si="77"/>
        <v>Berk DEMİR</v>
      </c>
      <c r="I1262" t="str">
        <f t="shared" si="78"/>
        <v>12F Isıtma Ve Sıhhi Tesisat Sistemleri</v>
      </c>
      <c r="J1262" t="str">
        <f t="shared" si="79"/>
        <v>12F</v>
      </c>
    </row>
    <row r="1263" spans="1:10" x14ac:dyDescent="0.25">
      <c r="A1263" s="3">
        <v>58252242662</v>
      </c>
      <c r="B1263" s="3" t="s">
        <v>1375</v>
      </c>
      <c r="C1263" s="3" t="s">
        <v>12</v>
      </c>
      <c r="D1263" s="3" t="s">
        <v>151</v>
      </c>
      <c r="E1263" s="3">
        <v>12</v>
      </c>
      <c r="F1263" s="3" t="s">
        <v>166</v>
      </c>
      <c r="G1263" s="4" t="str">
        <f t="shared" si="76"/>
        <v>42662</v>
      </c>
      <c r="H1263" t="str">
        <f t="shared" si="77"/>
        <v>Botan EREN</v>
      </c>
      <c r="I1263" t="str">
        <f t="shared" si="78"/>
        <v>12F Isıtma Ve Sıhhi Tesisat Sistemleri</v>
      </c>
      <c r="J1263" t="str">
        <f t="shared" si="79"/>
        <v>12F</v>
      </c>
    </row>
    <row r="1264" spans="1:10" x14ac:dyDescent="0.25">
      <c r="A1264" s="3">
        <v>23530153046</v>
      </c>
      <c r="B1264" s="3" t="s">
        <v>1376</v>
      </c>
      <c r="C1264" s="3" t="s">
        <v>12</v>
      </c>
      <c r="D1264" s="3" t="s">
        <v>151</v>
      </c>
      <c r="E1264" s="3">
        <v>12</v>
      </c>
      <c r="F1264" s="3" t="s">
        <v>166</v>
      </c>
      <c r="G1264" s="4" t="str">
        <f t="shared" si="76"/>
        <v>53046</v>
      </c>
      <c r="H1264" t="str">
        <f t="shared" si="77"/>
        <v>Eyyüp Ensar KILIÇ</v>
      </c>
      <c r="I1264" t="str">
        <f t="shared" si="78"/>
        <v>12F Isıtma Ve Sıhhi Tesisat Sistemleri</v>
      </c>
      <c r="J1264" t="str">
        <f t="shared" si="79"/>
        <v>12F</v>
      </c>
    </row>
    <row r="1265" spans="1:10" x14ac:dyDescent="0.25">
      <c r="A1265" s="3">
        <v>21851455528</v>
      </c>
      <c r="B1265" s="3" t="s">
        <v>1377</v>
      </c>
      <c r="C1265" s="3" t="s">
        <v>12</v>
      </c>
      <c r="D1265" s="3" t="s">
        <v>151</v>
      </c>
      <c r="E1265" s="3">
        <v>12</v>
      </c>
      <c r="F1265" s="3" t="s">
        <v>166</v>
      </c>
      <c r="G1265" s="4" t="str">
        <f t="shared" si="76"/>
        <v>55528</v>
      </c>
      <c r="H1265" t="str">
        <f t="shared" si="77"/>
        <v>İsa KIRLI</v>
      </c>
      <c r="I1265" t="str">
        <f t="shared" si="78"/>
        <v>12F Isıtma Ve Sıhhi Tesisat Sistemleri</v>
      </c>
      <c r="J1265" t="str">
        <f t="shared" si="79"/>
        <v>12F</v>
      </c>
    </row>
    <row r="1266" spans="1:10" x14ac:dyDescent="0.25">
      <c r="A1266" s="3">
        <v>13994717304</v>
      </c>
      <c r="B1266" s="3" t="s">
        <v>1378</v>
      </c>
      <c r="C1266" s="3" t="s">
        <v>12</v>
      </c>
      <c r="D1266" s="3" t="s">
        <v>151</v>
      </c>
      <c r="E1266" s="3">
        <v>12</v>
      </c>
      <c r="F1266" s="3" t="s">
        <v>166</v>
      </c>
      <c r="G1266" s="4" t="str">
        <f t="shared" si="76"/>
        <v>17304</v>
      </c>
      <c r="H1266" t="str">
        <f t="shared" si="77"/>
        <v>Mert ÖZDEN</v>
      </c>
      <c r="I1266" t="str">
        <f t="shared" si="78"/>
        <v>12F Isıtma Ve Sıhhi Tesisat Sistemleri</v>
      </c>
      <c r="J1266" t="str">
        <f t="shared" si="79"/>
        <v>12F</v>
      </c>
    </row>
    <row r="1267" spans="1:10" x14ac:dyDescent="0.25">
      <c r="A1267" s="3">
        <v>13790724070</v>
      </c>
      <c r="B1267" s="3" t="s">
        <v>1379</v>
      </c>
      <c r="C1267" s="3" t="s">
        <v>12</v>
      </c>
      <c r="D1267" s="3" t="s">
        <v>156</v>
      </c>
      <c r="E1267" s="3">
        <v>12</v>
      </c>
      <c r="F1267" s="3" t="s">
        <v>1380</v>
      </c>
      <c r="G1267" s="4" t="str">
        <f t="shared" si="76"/>
        <v>24070</v>
      </c>
      <c r="H1267" t="str">
        <f t="shared" si="77"/>
        <v>Efe GÜÇLÜ</v>
      </c>
      <c r="I1267" t="str">
        <f t="shared" si="78"/>
        <v>12B3 İç Mekân Ve Mobilya Teknolojisi</v>
      </c>
      <c r="J1267" t="str">
        <f t="shared" si="79"/>
        <v>12B</v>
      </c>
    </row>
    <row r="1268" spans="1:10" x14ac:dyDescent="0.25">
      <c r="A1268" s="3">
        <v>58294240442</v>
      </c>
      <c r="B1268" s="3" t="s">
        <v>1381</v>
      </c>
      <c r="C1268" s="3" t="s">
        <v>12</v>
      </c>
      <c r="D1268" s="3" t="s">
        <v>159</v>
      </c>
      <c r="E1268" s="3">
        <v>12</v>
      </c>
      <c r="F1268" s="3" t="s">
        <v>1252</v>
      </c>
      <c r="G1268" s="4" t="str">
        <f t="shared" si="76"/>
        <v>40442</v>
      </c>
      <c r="H1268" t="str">
        <f t="shared" si="77"/>
        <v>Yusuf Can EZER</v>
      </c>
      <c r="I1268" t="str">
        <f t="shared" si="78"/>
        <v>12F2 İklimlendirme Sistemleri</v>
      </c>
      <c r="J1268" t="str">
        <f t="shared" si="79"/>
        <v>12F</v>
      </c>
    </row>
    <row r="1269" spans="1:10" x14ac:dyDescent="0.25">
      <c r="A1269" s="3">
        <v>12647762128</v>
      </c>
      <c r="B1269" s="3" t="s">
        <v>1382</v>
      </c>
      <c r="C1269" s="3" t="s">
        <v>898</v>
      </c>
      <c r="D1269" s="3" t="s">
        <v>162</v>
      </c>
      <c r="E1269" s="3">
        <v>12</v>
      </c>
      <c r="F1269" s="3" t="s">
        <v>142</v>
      </c>
      <c r="G1269" s="4" t="str">
        <f t="shared" si="76"/>
        <v>62128</v>
      </c>
      <c r="H1269" t="str">
        <f t="shared" si="77"/>
        <v>Emirhan DİLEK</v>
      </c>
      <c r="I1269" t="str">
        <f t="shared" si="78"/>
        <v>12D2 İş Makineleri</v>
      </c>
      <c r="J1269" t="str">
        <f t="shared" si="79"/>
        <v>12D</v>
      </c>
    </row>
    <row r="1270" spans="1:10" x14ac:dyDescent="0.25">
      <c r="A1270" s="3">
        <v>10529750324</v>
      </c>
      <c r="B1270" s="3" t="s">
        <v>1383</v>
      </c>
      <c r="C1270" s="3" t="s">
        <v>898</v>
      </c>
      <c r="D1270" s="3" t="s">
        <v>168</v>
      </c>
      <c r="E1270" s="3">
        <v>12</v>
      </c>
      <c r="F1270" s="3" t="s">
        <v>94</v>
      </c>
      <c r="G1270" s="4" t="str">
        <f t="shared" si="76"/>
        <v>50324</v>
      </c>
      <c r="H1270" t="str">
        <f t="shared" si="77"/>
        <v>Aynur Seda DERENBİK</v>
      </c>
      <c r="I1270" t="str">
        <f t="shared" si="78"/>
        <v>12A Kadın Kuaförlüğü</v>
      </c>
      <c r="J1270" t="str">
        <f t="shared" si="79"/>
        <v>12A</v>
      </c>
    </row>
    <row r="1271" spans="1:10" x14ac:dyDescent="0.25">
      <c r="A1271" s="3">
        <v>55531038336</v>
      </c>
      <c r="B1271" s="3" t="s">
        <v>1384</v>
      </c>
      <c r="C1271" s="3" t="s">
        <v>12</v>
      </c>
      <c r="D1271" s="3" t="s">
        <v>168</v>
      </c>
      <c r="E1271" s="3">
        <v>12</v>
      </c>
      <c r="F1271" s="3" t="s">
        <v>94</v>
      </c>
      <c r="G1271" s="4" t="str">
        <f t="shared" si="76"/>
        <v>38336</v>
      </c>
      <c r="H1271" t="str">
        <f t="shared" si="77"/>
        <v>Berat AKTİKEN</v>
      </c>
      <c r="I1271" t="str">
        <f t="shared" si="78"/>
        <v>12A Kadın Kuaförlüğü</v>
      </c>
      <c r="J1271" t="str">
        <f t="shared" si="79"/>
        <v>12A</v>
      </c>
    </row>
    <row r="1272" spans="1:10" x14ac:dyDescent="0.25">
      <c r="A1272" s="3">
        <v>51367471576</v>
      </c>
      <c r="B1272" s="3" t="s">
        <v>1385</v>
      </c>
      <c r="C1272" s="3" t="s">
        <v>12</v>
      </c>
      <c r="D1272" s="3" t="s">
        <v>168</v>
      </c>
      <c r="E1272" s="3">
        <v>12</v>
      </c>
      <c r="F1272" s="3" t="s">
        <v>94</v>
      </c>
      <c r="G1272" s="4" t="str">
        <f t="shared" si="76"/>
        <v>71576</v>
      </c>
      <c r="H1272" t="str">
        <f t="shared" si="77"/>
        <v>Berranur ÖZLÜ</v>
      </c>
      <c r="I1272" t="str">
        <f t="shared" si="78"/>
        <v>12A Kadın Kuaförlüğü</v>
      </c>
      <c r="J1272" t="str">
        <f t="shared" si="79"/>
        <v>12A</v>
      </c>
    </row>
    <row r="1273" spans="1:10" x14ac:dyDescent="0.25">
      <c r="A1273" s="3">
        <v>13796723862</v>
      </c>
      <c r="B1273" s="3" t="s">
        <v>1386</v>
      </c>
      <c r="C1273" s="3" t="s">
        <v>12</v>
      </c>
      <c r="D1273" s="3" t="s">
        <v>168</v>
      </c>
      <c r="E1273" s="3">
        <v>12</v>
      </c>
      <c r="F1273" s="3" t="s">
        <v>94</v>
      </c>
      <c r="G1273" s="4" t="str">
        <f t="shared" si="76"/>
        <v>23862</v>
      </c>
      <c r="H1273" t="str">
        <f t="shared" si="77"/>
        <v>Duru TAŞCI</v>
      </c>
      <c r="I1273" t="str">
        <f t="shared" si="78"/>
        <v>12A Kadın Kuaförlüğü</v>
      </c>
      <c r="J1273" t="str">
        <f t="shared" si="79"/>
        <v>12A</v>
      </c>
    </row>
    <row r="1274" spans="1:10" x14ac:dyDescent="0.25">
      <c r="A1274" s="3">
        <v>45397670764</v>
      </c>
      <c r="B1274" s="3" t="s">
        <v>1387</v>
      </c>
      <c r="C1274" s="3" t="s">
        <v>12</v>
      </c>
      <c r="D1274" s="3" t="s">
        <v>168</v>
      </c>
      <c r="E1274" s="3">
        <v>12</v>
      </c>
      <c r="F1274" s="3" t="s">
        <v>94</v>
      </c>
      <c r="G1274" s="4" t="str">
        <f t="shared" si="76"/>
        <v>70764</v>
      </c>
      <c r="H1274" t="str">
        <f t="shared" si="77"/>
        <v>Ecrin Nisa DENİZ</v>
      </c>
      <c r="I1274" t="str">
        <f t="shared" si="78"/>
        <v>12A Kadın Kuaförlüğü</v>
      </c>
      <c r="J1274" t="str">
        <f t="shared" si="79"/>
        <v>12A</v>
      </c>
    </row>
    <row r="1275" spans="1:10" x14ac:dyDescent="0.25">
      <c r="A1275" s="3">
        <v>56329018868</v>
      </c>
      <c r="B1275" s="3" t="s">
        <v>1388</v>
      </c>
      <c r="C1275" s="3" t="s">
        <v>12</v>
      </c>
      <c r="D1275" s="3" t="s">
        <v>168</v>
      </c>
      <c r="E1275" s="3">
        <v>12</v>
      </c>
      <c r="F1275" s="3" t="s">
        <v>94</v>
      </c>
      <c r="G1275" s="4" t="str">
        <f t="shared" si="76"/>
        <v>18868</v>
      </c>
      <c r="H1275" t="str">
        <f t="shared" si="77"/>
        <v>Efe Can CANDAN</v>
      </c>
      <c r="I1275" t="str">
        <f t="shared" si="78"/>
        <v>12A Kadın Kuaförlüğü</v>
      </c>
      <c r="J1275" t="str">
        <f t="shared" si="79"/>
        <v>12A</v>
      </c>
    </row>
    <row r="1276" spans="1:10" x14ac:dyDescent="0.25">
      <c r="A1276" s="3">
        <v>13958718866</v>
      </c>
      <c r="B1276" s="3" t="s">
        <v>1389</v>
      </c>
      <c r="C1276" s="3" t="s">
        <v>12</v>
      </c>
      <c r="D1276" s="3" t="s">
        <v>168</v>
      </c>
      <c r="E1276" s="3">
        <v>12</v>
      </c>
      <c r="F1276" s="3" t="s">
        <v>94</v>
      </c>
      <c r="G1276" s="4" t="str">
        <f t="shared" si="76"/>
        <v>18866</v>
      </c>
      <c r="H1276" t="str">
        <f t="shared" si="77"/>
        <v>Ege ÇELİK</v>
      </c>
      <c r="I1276" t="str">
        <f t="shared" si="78"/>
        <v>12A Kadın Kuaförlüğü</v>
      </c>
      <c r="J1276" t="str">
        <f t="shared" si="79"/>
        <v>12A</v>
      </c>
    </row>
    <row r="1277" spans="1:10" x14ac:dyDescent="0.25">
      <c r="A1277" s="3">
        <v>12797757364</v>
      </c>
      <c r="B1277" s="3" t="s">
        <v>1390</v>
      </c>
      <c r="C1277" s="3" t="s">
        <v>898</v>
      </c>
      <c r="D1277" s="3" t="s">
        <v>168</v>
      </c>
      <c r="E1277" s="3">
        <v>12</v>
      </c>
      <c r="F1277" s="3" t="s">
        <v>94</v>
      </c>
      <c r="G1277" s="4" t="str">
        <f t="shared" si="76"/>
        <v>57364</v>
      </c>
      <c r="H1277" t="str">
        <f t="shared" si="77"/>
        <v>Elanur TUTAR</v>
      </c>
      <c r="I1277" t="str">
        <f t="shared" si="78"/>
        <v>12A Kadın Kuaförlüğü</v>
      </c>
      <c r="J1277" t="str">
        <f t="shared" si="79"/>
        <v>12A</v>
      </c>
    </row>
    <row r="1278" spans="1:10" x14ac:dyDescent="0.25">
      <c r="A1278" s="3">
        <v>13067748488</v>
      </c>
      <c r="B1278" s="3" t="s">
        <v>1391</v>
      </c>
      <c r="C1278" s="3" t="s">
        <v>12</v>
      </c>
      <c r="D1278" s="3" t="s">
        <v>168</v>
      </c>
      <c r="E1278" s="3">
        <v>12</v>
      </c>
      <c r="F1278" s="3" t="s">
        <v>94</v>
      </c>
      <c r="G1278" s="4" t="str">
        <f t="shared" si="76"/>
        <v>48488</v>
      </c>
      <c r="H1278" t="str">
        <f t="shared" si="77"/>
        <v>Eren GÜLEN</v>
      </c>
      <c r="I1278" t="str">
        <f t="shared" si="78"/>
        <v>12A Kadın Kuaförlüğü</v>
      </c>
      <c r="J1278" t="str">
        <f t="shared" si="79"/>
        <v>12A</v>
      </c>
    </row>
    <row r="1279" spans="1:10" x14ac:dyDescent="0.25">
      <c r="A1279" s="3">
        <v>27632347228</v>
      </c>
      <c r="B1279" s="3" t="s">
        <v>1392</v>
      </c>
      <c r="C1279" s="3" t="s">
        <v>12</v>
      </c>
      <c r="D1279" s="3" t="s">
        <v>168</v>
      </c>
      <c r="E1279" s="3">
        <v>12</v>
      </c>
      <c r="F1279" s="3" t="s">
        <v>94</v>
      </c>
      <c r="G1279" s="4" t="str">
        <f t="shared" si="76"/>
        <v>47228</v>
      </c>
      <c r="H1279" t="str">
        <f t="shared" si="77"/>
        <v>Esra SEÇGİN</v>
      </c>
      <c r="I1279" t="str">
        <f t="shared" si="78"/>
        <v>12A Kadın Kuaförlüğü</v>
      </c>
      <c r="J1279" t="str">
        <f t="shared" si="79"/>
        <v>12A</v>
      </c>
    </row>
    <row r="1280" spans="1:10" x14ac:dyDescent="0.25">
      <c r="A1280" s="3">
        <v>46408636434</v>
      </c>
      <c r="B1280" s="3" t="s">
        <v>1393</v>
      </c>
      <c r="C1280" s="3" t="s">
        <v>12</v>
      </c>
      <c r="D1280" s="3" t="s">
        <v>168</v>
      </c>
      <c r="E1280" s="3">
        <v>12</v>
      </c>
      <c r="F1280" s="3" t="s">
        <v>94</v>
      </c>
      <c r="G1280" s="4" t="str">
        <f t="shared" si="76"/>
        <v>36434</v>
      </c>
      <c r="H1280" t="str">
        <f t="shared" si="77"/>
        <v>Eylül ELİEYİOĞLU</v>
      </c>
      <c r="I1280" t="str">
        <f t="shared" si="78"/>
        <v>12A Kadın Kuaförlüğü</v>
      </c>
      <c r="J1280" t="str">
        <f t="shared" si="79"/>
        <v>12A</v>
      </c>
    </row>
    <row r="1281" spans="1:10" x14ac:dyDescent="0.25">
      <c r="A1281" s="3">
        <v>32537121644</v>
      </c>
      <c r="B1281" s="3" t="s">
        <v>1394</v>
      </c>
      <c r="C1281" s="3" t="s">
        <v>12</v>
      </c>
      <c r="D1281" s="3" t="s">
        <v>168</v>
      </c>
      <c r="E1281" s="3">
        <v>12</v>
      </c>
      <c r="F1281" s="3" t="s">
        <v>94</v>
      </c>
      <c r="G1281" s="4" t="str">
        <f t="shared" si="76"/>
        <v>21644</v>
      </c>
      <c r="H1281" t="str">
        <f t="shared" si="77"/>
        <v>Fadime DELİCE</v>
      </c>
      <c r="I1281" t="str">
        <f t="shared" si="78"/>
        <v>12A Kadın Kuaförlüğü</v>
      </c>
      <c r="J1281" t="str">
        <f t="shared" si="79"/>
        <v>12A</v>
      </c>
    </row>
    <row r="1282" spans="1:10" x14ac:dyDescent="0.25">
      <c r="A1282" s="3">
        <v>42505766432</v>
      </c>
      <c r="B1282" s="3" t="s">
        <v>1395</v>
      </c>
      <c r="C1282" s="3" t="s">
        <v>12</v>
      </c>
      <c r="D1282" s="3" t="s">
        <v>168</v>
      </c>
      <c r="E1282" s="3">
        <v>12</v>
      </c>
      <c r="F1282" s="3" t="s">
        <v>94</v>
      </c>
      <c r="G1282" s="4" t="str">
        <f t="shared" si="76"/>
        <v>66432</v>
      </c>
      <c r="H1282" t="str">
        <f t="shared" si="77"/>
        <v>Hafize Nur TÜRKSOY</v>
      </c>
      <c r="I1282" t="str">
        <f t="shared" si="78"/>
        <v>12A Kadın Kuaförlüğü</v>
      </c>
      <c r="J1282" t="str">
        <f t="shared" si="79"/>
        <v>12A</v>
      </c>
    </row>
    <row r="1283" spans="1:10" x14ac:dyDescent="0.25">
      <c r="A1283" s="3">
        <v>25214342968</v>
      </c>
      <c r="B1283" s="3" t="s">
        <v>1396</v>
      </c>
      <c r="C1283" s="3" t="s">
        <v>12</v>
      </c>
      <c r="D1283" s="3" t="s">
        <v>168</v>
      </c>
      <c r="E1283" s="3">
        <v>12</v>
      </c>
      <c r="F1283" s="3" t="s">
        <v>94</v>
      </c>
      <c r="G1283" s="4" t="str">
        <f t="shared" si="76"/>
        <v>42968</v>
      </c>
      <c r="H1283" t="str">
        <f t="shared" si="77"/>
        <v>Hasret UZUN</v>
      </c>
      <c r="I1283" t="str">
        <f t="shared" si="78"/>
        <v>12A Kadın Kuaförlüğü</v>
      </c>
      <c r="J1283" t="str">
        <f t="shared" si="79"/>
        <v>12A</v>
      </c>
    </row>
    <row r="1284" spans="1:10" x14ac:dyDescent="0.25">
      <c r="A1284" s="3">
        <v>10813492008</v>
      </c>
      <c r="B1284" s="3" t="s">
        <v>1397</v>
      </c>
      <c r="C1284" s="3" t="s">
        <v>898</v>
      </c>
      <c r="D1284" s="3" t="s">
        <v>168</v>
      </c>
      <c r="E1284" s="3">
        <v>12</v>
      </c>
      <c r="F1284" s="3" t="s">
        <v>94</v>
      </c>
      <c r="G1284" s="4" t="str">
        <f t="shared" si="76"/>
        <v>92008</v>
      </c>
      <c r="H1284" t="str">
        <f t="shared" si="77"/>
        <v>Hatice AYDIN</v>
      </c>
      <c r="I1284" t="str">
        <f t="shared" si="78"/>
        <v>12A Kadın Kuaförlüğü</v>
      </c>
      <c r="J1284" t="str">
        <f t="shared" si="79"/>
        <v>12A</v>
      </c>
    </row>
    <row r="1285" spans="1:10" x14ac:dyDescent="0.25">
      <c r="A1285" s="3">
        <v>24620362904</v>
      </c>
      <c r="B1285" s="3" t="s">
        <v>1398</v>
      </c>
      <c r="C1285" s="3" t="s">
        <v>12</v>
      </c>
      <c r="D1285" s="3" t="s">
        <v>168</v>
      </c>
      <c r="E1285" s="3">
        <v>12</v>
      </c>
      <c r="F1285" s="3" t="s">
        <v>94</v>
      </c>
      <c r="G1285" s="4" t="str">
        <f t="shared" ref="G1285:G1348" si="80">RIGHT(A1285,5)</f>
        <v>62904</v>
      </c>
      <c r="H1285" t="str">
        <f t="shared" ref="H1285:H1348" si="81">B1285</f>
        <v>Hivvanur OCAKHAN</v>
      </c>
      <c r="I1285" t="str">
        <f t="shared" ref="I1285:I1348" si="82">CONCATENATE(E1285,F1285," ",D1285)</f>
        <v>12A Kadın Kuaförlüğü</v>
      </c>
      <c r="J1285" t="str">
        <f t="shared" ref="J1285:J1348" si="83">LEFT(I1285,3)</f>
        <v>12A</v>
      </c>
    </row>
    <row r="1286" spans="1:10" x14ac:dyDescent="0.25">
      <c r="A1286" s="3">
        <v>35687053872</v>
      </c>
      <c r="B1286" s="3" t="s">
        <v>1399</v>
      </c>
      <c r="C1286" s="3" t="s">
        <v>12</v>
      </c>
      <c r="D1286" s="3" t="s">
        <v>168</v>
      </c>
      <c r="E1286" s="3">
        <v>12</v>
      </c>
      <c r="F1286" s="3" t="s">
        <v>94</v>
      </c>
      <c r="G1286" s="4" t="str">
        <f t="shared" si="80"/>
        <v>53872</v>
      </c>
      <c r="H1286" t="str">
        <f t="shared" si="81"/>
        <v>Irmak ÖZER</v>
      </c>
      <c r="I1286" t="str">
        <f t="shared" si="82"/>
        <v>12A Kadın Kuaförlüğü</v>
      </c>
      <c r="J1286" t="str">
        <f t="shared" si="83"/>
        <v>12A</v>
      </c>
    </row>
    <row r="1287" spans="1:10" x14ac:dyDescent="0.25">
      <c r="A1287" s="3">
        <v>20159511868</v>
      </c>
      <c r="B1287" s="3" t="s">
        <v>1400</v>
      </c>
      <c r="C1287" s="3" t="s">
        <v>12</v>
      </c>
      <c r="D1287" s="3" t="s">
        <v>168</v>
      </c>
      <c r="E1287" s="3">
        <v>12</v>
      </c>
      <c r="F1287" s="3" t="s">
        <v>94</v>
      </c>
      <c r="G1287" s="4" t="str">
        <f t="shared" si="80"/>
        <v>11868</v>
      </c>
      <c r="H1287" t="str">
        <f t="shared" si="81"/>
        <v>Minel ÇAĞLAR</v>
      </c>
      <c r="I1287" t="str">
        <f t="shared" si="82"/>
        <v>12A Kadın Kuaförlüğü</v>
      </c>
      <c r="J1287" t="str">
        <f t="shared" si="83"/>
        <v>12A</v>
      </c>
    </row>
    <row r="1288" spans="1:10" x14ac:dyDescent="0.25">
      <c r="A1288" s="3">
        <v>41734640032</v>
      </c>
      <c r="B1288" s="3" t="s">
        <v>1401</v>
      </c>
      <c r="C1288" s="3" t="s">
        <v>12</v>
      </c>
      <c r="D1288" s="3" t="s">
        <v>168</v>
      </c>
      <c r="E1288" s="3">
        <v>12</v>
      </c>
      <c r="F1288" s="3" t="s">
        <v>94</v>
      </c>
      <c r="G1288" s="4" t="str">
        <f t="shared" si="80"/>
        <v>40032</v>
      </c>
      <c r="H1288" t="str">
        <f t="shared" si="81"/>
        <v>Nisa Nur CEYLAN</v>
      </c>
      <c r="I1288" t="str">
        <f t="shared" si="82"/>
        <v>12A Kadın Kuaförlüğü</v>
      </c>
      <c r="J1288" t="str">
        <f t="shared" si="83"/>
        <v>12A</v>
      </c>
    </row>
    <row r="1289" spans="1:10" x14ac:dyDescent="0.25">
      <c r="A1289" s="3">
        <v>17693594150</v>
      </c>
      <c r="B1289" s="3" t="s">
        <v>1402</v>
      </c>
      <c r="C1289" s="3" t="s">
        <v>12</v>
      </c>
      <c r="D1289" s="3" t="s">
        <v>168</v>
      </c>
      <c r="E1289" s="3">
        <v>12</v>
      </c>
      <c r="F1289" s="3" t="s">
        <v>94</v>
      </c>
      <c r="G1289" s="4" t="str">
        <f t="shared" si="80"/>
        <v>94150</v>
      </c>
      <c r="H1289" t="str">
        <f t="shared" si="81"/>
        <v>Pınar GÖKSEL</v>
      </c>
      <c r="I1289" t="str">
        <f t="shared" si="82"/>
        <v>12A Kadın Kuaförlüğü</v>
      </c>
      <c r="J1289" t="str">
        <f t="shared" si="83"/>
        <v>12A</v>
      </c>
    </row>
    <row r="1290" spans="1:10" x14ac:dyDescent="0.25">
      <c r="A1290" s="3">
        <v>13946719370</v>
      </c>
      <c r="B1290" s="3" t="s">
        <v>1403</v>
      </c>
      <c r="C1290" s="3" t="s">
        <v>12</v>
      </c>
      <c r="D1290" s="3" t="s">
        <v>168</v>
      </c>
      <c r="E1290" s="3">
        <v>12</v>
      </c>
      <c r="F1290" s="3" t="s">
        <v>94</v>
      </c>
      <c r="G1290" s="4" t="str">
        <f t="shared" si="80"/>
        <v>19370</v>
      </c>
      <c r="H1290" t="str">
        <f t="shared" si="81"/>
        <v>Sahabe Hazal ARSLAN</v>
      </c>
      <c r="I1290" t="str">
        <f t="shared" si="82"/>
        <v>12A Kadın Kuaförlüğü</v>
      </c>
      <c r="J1290" t="str">
        <f t="shared" si="83"/>
        <v>12A</v>
      </c>
    </row>
    <row r="1291" spans="1:10" x14ac:dyDescent="0.25">
      <c r="A1291" s="3">
        <v>10491020388</v>
      </c>
      <c r="B1291" s="3" t="s">
        <v>1404</v>
      </c>
      <c r="C1291" s="3" t="s">
        <v>898</v>
      </c>
      <c r="D1291" s="3" t="s">
        <v>168</v>
      </c>
      <c r="E1291" s="3">
        <v>12</v>
      </c>
      <c r="F1291" s="3" t="s">
        <v>94</v>
      </c>
      <c r="G1291" s="4" t="str">
        <f t="shared" si="80"/>
        <v>20388</v>
      </c>
      <c r="H1291" t="str">
        <f t="shared" si="81"/>
        <v>Simge YAYIN</v>
      </c>
      <c r="I1291" t="str">
        <f t="shared" si="82"/>
        <v>12A Kadın Kuaförlüğü</v>
      </c>
      <c r="J1291" t="str">
        <f t="shared" si="83"/>
        <v>12A</v>
      </c>
    </row>
    <row r="1292" spans="1:10" x14ac:dyDescent="0.25">
      <c r="A1292" s="3">
        <v>13625729690</v>
      </c>
      <c r="B1292" s="3" t="s">
        <v>1405</v>
      </c>
      <c r="C1292" s="3" t="s">
        <v>898</v>
      </c>
      <c r="D1292" s="3" t="s">
        <v>168</v>
      </c>
      <c r="E1292" s="3">
        <v>12</v>
      </c>
      <c r="F1292" s="3" t="s">
        <v>94</v>
      </c>
      <c r="G1292" s="4" t="str">
        <f t="shared" si="80"/>
        <v>29690</v>
      </c>
      <c r="H1292" t="str">
        <f t="shared" si="81"/>
        <v>Sude Naz FAZLIOĞLU</v>
      </c>
      <c r="I1292" t="str">
        <f t="shared" si="82"/>
        <v>12A Kadın Kuaförlüğü</v>
      </c>
      <c r="J1292" t="str">
        <f t="shared" si="83"/>
        <v>12A</v>
      </c>
    </row>
    <row r="1293" spans="1:10" x14ac:dyDescent="0.25">
      <c r="A1293" s="3">
        <v>11913061620</v>
      </c>
      <c r="B1293" s="3" t="s">
        <v>1406</v>
      </c>
      <c r="C1293" s="3" t="s">
        <v>12</v>
      </c>
      <c r="D1293" s="3" t="s">
        <v>168</v>
      </c>
      <c r="E1293" s="3">
        <v>12</v>
      </c>
      <c r="F1293" s="3" t="s">
        <v>94</v>
      </c>
      <c r="G1293" s="4" t="str">
        <f t="shared" si="80"/>
        <v>61620</v>
      </c>
      <c r="H1293" t="str">
        <f t="shared" si="81"/>
        <v>Yaren ARSLAN</v>
      </c>
      <c r="I1293" t="str">
        <f t="shared" si="82"/>
        <v>12A Kadın Kuaförlüğü</v>
      </c>
      <c r="J1293" t="str">
        <f t="shared" si="83"/>
        <v>12A</v>
      </c>
    </row>
    <row r="1294" spans="1:10" x14ac:dyDescent="0.25">
      <c r="A1294" s="3">
        <v>18239294008</v>
      </c>
      <c r="B1294" s="3" t="s">
        <v>1407</v>
      </c>
      <c r="C1294" s="3" t="s">
        <v>12</v>
      </c>
      <c r="D1294" s="3" t="s">
        <v>204</v>
      </c>
      <c r="E1294" s="3">
        <v>12</v>
      </c>
      <c r="F1294" s="3" t="s">
        <v>1408</v>
      </c>
      <c r="G1294" s="4" t="str">
        <f t="shared" si="80"/>
        <v>94008</v>
      </c>
      <c r="H1294" t="str">
        <f t="shared" si="81"/>
        <v>Zeynep AKINCI</v>
      </c>
      <c r="I1294" t="str">
        <f t="shared" si="82"/>
        <v>12F10 Kadın Terziliği</v>
      </c>
      <c r="J1294" t="str">
        <f t="shared" si="83"/>
        <v>12F</v>
      </c>
    </row>
    <row r="1295" spans="1:10" x14ac:dyDescent="0.25">
      <c r="A1295" s="3">
        <v>28348959446</v>
      </c>
      <c r="B1295" s="3" t="s">
        <v>1409</v>
      </c>
      <c r="C1295" s="3" t="s">
        <v>898</v>
      </c>
      <c r="D1295" s="3" t="s">
        <v>1410</v>
      </c>
      <c r="E1295" s="3">
        <v>12</v>
      </c>
      <c r="F1295" s="3" t="s">
        <v>1411</v>
      </c>
      <c r="G1295" s="4" t="str">
        <f t="shared" si="80"/>
        <v>59446</v>
      </c>
      <c r="H1295" t="str">
        <f t="shared" si="81"/>
        <v>Naz AKPOLAT</v>
      </c>
      <c r="I1295" t="str">
        <f t="shared" si="82"/>
        <v>12F11 Kantin İşletmeciliği</v>
      </c>
      <c r="J1295" t="str">
        <f t="shared" si="83"/>
        <v>12F</v>
      </c>
    </row>
    <row r="1296" spans="1:10" x14ac:dyDescent="0.25">
      <c r="A1296" s="3">
        <v>27557632928</v>
      </c>
      <c r="B1296" s="3" t="s">
        <v>1412</v>
      </c>
      <c r="C1296" s="3" t="s">
        <v>12</v>
      </c>
      <c r="D1296" s="3" t="s">
        <v>212</v>
      </c>
      <c r="E1296" s="3">
        <v>12</v>
      </c>
      <c r="F1296" s="3" t="s">
        <v>1413</v>
      </c>
      <c r="G1296" s="4" t="str">
        <f t="shared" si="80"/>
        <v>32928</v>
      </c>
      <c r="H1296" t="str">
        <f t="shared" si="81"/>
        <v>Ali BARAN</v>
      </c>
      <c r="I1296" t="str">
        <f t="shared" si="82"/>
        <v>12F4 Makine Bakım Onarım</v>
      </c>
      <c r="J1296" t="str">
        <f t="shared" si="83"/>
        <v>12F</v>
      </c>
    </row>
    <row r="1297" spans="1:10" x14ac:dyDescent="0.25">
      <c r="A1297" s="3">
        <v>15982149470</v>
      </c>
      <c r="B1297" s="3" t="s">
        <v>1414</v>
      </c>
      <c r="C1297" s="3" t="s">
        <v>12</v>
      </c>
      <c r="D1297" s="3" t="s">
        <v>212</v>
      </c>
      <c r="E1297" s="3">
        <v>12</v>
      </c>
      <c r="F1297" s="3" t="s">
        <v>1413</v>
      </c>
      <c r="G1297" s="4" t="str">
        <f t="shared" si="80"/>
        <v>49470</v>
      </c>
      <c r="H1297" t="str">
        <f t="shared" si="81"/>
        <v>Berkcan ÇELİK</v>
      </c>
      <c r="I1297" t="str">
        <f t="shared" si="82"/>
        <v>12F4 Makine Bakım Onarım</v>
      </c>
      <c r="J1297" t="str">
        <f t="shared" si="83"/>
        <v>12F</v>
      </c>
    </row>
    <row r="1298" spans="1:10" x14ac:dyDescent="0.25">
      <c r="A1298" s="3">
        <v>63556338492</v>
      </c>
      <c r="B1298" s="3" t="s">
        <v>1415</v>
      </c>
      <c r="C1298" s="3" t="s">
        <v>12</v>
      </c>
      <c r="D1298" s="3" t="s">
        <v>212</v>
      </c>
      <c r="E1298" s="3">
        <v>12</v>
      </c>
      <c r="F1298" s="3" t="s">
        <v>1413</v>
      </c>
      <c r="G1298" s="4" t="str">
        <f t="shared" si="80"/>
        <v>38492</v>
      </c>
      <c r="H1298" t="str">
        <f t="shared" si="81"/>
        <v>Resulcan ONAY</v>
      </c>
      <c r="I1298" t="str">
        <f t="shared" si="82"/>
        <v>12F4 Makine Bakım Onarım</v>
      </c>
      <c r="J1298" t="str">
        <f t="shared" si="83"/>
        <v>12F</v>
      </c>
    </row>
    <row r="1299" spans="1:10" x14ac:dyDescent="0.25">
      <c r="A1299" s="3">
        <v>24953070392</v>
      </c>
      <c r="B1299" s="3" t="s">
        <v>1416</v>
      </c>
      <c r="C1299" s="3" t="s">
        <v>12</v>
      </c>
      <c r="D1299" s="3" t="s">
        <v>1417</v>
      </c>
      <c r="E1299" s="3">
        <v>12</v>
      </c>
      <c r="F1299" s="3" t="s">
        <v>1418</v>
      </c>
      <c r="G1299" s="4" t="str">
        <f t="shared" si="80"/>
        <v>70392</v>
      </c>
      <c r="H1299" t="str">
        <f t="shared" si="81"/>
        <v>Burak YİĞİT</v>
      </c>
      <c r="I1299" t="str">
        <f t="shared" si="82"/>
        <v>12B4 Mobilya İskeleti Ve Döşemesi</v>
      </c>
      <c r="J1299" t="str">
        <f t="shared" si="83"/>
        <v>12B</v>
      </c>
    </row>
    <row r="1300" spans="1:10" x14ac:dyDescent="0.25">
      <c r="A1300" s="3">
        <v>47191610762</v>
      </c>
      <c r="B1300" s="3" t="s">
        <v>1419</v>
      </c>
      <c r="C1300" s="3" t="s">
        <v>12</v>
      </c>
      <c r="D1300" s="3" t="s">
        <v>218</v>
      </c>
      <c r="E1300" s="3">
        <v>12</v>
      </c>
      <c r="F1300" s="3" t="s">
        <v>1420</v>
      </c>
      <c r="G1300" s="4" t="str">
        <f t="shared" si="80"/>
        <v>10762</v>
      </c>
      <c r="H1300" t="str">
        <f t="shared" si="81"/>
        <v>Yusuf AKGÜL</v>
      </c>
      <c r="I1300" t="str">
        <f t="shared" si="82"/>
        <v>12F7 Muhasebe</v>
      </c>
      <c r="J1300" t="str">
        <f t="shared" si="83"/>
        <v>12F</v>
      </c>
    </row>
    <row r="1301" spans="1:10" x14ac:dyDescent="0.25">
      <c r="A1301" s="3">
        <v>55171344538</v>
      </c>
      <c r="B1301" s="3" t="s">
        <v>1421</v>
      </c>
      <c r="C1301" s="3" t="s">
        <v>12</v>
      </c>
      <c r="D1301" s="3" t="s">
        <v>218</v>
      </c>
      <c r="E1301" s="3">
        <v>12</v>
      </c>
      <c r="F1301" s="3" t="s">
        <v>1420</v>
      </c>
      <c r="G1301" s="4" t="str">
        <f t="shared" si="80"/>
        <v>44538</v>
      </c>
      <c r="H1301" t="str">
        <f t="shared" si="81"/>
        <v>Zubeyt SAPİL</v>
      </c>
      <c r="I1301" t="str">
        <f t="shared" si="82"/>
        <v>12F7 Muhasebe</v>
      </c>
      <c r="J1301" t="str">
        <f t="shared" si="83"/>
        <v>12F</v>
      </c>
    </row>
    <row r="1302" spans="1:10" x14ac:dyDescent="0.25">
      <c r="A1302" s="3">
        <v>43180744180</v>
      </c>
      <c r="B1302" s="3" t="s">
        <v>1422</v>
      </c>
      <c r="C1302" s="3" t="s">
        <v>12</v>
      </c>
      <c r="D1302" s="3" t="s">
        <v>231</v>
      </c>
      <c r="E1302" s="3">
        <v>12</v>
      </c>
      <c r="F1302" s="3" t="s">
        <v>32</v>
      </c>
      <c r="G1302" s="4" t="str">
        <f t="shared" si="80"/>
        <v>44180</v>
      </c>
      <c r="H1302" t="str">
        <f t="shared" si="81"/>
        <v>Furkan Enver KAYA</v>
      </c>
      <c r="I1302" t="str">
        <f t="shared" si="82"/>
        <v>12E1 Otomotiv Elektrikçiliği</v>
      </c>
      <c r="J1302" t="str">
        <f t="shared" si="83"/>
        <v>12E</v>
      </c>
    </row>
    <row r="1303" spans="1:10" x14ac:dyDescent="0.25">
      <c r="A1303" s="3">
        <v>25894956592</v>
      </c>
      <c r="B1303" s="3" t="s">
        <v>1423</v>
      </c>
      <c r="C1303" s="3" t="s">
        <v>12</v>
      </c>
      <c r="D1303" s="3" t="s">
        <v>231</v>
      </c>
      <c r="E1303" s="3">
        <v>12</v>
      </c>
      <c r="F1303" s="3" t="s">
        <v>32</v>
      </c>
      <c r="G1303" s="4" t="str">
        <f t="shared" si="80"/>
        <v>56592</v>
      </c>
      <c r="H1303" t="str">
        <f t="shared" si="81"/>
        <v>Seyit Ömer TÜMER</v>
      </c>
      <c r="I1303" t="str">
        <f t="shared" si="82"/>
        <v>12E1 Otomotiv Elektrikçiliği</v>
      </c>
      <c r="J1303" t="str">
        <f t="shared" si="83"/>
        <v>12E</v>
      </c>
    </row>
    <row r="1304" spans="1:10" x14ac:dyDescent="0.25">
      <c r="A1304" s="3">
        <v>24197742130</v>
      </c>
      <c r="B1304" s="3" t="s">
        <v>1424</v>
      </c>
      <c r="C1304" s="3" t="s">
        <v>898</v>
      </c>
      <c r="D1304" s="3" t="s">
        <v>231</v>
      </c>
      <c r="E1304" s="3">
        <v>12</v>
      </c>
      <c r="F1304" s="3" t="s">
        <v>32</v>
      </c>
      <c r="G1304" s="4" t="str">
        <f t="shared" si="80"/>
        <v>42130</v>
      </c>
      <c r="H1304" t="str">
        <f t="shared" si="81"/>
        <v>Tekin Tolga DENİZ</v>
      </c>
      <c r="I1304" t="str">
        <f t="shared" si="82"/>
        <v>12E1 Otomotiv Elektrikçiliği</v>
      </c>
      <c r="J1304" t="str">
        <f t="shared" si="83"/>
        <v>12E</v>
      </c>
    </row>
    <row r="1305" spans="1:10" x14ac:dyDescent="0.25">
      <c r="A1305" s="3">
        <v>50557023748</v>
      </c>
      <c r="B1305" s="3" t="s">
        <v>1425</v>
      </c>
      <c r="C1305" s="3" t="s">
        <v>12</v>
      </c>
      <c r="D1305" s="3" t="s">
        <v>231</v>
      </c>
      <c r="E1305" s="3">
        <v>12</v>
      </c>
      <c r="F1305" s="3" t="s">
        <v>32</v>
      </c>
      <c r="G1305" s="4" t="str">
        <f t="shared" si="80"/>
        <v>23748</v>
      </c>
      <c r="H1305" t="str">
        <f t="shared" si="81"/>
        <v>Yakup SEÇMEN</v>
      </c>
      <c r="I1305" t="str">
        <f t="shared" si="82"/>
        <v>12E1 Otomotiv Elektrikçiliği</v>
      </c>
      <c r="J1305" t="str">
        <f t="shared" si="83"/>
        <v>12E</v>
      </c>
    </row>
    <row r="1306" spans="1:10" x14ac:dyDescent="0.25">
      <c r="A1306" s="3">
        <v>28457235332</v>
      </c>
      <c r="B1306" s="3" t="s">
        <v>1426</v>
      </c>
      <c r="C1306" s="3" t="s">
        <v>12</v>
      </c>
      <c r="D1306" s="3" t="s">
        <v>240</v>
      </c>
      <c r="E1306" s="3">
        <v>12</v>
      </c>
      <c r="F1306" s="3" t="s">
        <v>14</v>
      </c>
      <c r="G1306" s="4" t="str">
        <f t="shared" si="80"/>
        <v>35332</v>
      </c>
      <c r="H1306" t="str">
        <f t="shared" si="81"/>
        <v>Anıl ARICAN</v>
      </c>
      <c r="I1306" t="str">
        <f t="shared" si="82"/>
        <v>12D Otomotiv Elektromekanik</v>
      </c>
      <c r="J1306" t="str">
        <f t="shared" si="83"/>
        <v>12D</v>
      </c>
    </row>
    <row r="1307" spans="1:10" x14ac:dyDescent="0.25">
      <c r="A1307" s="3">
        <v>13457735128</v>
      </c>
      <c r="B1307" s="3" t="s">
        <v>1427</v>
      </c>
      <c r="C1307" s="3" t="s">
        <v>898</v>
      </c>
      <c r="D1307" s="3" t="s">
        <v>240</v>
      </c>
      <c r="E1307" s="3">
        <v>12</v>
      </c>
      <c r="F1307" s="3" t="s">
        <v>14</v>
      </c>
      <c r="G1307" s="4" t="str">
        <f t="shared" si="80"/>
        <v>35128</v>
      </c>
      <c r="H1307" t="str">
        <f t="shared" si="81"/>
        <v>Arda ELLER</v>
      </c>
      <c r="I1307" t="str">
        <f t="shared" si="82"/>
        <v>12D Otomotiv Elektromekanik</v>
      </c>
      <c r="J1307" t="str">
        <f t="shared" si="83"/>
        <v>12D</v>
      </c>
    </row>
    <row r="1308" spans="1:10" x14ac:dyDescent="0.25">
      <c r="A1308" s="3">
        <v>56590010578</v>
      </c>
      <c r="B1308" s="3" t="s">
        <v>1428</v>
      </c>
      <c r="C1308" s="3" t="s">
        <v>12</v>
      </c>
      <c r="D1308" s="3" t="s">
        <v>240</v>
      </c>
      <c r="E1308" s="3">
        <v>12</v>
      </c>
      <c r="F1308" s="3" t="s">
        <v>14</v>
      </c>
      <c r="G1308" s="4" t="str">
        <f t="shared" si="80"/>
        <v>10578</v>
      </c>
      <c r="H1308" t="str">
        <f t="shared" si="81"/>
        <v>Batuhan Efe OZAN</v>
      </c>
      <c r="I1308" t="str">
        <f t="shared" si="82"/>
        <v>12D Otomotiv Elektromekanik</v>
      </c>
      <c r="J1308" t="str">
        <f t="shared" si="83"/>
        <v>12D</v>
      </c>
    </row>
    <row r="1309" spans="1:10" x14ac:dyDescent="0.25">
      <c r="A1309" s="3">
        <v>63256075352</v>
      </c>
      <c r="B1309" s="3" t="s">
        <v>1429</v>
      </c>
      <c r="C1309" s="3" t="s">
        <v>12</v>
      </c>
      <c r="D1309" s="3" t="s">
        <v>240</v>
      </c>
      <c r="E1309" s="3">
        <v>12</v>
      </c>
      <c r="F1309" s="3" t="s">
        <v>14</v>
      </c>
      <c r="G1309" s="4" t="str">
        <f t="shared" si="80"/>
        <v>75352</v>
      </c>
      <c r="H1309" t="str">
        <f t="shared" si="81"/>
        <v>Bedirhan ARINÇ</v>
      </c>
      <c r="I1309" t="str">
        <f t="shared" si="82"/>
        <v>12D Otomotiv Elektromekanik</v>
      </c>
      <c r="J1309" t="str">
        <f t="shared" si="83"/>
        <v>12D</v>
      </c>
    </row>
    <row r="1310" spans="1:10" x14ac:dyDescent="0.25">
      <c r="A1310" s="3">
        <v>64753208960</v>
      </c>
      <c r="B1310" s="3" t="s">
        <v>1430</v>
      </c>
      <c r="C1310" s="3" t="s">
        <v>12</v>
      </c>
      <c r="D1310" s="3" t="s">
        <v>240</v>
      </c>
      <c r="E1310" s="3">
        <v>12</v>
      </c>
      <c r="F1310" s="3" t="s">
        <v>14</v>
      </c>
      <c r="G1310" s="4" t="str">
        <f t="shared" si="80"/>
        <v>08960</v>
      </c>
      <c r="H1310" t="str">
        <f t="shared" si="81"/>
        <v>Berat YILDIZ</v>
      </c>
      <c r="I1310" t="str">
        <f t="shared" si="82"/>
        <v>12D Otomotiv Elektromekanik</v>
      </c>
      <c r="J1310" t="str">
        <f t="shared" si="83"/>
        <v>12D</v>
      </c>
    </row>
    <row r="1311" spans="1:10" x14ac:dyDescent="0.25">
      <c r="A1311" s="3">
        <v>13628729536</v>
      </c>
      <c r="B1311" s="3" t="s">
        <v>1431</v>
      </c>
      <c r="C1311" s="3" t="s">
        <v>898</v>
      </c>
      <c r="D1311" s="3" t="s">
        <v>240</v>
      </c>
      <c r="E1311" s="3">
        <v>12</v>
      </c>
      <c r="F1311" s="3" t="s">
        <v>14</v>
      </c>
      <c r="G1311" s="4" t="str">
        <f t="shared" si="80"/>
        <v>29536</v>
      </c>
      <c r="H1311" t="str">
        <f t="shared" si="81"/>
        <v>Bilal Emre ÇAPRAZ</v>
      </c>
      <c r="I1311" t="str">
        <f t="shared" si="82"/>
        <v>12D Otomotiv Elektromekanik</v>
      </c>
      <c r="J1311" t="str">
        <f t="shared" si="83"/>
        <v>12D</v>
      </c>
    </row>
    <row r="1312" spans="1:10" x14ac:dyDescent="0.25">
      <c r="A1312" s="3">
        <v>13622729754</v>
      </c>
      <c r="B1312" s="3" t="s">
        <v>1432</v>
      </c>
      <c r="C1312" s="3" t="s">
        <v>898</v>
      </c>
      <c r="D1312" s="3" t="s">
        <v>240</v>
      </c>
      <c r="E1312" s="3">
        <v>12</v>
      </c>
      <c r="F1312" s="3" t="s">
        <v>14</v>
      </c>
      <c r="G1312" s="4" t="str">
        <f t="shared" si="80"/>
        <v>29754</v>
      </c>
      <c r="H1312" t="str">
        <f t="shared" si="81"/>
        <v>Boran GÖNÜLTAŞ</v>
      </c>
      <c r="I1312" t="str">
        <f t="shared" si="82"/>
        <v>12D Otomotiv Elektromekanik</v>
      </c>
      <c r="J1312" t="str">
        <f t="shared" si="83"/>
        <v>12D</v>
      </c>
    </row>
    <row r="1313" spans="1:10" x14ac:dyDescent="0.25">
      <c r="A1313" s="3">
        <v>19532532842</v>
      </c>
      <c r="B1313" s="3" t="s">
        <v>1433</v>
      </c>
      <c r="C1313" s="3" t="s">
        <v>12</v>
      </c>
      <c r="D1313" s="3" t="s">
        <v>240</v>
      </c>
      <c r="E1313" s="3">
        <v>12</v>
      </c>
      <c r="F1313" s="3" t="s">
        <v>14</v>
      </c>
      <c r="G1313" s="4" t="str">
        <f t="shared" si="80"/>
        <v>32842</v>
      </c>
      <c r="H1313" t="str">
        <f t="shared" si="81"/>
        <v>Cihan NARİN</v>
      </c>
      <c r="I1313" t="str">
        <f t="shared" si="82"/>
        <v>12D Otomotiv Elektromekanik</v>
      </c>
      <c r="J1313" t="str">
        <f t="shared" si="83"/>
        <v>12D</v>
      </c>
    </row>
    <row r="1314" spans="1:10" x14ac:dyDescent="0.25">
      <c r="A1314" s="3">
        <v>48016583230</v>
      </c>
      <c r="B1314" s="3" t="s">
        <v>1434</v>
      </c>
      <c r="C1314" s="3" t="s">
        <v>12</v>
      </c>
      <c r="D1314" s="3" t="s">
        <v>240</v>
      </c>
      <c r="E1314" s="3">
        <v>12</v>
      </c>
      <c r="F1314" s="3" t="s">
        <v>14</v>
      </c>
      <c r="G1314" s="4" t="str">
        <f t="shared" si="80"/>
        <v>83230</v>
      </c>
      <c r="H1314" t="str">
        <f t="shared" si="81"/>
        <v>Deniz İĞCİ</v>
      </c>
      <c r="I1314" t="str">
        <f t="shared" si="82"/>
        <v>12D Otomotiv Elektromekanik</v>
      </c>
      <c r="J1314" t="str">
        <f t="shared" si="83"/>
        <v>12D</v>
      </c>
    </row>
    <row r="1315" spans="1:10" x14ac:dyDescent="0.25">
      <c r="A1315" s="3">
        <v>15581388874</v>
      </c>
      <c r="B1315" s="3" t="s">
        <v>1435</v>
      </c>
      <c r="C1315" s="3" t="s">
        <v>12</v>
      </c>
      <c r="D1315" s="3" t="s">
        <v>240</v>
      </c>
      <c r="E1315" s="3">
        <v>12</v>
      </c>
      <c r="F1315" s="3" t="s">
        <v>14</v>
      </c>
      <c r="G1315" s="4" t="str">
        <f t="shared" si="80"/>
        <v>88874</v>
      </c>
      <c r="H1315" t="str">
        <f t="shared" si="81"/>
        <v>Ege KURALAY</v>
      </c>
      <c r="I1315" t="str">
        <f t="shared" si="82"/>
        <v>12D Otomotiv Elektromekanik</v>
      </c>
      <c r="J1315" t="str">
        <f t="shared" si="83"/>
        <v>12D</v>
      </c>
    </row>
    <row r="1316" spans="1:10" x14ac:dyDescent="0.25">
      <c r="A1316" s="3">
        <v>47632595696</v>
      </c>
      <c r="B1316" s="3" t="s">
        <v>1436</v>
      </c>
      <c r="C1316" s="3" t="s">
        <v>12</v>
      </c>
      <c r="D1316" s="3" t="s">
        <v>240</v>
      </c>
      <c r="E1316" s="3">
        <v>12</v>
      </c>
      <c r="F1316" s="3" t="s">
        <v>14</v>
      </c>
      <c r="G1316" s="4" t="str">
        <f t="shared" si="80"/>
        <v>95696</v>
      </c>
      <c r="H1316" t="str">
        <f t="shared" si="81"/>
        <v>Furkan GEZER</v>
      </c>
      <c r="I1316" t="str">
        <f t="shared" si="82"/>
        <v>12D Otomotiv Elektromekanik</v>
      </c>
      <c r="J1316" t="str">
        <f t="shared" si="83"/>
        <v>12D</v>
      </c>
    </row>
    <row r="1317" spans="1:10" x14ac:dyDescent="0.25">
      <c r="A1317" s="3">
        <v>64729025836</v>
      </c>
      <c r="B1317" s="3" t="s">
        <v>1437</v>
      </c>
      <c r="C1317" s="3" t="s">
        <v>12</v>
      </c>
      <c r="D1317" s="3" t="s">
        <v>240</v>
      </c>
      <c r="E1317" s="3">
        <v>12</v>
      </c>
      <c r="F1317" s="3" t="s">
        <v>14</v>
      </c>
      <c r="G1317" s="4" t="str">
        <f t="shared" si="80"/>
        <v>25836</v>
      </c>
      <c r="H1317" t="str">
        <f t="shared" si="81"/>
        <v>Hasan ESEN</v>
      </c>
      <c r="I1317" t="str">
        <f t="shared" si="82"/>
        <v>12D Otomotiv Elektromekanik</v>
      </c>
      <c r="J1317" t="str">
        <f t="shared" si="83"/>
        <v>12D</v>
      </c>
    </row>
    <row r="1318" spans="1:10" x14ac:dyDescent="0.25">
      <c r="A1318" s="3">
        <v>13787724458</v>
      </c>
      <c r="B1318" s="3" t="s">
        <v>1438</v>
      </c>
      <c r="C1318" s="3" t="s">
        <v>12</v>
      </c>
      <c r="D1318" s="3" t="s">
        <v>240</v>
      </c>
      <c r="E1318" s="3">
        <v>12</v>
      </c>
      <c r="F1318" s="3" t="s">
        <v>14</v>
      </c>
      <c r="G1318" s="4" t="str">
        <f t="shared" si="80"/>
        <v>24458</v>
      </c>
      <c r="H1318" t="str">
        <f t="shared" si="81"/>
        <v>Hüseyin Mert KÜÇÜKER</v>
      </c>
      <c r="I1318" t="str">
        <f t="shared" si="82"/>
        <v>12D Otomotiv Elektromekanik</v>
      </c>
      <c r="J1318" t="str">
        <f t="shared" si="83"/>
        <v>12D</v>
      </c>
    </row>
    <row r="1319" spans="1:10" x14ac:dyDescent="0.25">
      <c r="A1319" s="3">
        <v>57412329946</v>
      </c>
      <c r="B1319" s="3" t="s">
        <v>1439</v>
      </c>
      <c r="C1319" s="3" t="s">
        <v>12</v>
      </c>
      <c r="D1319" s="3" t="s">
        <v>240</v>
      </c>
      <c r="E1319" s="3">
        <v>12</v>
      </c>
      <c r="F1319" s="3" t="s">
        <v>14</v>
      </c>
      <c r="G1319" s="4" t="str">
        <f t="shared" si="80"/>
        <v>29946</v>
      </c>
      <c r="H1319" t="str">
        <f t="shared" si="81"/>
        <v>İsmail ÇANKAYA</v>
      </c>
      <c r="I1319" t="str">
        <f t="shared" si="82"/>
        <v>12D Otomotiv Elektromekanik</v>
      </c>
      <c r="J1319" t="str">
        <f t="shared" si="83"/>
        <v>12D</v>
      </c>
    </row>
    <row r="1320" spans="1:10" x14ac:dyDescent="0.25">
      <c r="A1320" s="3">
        <v>54394095920</v>
      </c>
      <c r="B1320" s="3" t="s">
        <v>1440</v>
      </c>
      <c r="C1320" s="3" t="s">
        <v>12</v>
      </c>
      <c r="D1320" s="3" t="s">
        <v>240</v>
      </c>
      <c r="E1320" s="3">
        <v>12</v>
      </c>
      <c r="F1320" s="3" t="s">
        <v>14</v>
      </c>
      <c r="G1320" s="4" t="str">
        <f t="shared" si="80"/>
        <v>95920</v>
      </c>
      <c r="H1320" t="str">
        <f t="shared" si="81"/>
        <v>Kaan DEMİR</v>
      </c>
      <c r="I1320" t="str">
        <f t="shared" si="82"/>
        <v>12D Otomotiv Elektromekanik</v>
      </c>
      <c r="J1320" t="str">
        <f t="shared" si="83"/>
        <v>12D</v>
      </c>
    </row>
    <row r="1321" spans="1:10" x14ac:dyDescent="0.25">
      <c r="A1321" s="3">
        <v>18359571706</v>
      </c>
      <c r="B1321" s="3" t="s">
        <v>1441</v>
      </c>
      <c r="C1321" s="3" t="s">
        <v>12</v>
      </c>
      <c r="D1321" s="3" t="s">
        <v>240</v>
      </c>
      <c r="E1321" s="3">
        <v>12</v>
      </c>
      <c r="F1321" s="3" t="s">
        <v>14</v>
      </c>
      <c r="G1321" s="4" t="str">
        <f t="shared" si="80"/>
        <v>71706</v>
      </c>
      <c r="H1321" t="str">
        <f t="shared" si="81"/>
        <v>Kaan SARAÇ</v>
      </c>
      <c r="I1321" t="str">
        <f t="shared" si="82"/>
        <v>12D Otomotiv Elektromekanik</v>
      </c>
      <c r="J1321" t="str">
        <f t="shared" si="83"/>
        <v>12D</v>
      </c>
    </row>
    <row r="1322" spans="1:10" x14ac:dyDescent="0.25">
      <c r="A1322" s="3">
        <v>23975751470</v>
      </c>
      <c r="B1322" s="3" t="s">
        <v>1442</v>
      </c>
      <c r="C1322" s="3" t="s">
        <v>12</v>
      </c>
      <c r="D1322" s="3" t="s">
        <v>240</v>
      </c>
      <c r="E1322" s="3">
        <v>12</v>
      </c>
      <c r="F1322" s="3" t="s">
        <v>14</v>
      </c>
      <c r="G1322" s="4" t="str">
        <f t="shared" si="80"/>
        <v>51470</v>
      </c>
      <c r="H1322" t="str">
        <f t="shared" si="81"/>
        <v>Mehmet Ali KOCA</v>
      </c>
      <c r="I1322" t="str">
        <f t="shared" si="82"/>
        <v>12D Otomotiv Elektromekanik</v>
      </c>
      <c r="J1322" t="str">
        <f t="shared" si="83"/>
        <v>12D</v>
      </c>
    </row>
    <row r="1323" spans="1:10" x14ac:dyDescent="0.25">
      <c r="A1323" s="3">
        <v>11672519530</v>
      </c>
      <c r="B1323" s="3" t="s">
        <v>1443</v>
      </c>
      <c r="C1323" s="3" t="s">
        <v>898</v>
      </c>
      <c r="D1323" s="3" t="s">
        <v>240</v>
      </c>
      <c r="E1323" s="3">
        <v>12</v>
      </c>
      <c r="F1323" s="3" t="s">
        <v>14</v>
      </c>
      <c r="G1323" s="4" t="str">
        <f t="shared" si="80"/>
        <v>19530</v>
      </c>
      <c r="H1323" t="str">
        <f t="shared" si="81"/>
        <v>Mehmethan TARI</v>
      </c>
      <c r="I1323" t="str">
        <f t="shared" si="82"/>
        <v>12D Otomotiv Elektromekanik</v>
      </c>
      <c r="J1323" t="str">
        <f t="shared" si="83"/>
        <v>12D</v>
      </c>
    </row>
    <row r="1324" spans="1:10" x14ac:dyDescent="0.25">
      <c r="A1324" s="3">
        <v>39154878678</v>
      </c>
      <c r="B1324" s="3" t="s">
        <v>1444</v>
      </c>
      <c r="C1324" s="3" t="s">
        <v>12</v>
      </c>
      <c r="D1324" s="3" t="s">
        <v>240</v>
      </c>
      <c r="E1324" s="3">
        <v>12</v>
      </c>
      <c r="F1324" s="3" t="s">
        <v>14</v>
      </c>
      <c r="G1324" s="4" t="str">
        <f t="shared" si="80"/>
        <v>78678</v>
      </c>
      <c r="H1324" t="str">
        <f t="shared" si="81"/>
        <v>Mert Can ATICI</v>
      </c>
      <c r="I1324" t="str">
        <f t="shared" si="82"/>
        <v>12D Otomotiv Elektromekanik</v>
      </c>
      <c r="J1324" t="str">
        <f t="shared" si="83"/>
        <v>12D</v>
      </c>
    </row>
    <row r="1325" spans="1:10" x14ac:dyDescent="0.25">
      <c r="A1325" s="3">
        <v>35854709168</v>
      </c>
      <c r="B1325" s="3" t="s">
        <v>1445</v>
      </c>
      <c r="C1325" s="3" t="s">
        <v>898</v>
      </c>
      <c r="D1325" s="3" t="s">
        <v>240</v>
      </c>
      <c r="E1325" s="3">
        <v>12</v>
      </c>
      <c r="F1325" s="3" t="s">
        <v>14</v>
      </c>
      <c r="G1325" s="4" t="str">
        <f t="shared" si="80"/>
        <v>09168</v>
      </c>
      <c r="H1325" t="str">
        <f t="shared" si="81"/>
        <v>Miraç Metin Can YAMAN</v>
      </c>
      <c r="I1325" t="str">
        <f t="shared" si="82"/>
        <v>12D Otomotiv Elektromekanik</v>
      </c>
      <c r="J1325" t="str">
        <f t="shared" si="83"/>
        <v>12D</v>
      </c>
    </row>
    <row r="1326" spans="1:10" x14ac:dyDescent="0.25">
      <c r="A1326" s="3">
        <v>32213194566</v>
      </c>
      <c r="B1326" s="3" t="s">
        <v>1446</v>
      </c>
      <c r="C1326" s="3" t="s">
        <v>1447</v>
      </c>
      <c r="D1326" s="3" t="s">
        <v>240</v>
      </c>
      <c r="E1326" s="3">
        <v>12</v>
      </c>
      <c r="F1326" s="2"/>
      <c r="G1326" s="4" t="str">
        <f t="shared" si="80"/>
        <v>94566</v>
      </c>
      <c r="H1326" t="str">
        <f t="shared" si="81"/>
        <v>Mücahit SEÇGİN</v>
      </c>
      <c r="I1326" t="str">
        <f t="shared" si="82"/>
        <v>12 Otomotiv Elektromekanik</v>
      </c>
      <c r="J1326" t="str">
        <f t="shared" si="83"/>
        <v xml:space="preserve">12 </v>
      </c>
    </row>
    <row r="1327" spans="1:10" x14ac:dyDescent="0.25">
      <c r="A1327" s="3">
        <v>21026483028</v>
      </c>
      <c r="B1327" s="3" t="s">
        <v>1448</v>
      </c>
      <c r="C1327" s="3" t="s">
        <v>12</v>
      </c>
      <c r="D1327" s="3" t="s">
        <v>240</v>
      </c>
      <c r="E1327" s="3">
        <v>12</v>
      </c>
      <c r="F1327" s="3" t="s">
        <v>14</v>
      </c>
      <c r="G1327" s="4" t="str">
        <f t="shared" si="80"/>
        <v>83028</v>
      </c>
      <c r="H1327" t="str">
        <f t="shared" si="81"/>
        <v>Semih YAŞAR</v>
      </c>
      <c r="I1327" t="str">
        <f t="shared" si="82"/>
        <v>12D Otomotiv Elektromekanik</v>
      </c>
      <c r="J1327" t="str">
        <f t="shared" si="83"/>
        <v>12D</v>
      </c>
    </row>
    <row r="1328" spans="1:10" x14ac:dyDescent="0.25">
      <c r="A1328" s="3">
        <v>13820906582</v>
      </c>
      <c r="B1328" s="3" t="s">
        <v>1449</v>
      </c>
      <c r="C1328" s="3" t="s">
        <v>12</v>
      </c>
      <c r="D1328" s="3" t="s">
        <v>240</v>
      </c>
      <c r="E1328" s="3">
        <v>12</v>
      </c>
      <c r="F1328" s="3" t="s">
        <v>14</v>
      </c>
      <c r="G1328" s="4" t="str">
        <f t="shared" si="80"/>
        <v>06582</v>
      </c>
      <c r="H1328" t="str">
        <f t="shared" si="81"/>
        <v>Umut OKÇU</v>
      </c>
      <c r="I1328" t="str">
        <f t="shared" si="82"/>
        <v>12D Otomotiv Elektromekanik</v>
      </c>
      <c r="J1328" t="str">
        <f t="shared" si="83"/>
        <v>12D</v>
      </c>
    </row>
    <row r="1329" spans="1:10" x14ac:dyDescent="0.25">
      <c r="A1329" s="3">
        <v>23555398392</v>
      </c>
      <c r="B1329" s="3" t="s">
        <v>1450</v>
      </c>
      <c r="C1329" s="3" t="s">
        <v>12</v>
      </c>
      <c r="D1329" s="3" t="s">
        <v>240</v>
      </c>
      <c r="E1329" s="3">
        <v>12</v>
      </c>
      <c r="F1329" s="3" t="s">
        <v>14</v>
      </c>
      <c r="G1329" s="4" t="str">
        <f t="shared" si="80"/>
        <v>98392</v>
      </c>
      <c r="H1329" t="str">
        <f t="shared" si="81"/>
        <v>Yasin AKPINAR</v>
      </c>
      <c r="I1329" t="str">
        <f t="shared" si="82"/>
        <v>12D Otomotiv Elektromekanik</v>
      </c>
      <c r="J1329" t="str">
        <f t="shared" si="83"/>
        <v>12D</v>
      </c>
    </row>
    <row r="1330" spans="1:10" x14ac:dyDescent="0.25">
      <c r="A1330" s="3">
        <v>12875754414</v>
      </c>
      <c r="B1330" s="3" t="s">
        <v>1451</v>
      </c>
      <c r="C1330" s="3" t="s">
        <v>12</v>
      </c>
      <c r="D1330" s="3" t="s">
        <v>240</v>
      </c>
      <c r="E1330" s="3">
        <v>12</v>
      </c>
      <c r="F1330" s="3" t="s">
        <v>14</v>
      </c>
      <c r="G1330" s="4" t="str">
        <f t="shared" si="80"/>
        <v>54414</v>
      </c>
      <c r="H1330" t="str">
        <f t="shared" si="81"/>
        <v>Yiğit SARAÇLI</v>
      </c>
      <c r="I1330" t="str">
        <f t="shared" si="82"/>
        <v>12D Otomotiv Elektromekanik</v>
      </c>
      <c r="J1330" t="str">
        <f t="shared" si="83"/>
        <v>12D</v>
      </c>
    </row>
    <row r="1331" spans="1:10" x14ac:dyDescent="0.25">
      <c r="A1331" s="3">
        <v>33572064910</v>
      </c>
      <c r="B1331" s="3" t="s">
        <v>1452</v>
      </c>
      <c r="C1331" s="3" t="s">
        <v>12</v>
      </c>
      <c r="D1331" s="3" t="s">
        <v>240</v>
      </c>
      <c r="E1331" s="3">
        <v>12</v>
      </c>
      <c r="F1331" s="3" t="s">
        <v>14</v>
      </c>
      <c r="G1331" s="4" t="str">
        <f t="shared" si="80"/>
        <v>64910</v>
      </c>
      <c r="H1331" t="str">
        <f t="shared" si="81"/>
        <v>Yusuf Taha ÖZBAKIR</v>
      </c>
      <c r="I1331" t="str">
        <f t="shared" si="82"/>
        <v>12D Otomotiv Elektromekanik</v>
      </c>
      <c r="J1331" t="str">
        <f t="shared" si="83"/>
        <v>12D</v>
      </c>
    </row>
    <row r="1332" spans="1:10" x14ac:dyDescent="0.25">
      <c r="A1332" s="3">
        <v>13799724316</v>
      </c>
      <c r="B1332" s="3" t="s">
        <v>1453</v>
      </c>
      <c r="C1332" s="3" t="s">
        <v>12</v>
      </c>
      <c r="D1332" s="3" t="s">
        <v>240</v>
      </c>
      <c r="E1332" s="3">
        <v>12</v>
      </c>
      <c r="F1332" s="3" t="s">
        <v>14</v>
      </c>
      <c r="G1332" s="4" t="str">
        <f t="shared" si="80"/>
        <v>24316</v>
      </c>
      <c r="H1332" t="str">
        <f t="shared" si="81"/>
        <v>Yusuf Talha UĞUR</v>
      </c>
      <c r="I1332" t="str">
        <f t="shared" si="82"/>
        <v>12D Otomotiv Elektromekanik</v>
      </c>
      <c r="J1332" t="str">
        <f t="shared" si="83"/>
        <v>12D</v>
      </c>
    </row>
    <row r="1333" spans="1:10" x14ac:dyDescent="0.25">
      <c r="A1333" s="3">
        <v>11515573750</v>
      </c>
      <c r="B1333" s="3" t="s">
        <v>1454</v>
      </c>
      <c r="C1333" s="3" t="s">
        <v>12</v>
      </c>
      <c r="D1333" s="3" t="s">
        <v>240</v>
      </c>
      <c r="E1333" s="3">
        <v>12</v>
      </c>
      <c r="F1333" s="3" t="s">
        <v>14</v>
      </c>
      <c r="G1333" s="4" t="str">
        <f t="shared" si="80"/>
        <v>73750</v>
      </c>
      <c r="H1333" t="str">
        <f t="shared" si="81"/>
        <v>Yusufcan YILDIRIM</v>
      </c>
      <c r="I1333" t="str">
        <f t="shared" si="82"/>
        <v>12D Otomotiv Elektromekanik</v>
      </c>
      <c r="J1333" t="str">
        <f t="shared" si="83"/>
        <v>12D</v>
      </c>
    </row>
    <row r="1334" spans="1:10" x14ac:dyDescent="0.25">
      <c r="A1334" s="3">
        <v>12068781890</v>
      </c>
      <c r="B1334" s="3" t="s">
        <v>1455</v>
      </c>
      <c r="C1334" s="3" t="s">
        <v>898</v>
      </c>
      <c r="D1334" s="3" t="s">
        <v>304</v>
      </c>
      <c r="E1334" s="3">
        <v>12</v>
      </c>
      <c r="F1334" s="3" t="s">
        <v>485</v>
      </c>
      <c r="G1334" s="4" t="str">
        <f t="shared" si="80"/>
        <v>81890</v>
      </c>
      <c r="H1334" t="str">
        <f t="shared" si="81"/>
        <v>Arif Can GÖKTEPE</v>
      </c>
      <c r="I1334" t="str">
        <f t="shared" si="82"/>
        <v>12E2 Otomotiv Gövde</v>
      </c>
      <c r="J1334" t="str">
        <f t="shared" si="83"/>
        <v>12E</v>
      </c>
    </row>
    <row r="1335" spans="1:10" x14ac:dyDescent="0.25">
      <c r="A1335" s="3">
        <v>51136478768</v>
      </c>
      <c r="B1335" s="3" t="s">
        <v>1456</v>
      </c>
      <c r="C1335" s="3" t="s">
        <v>12</v>
      </c>
      <c r="D1335" s="3" t="s">
        <v>304</v>
      </c>
      <c r="E1335" s="3">
        <v>12</v>
      </c>
      <c r="F1335" s="3" t="s">
        <v>485</v>
      </c>
      <c r="G1335" s="4" t="str">
        <f t="shared" si="80"/>
        <v>78768</v>
      </c>
      <c r="H1335" t="str">
        <f t="shared" si="81"/>
        <v>Batuhan TUNA</v>
      </c>
      <c r="I1335" t="str">
        <f t="shared" si="82"/>
        <v>12E2 Otomotiv Gövde</v>
      </c>
      <c r="J1335" t="str">
        <f t="shared" si="83"/>
        <v>12E</v>
      </c>
    </row>
    <row r="1336" spans="1:10" x14ac:dyDescent="0.25">
      <c r="A1336" s="3">
        <v>27836315566</v>
      </c>
      <c r="B1336" s="3" t="s">
        <v>1457</v>
      </c>
      <c r="C1336" s="3" t="s">
        <v>12</v>
      </c>
      <c r="D1336" s="3" t="s">
        <v>304</v>
      </c>
      <c r="E1336" s="3">
        <v>12</v>
      </c>
      <c r="F1336" s="3" t="s">
        <v>485</v>
      </c>
      <c r="G1336" s="4" t="str">
        <f t="shared" si="80"/>
        <v>15566</v>
      </c>
      <c r="H1336" t="str">
        <f t="shared" si="81"/>
        <v>İsa TENEKECİ</v>
      </c>
      <c r="I1336" t="str">
        <f t="shared" si="82"/>
        <v>12E2 Otomotiv Gövde</v>
      </c>
      <c r="J1336" t="str">
        <f t="shared" si="83"/>
        <v>12E</v>
      </c>
    </row>
    <row r="1337" spans="1:10" x14ac:dyDescent="0.25">
      <c r="A1337" s="3">
        <v>11261867912</v>
      </c>
      <c r="B1337" s="3" t="s">
        <v>1458</v>
      </c>
      <c r="C1337" s="3" t="s">
        <v>898</v>
      </c>
      <c r="D1337" s="3" t="s">
        <v>304</v>
      </c>
      <c r="E1337" s="3">
        <v>12</v>
      </c>
      <c r="F1337" s="3" t="s">
        <v>485</v>
      </c>
      <c r="G1337" s="4" t="str">
        <f t="shared" si="80"/>
        <v>67912</v>
      </c>
      <c r="H1337" t="str">
        <f t="shared" si="81"/>
        <v>Kadir YILDIRIM</v>
      </c>
      <c r="I1337" t="str">
        <f t="shared" si="82"/>
        <v>12E2 Otomotiv Gövde</v>
      </c>
      <c r="J1337" t="str">
        <f t="shared" si="83"/>
        <v>12E</v>
      </c>
    </row>
    <row r="1338" spans="1:10" x14ac:dyDescent="0.25">
      <c r="A1338" s="3">
        <v>35267008124</v>
      </c>
      <c r="B1338" s="3" t="s">
        <v>1459</v>
      </c>
      <c r="C1338" s="3" t="s">
        <v>12</v>
      </c>
      <c r="D1338" s="3" t="s">
        <v>304</v>
      </c>
      <c r="E1338" s="3">
        <v>12</v>
      </c>
      <c r="F1338" s="3" t="s">
        <v>485</v>
      </c>
      <c r="G1338" s="4" t="str">
        <f t="shared" si="80"/>
        <v>08124</v>
      </c>
      <c r="H1338" t="str">
        <f t="shared" si="81"/>
        <v>Miraç KARADAĞ</v>
      </c>
      <c r="I1338" t="str">
        <f t="shared" si="82"/>
        <v>12E2 Otomotiv Gövde</v>
      </c>
      <c r="J1338" t="str">
        <f t="shared" si="83"/>
        <v>12E</v>
      </c>
    </row>
    <row r="1339" spans="1:10" x14ac:dyDescent="0.25">
      <c r="A1339" s="3">
        <v>34076415246</v>
      </c>
      <c r="B1339" s="3" t="s">
        <v>1460</v>
      </c>
      <c r="C1339" s="3" t="s">
        <v>12</v>
      </c>
      <c r="D1339" s="3" t="s">
        <v>314</v>
      </c>
      <c r="E1339" s="3">
        <v>12</v>
      </c>
      <c r="F1339" s="3" t="s">
        <v>92</v>
      </c>
      <c r="G1339" s="4" t="str">
        <f t="shared" si="80"/>
        <v>15246</v>
      </c>
      <c r="H1339" t="str">
        <f t="shared" si="81"/>
        <v>Abdulhalim ESEN</v>
      </c>
      <c r="I1339" t="str">
        <f t="shared" si="82"/>
        <v>12E Otomotiv Mekanikerliği</v>
      </c>
      <c r="J1339" t="str">
        <f t="shared" si="83"/>
        <v>12E</v>
      </c>
    </row>
    <row r="1340" spans="1:10" x14ac:dyDescent="0.25">
      <c r="A1340" s="3">
        <v>19738986180</v>
      </c>
      <c r="B1340" s="3" t="s">
        <v>1461</v>
      </c>
      <c r="C1340" s="3" t="s">
        <v>12</v>
      </c>
      <c r="D1340" s="3" t="s">
        <v>314</v>
      </c>
      <c r="E1340" s="3">
        <v>12</v>
      </c>
      <c r="F1340" s="3" t="s">
        <v>92</v>
      </c>
      <c r="G1340" s="4" t="str">
        <f t="shared" si="80"/>
        <v>86180</v>
      </c>
      <c r="H1340" t="str">
        <f t="shared" si="81"/>
        <v>Ahmet ASLAN</v>
      </c>
      <c r="I1340" t="str">
        <f t="shared" si="82"/>
        <v>12E Otomotiv Mekanikerliği</v>
      </c>
      <c r="J1340" t="str">
        <f t="shared" si="83"/>
        <v>12E</v>
      </c>
    </row>
    <row r="1341" spans="1:10" x14ac:dyDescent="0.25">
      <c r="A1341" s="3">
        <v>64372037552</v>
      </c>
      <c r="B1341" s="3" t="s">
        <v>1462</v>
      </c>
      <c r="C1341" s="3" t="s">
        <v>12</v>
      </c>
      <c r="D1341" s="3" t="s">
        <v>314</v>
      </c>
      <c r="E1341" s="3">
        <v>12</v>
      </c>
      <c r="F1341" s="3" t="s">
        <v>92</v>
      </c>
      <c r="G1341" s="4" t="str">
        <f t="shared" si="80"/>
        <v>37552</v>
      </c>
      <c r="H1341" t="str">
        <f t="shared" si="81"/>
        <v>Alkan ARSLAN</v>
      </c>
      <c r="I1341" t="str">
        <f t="shared" si="82"/>
        <v>12E Otomotiv Mekanikerliği</v>
      </c>
      <c r="J1341" t="str">
        <f t="shared" si="83"/>
        <v>12E</v>
      </c>
    </row>
    <row r="1342" spans="1:10" x14ac:dyDescent="0.25">
      <c r="A1342" s="3">
        <v>55204068134</v>
      </c>
      <c r="B1342" s="3" t="s">
        <v>1463</v>
      </c>
      <c r="C1342" s="3" t="s">
        <v>12</v>
      </c>
      <c r="D1342" s="3" t="s">
        <v>314</v>
      </c>
      <c r="E1342" s="3">
        <v>12</v>
      </c>
      <c r="F1342" s="3" t="s">
        <v>92</v>
      </c>
      <c r="G1342" s="4" t="str">
        <f t="shared" si="80"/>
        <v>68134</v>
      </c>
      <c r="H1342" t="str">
        <f t="shared" si="81"/>
        <v>Burak SAĞLAM</v>
      </c>
      <c r="I1342" t="str">
        <f t="shared" si="82"/>
        <v>12E Otomotiv Mekanikerliği</v>
      </c>
      <c r="J1342" t="str">
        <f t="shared" si="83"/>
        <v>12E</v>
      </c>
    </row>
    <row r="1343" spans="1:10" x14ac:dyDescent="0.25">
      <c r="A1343" s="3">
        <v>15002746498</v>
      </c>
      <c r="B1343" s="3" t="s">
        <v>1464</v>
      </c>
      <c r="C1343" s="3" t="s">
        <v>12</v>
      </c>
      <c r="D1343" s="3" t="s">
        <v>314</v>
      </c>
      <c r="E1343" s="3">
        <v>12</v>
      </c>
      <c r="F1343" s="3" t="s">
        <v>92</v>
      </c>
      <c r="G1343" s="4" t="str">
        <f t="shared" si="80"/>
        <v>46498</v>
      </c>
      <c r="H1343" t="str">
        <f t="shared" si="81"/>
        <v>Eyüp Can KIRMIZIYILDIZ</v>
      </c>
      <c r="I1343" t="str">
        <f t="shared" si="82"/>
        <v>12E Otomotiv Mekanikerliği</v>
      </c>
      <c r="J1343" t="str">
        <f t="shared" si="83"/>
        <v>12E</v>
      </c>
    </row>
    <row r="1344" spans="1:10" x14ac:dyDescent="0.25">
      <c r="A1344" s="3">
        <v>64711026490</v>
      </c>
      <c r="B1344" s="3" t="s">
        <v>1465</v>
      </c>
      <c r="C1344" s="3" t="s">
        <v>12</v>
      </c>
      <c r="D1344" s="3" t="s">
        <v>314</v>
      </c>
      <c r="E1344" s="3">
        <v>12</v>
      </c>
      <c r="F1344" s="3" t="s">
        <v>92</v>
      </c>
      <c r="G1344" s="4" t="str">
        <f t="shared" si="80"/>
        <v>26490</v>
      </c>
      <c r="H1344" t="str">
        <f t="shared" si="81"/>
        <v>Hüseyin ESEN</v>
      </c>
      <c r="I1344" t="str">
        <f t="shared" si="82"/>
        <v>12E Otomotiv Mekanikerliği</v>
      </c>
      <c r="J1344" t="str">
        <f t="shared" si="83"/>
        <v>12E</v>
      </c>
    </row>
    <row r="1345" spans="1:10" x14ac:dyDescent="0.25">
      <c r="A1345" s="3">
        <v>10340414894</v>
      </c>
      <c r="B1345" s="3" t="s">
        <v>1466</v>
      </c>
      <c r="C1345" s="3" t="s">
        <v>898</v>
      </c>
      <c r="D1345" s="3" t="s">
        <v>314</v>
      </c>
      <c r="E1345" s="3">
        <v>12</v>
      </c>
      <c r="F1345" s="3" t="s">
        <v>92</v>
      </c>
      <c r="G1345" s="4" t="str">
        <f t="shared" si="80"/>
        <v>14894</v>
      </c>
      <c r="H1345" t="str">
        <f t="shared" si="81"/>
        <v>Hüseyin KARAOĞLU</v>
      </c>
      <c r="I1345" t="str">
        <f t="shared" si="82"/>
        <v>12E Otomotiv Mekanikerliği</v>
      </c>
      <c r="J1345" t="str">
        <f t="shared" si="83"/>
        <v>12E</v>
      </c>
    </row>
    <row r="1346" spans="1:10" x14ac:dyDescent="0.25">
      <c r="A1346" s="3">
        <v>61828122640</v>
      </c>
      <c r="B1346" s="3" t="s">
        <v>1467</v>
      </c>
      <c r="C1346" s="3" t="s">
        <v>12</v>
      </c>
      <c r="D1346" s="3" t="s">
        <v>314</v>
      </c>
      <c r="E1346" s="3">
        <v>12</v>
      </c>
      <c r="F1346" s="3" t="s">
        <v>92</v>
      </c>
      <c r="G1346" s="4" t="str">
        <f t="shared" si="80"/>
        <v>22640</v>
      </c>
      <c r="H1346" t="str">
        <f t="shared" si="81"/>
        <v>Mehmet Sait YEGİN</v>
      </c>
      <c r="I1346" t="str">
        <f t="shared" si="82"/>
        <v>12E Otomotiv Mekanikerliği</v>
      </c>
      <c r="J1346" t="str">
        <f t="shared" si="83"/>
        <v>12E</v>
      </c>
    </row>
    <row r="1347" spans="1:10" x14ac:dyDescent="0.25">
      <c r="A1347" s="3">
        <v>18914552836</v>
      </c>
      <c r="B1347" s="3" t="s">
        <v>1468</v>
      </c>
      <c r="C1347" s="3" t="s">
        <v>12</v>
      </c>
      <c r="D1347" s="3" t="s">
        <v>314</v>
      </c>
      <c r="E1347" s="3">
        <v>12</v>
      </c>
      <c r="F1347" s="3" t="s">
        <v>92</v>
      </c>
      <c r="G1347" s="4" t="str">
        <f t="shared" si="80"/>
        <v>52836</v>
      </c>
      <c r="H1347" t="str">
        <f t="shared" si="81"/>
        <v>Muhammed Baran KAYA</v>
      </c>
      <c r="I1347" t="str">
        <f t="shared" si="82"/>
        <v>12E Otomotiv Mekanikerliği</v>
      </c>
      <c r="J1347" t="str">
        <f t="shared" si="83"/>
        <v>12E</v>
      </c>
    </row>
    <row r="1348" spans="1:10" x14ac:dyDescent="0.25">
      <c r="A1348" s="3">
        <v>47383971978</v>
      </c>
      <c r="B1348" s="3" t="s">
        <v>1469</v>
      </c>
      <c r="C1348" s="3" t="s">
        <v>12</v>
      </c>
      <c r="D1348" s="3" t="s">
        <v>314</v>
      </c>
      <c r="E1348" s="3">
        <v>12</v>
      </c>
      <c r="F1348" s="3" t="s">
        <v>92</v>
      </c>
      <c r="G1348" s="4" t="str">
        <f t="shared" si="80"/>
        <v>71978</v>
      </c>
      <c r="H1348" t="str">
        <f t="shared" si="81"/>
        <v>Mustafa SEZİKLİ</v>
      </c>
      <c r="I1348" t="str">
        <f t="shared" si="82"/>
        <v>12E Otomotiv Mekanikerliği</v>
      </c>
      <c r="J1348" t="str">
        <f t="shared" si="83"/>
        <v>12E</v>
      </c>
    </row>
    <row r="1349" spans="1:10" x14ac:dyDescent="0.25">
      <c r="A1349" s="3">
        <v>10158035328</v>
      </c>
      <c r="B1349" s="3" t="s">
        <v>1470</v>
      </c>
      <c r="C1349" s="3" t="s">
        <v>12</v>
      </c>
      <c r="D1349" s="3" t="s">
        <v>314</v>
      </c>
      <c r="E1349" s="3">
        <v>12</v>
      </c>
      <c r="F1349" s="3" t="s">
        <v>92</v>
      </c>
      <c r="G1349" s="4" t="str">
        <f t="shared" ref="G1349:G1365" si="84">RIGHT(A1349,5)</f>
        <v>35328</v>
      </c>
      <c r="H1349" t="str">
        <f t="shared" ref="H1349:H1365" si="85">B1349</f>
        <v>Orçun SEVGİ</v>
      </c>
      <c r="I1349" t="str">
        <f t="shared" ref="I1349:I1365" si="86">CONCATENATE(E1349,F1349," ",D1349)</f>
        <v>12E Otomotiv Mekanikerliği</v>
      </c>
      <c r="J1349" t="str">
        <f t="shared" ref="J1349:J1365" si="87">LEFT(I1349,3)</f>
        <v>12E</v>
      </c>
    </row>
    <row r="1350" spans="1:10" x14ac:dyDescent="0.25">
      <c r="A1350" s="3">
        <v>32344796592</v>
      </c>
      <c r="B1350" s="3" t="s">
        <v>1471</v>
      </c>
      <c r="C1350" s="3" t="s">
        <v>12</v>
      </c>
      <c r="D1350" s="3" t="s">
        <v>314</v>
      </c>
      <c r="E1350" s="3">
        <v>12</v>
      </c>
      <c r="F1350" s="3" t="s">
        <v>92</v>
      </c>
      <c r="G1350" s="4" t="str">
        <f t="shared" si="84"/>
        <v>96592</v>
      </c>
      <c r="H1350" t="str">
        <f t="shared" si="85"/>
        <v>Recep AKYÜREK</v>
      </c>
      <c r="I1350" t="str">
        <f t="shared" si="86"/>
        <v>12E Otomotiv Mekanikerliği</v>
      </c>
      <c r="J1350" t="str">
        <f t="shared" si="87"/>
        <v>12E</v>
      </c>
    </row>
    <row r="1351" spans="1:10" x14ac:dyDescent="0.25">
      <c r="A1351" s="3">
        <v>13853781590</v>
      </c>
      <c r="B1351" s="3" t="s">
        <v>1472</v>
      </c>
      <c r="C1351" s="3" t="s">
        <v>12</v>
      </c>
      <c r="D1351" s="3" t="s">
        <v>314</v>
      </c>
      <c r="E1351" s="3">
        <v>12</v>
      </c>
      <c r="F1351" s="3" t="s">
        <v>92</v>
      </c>
      <c r="G1351" s="4" t="str">
        <f t="shared" si="84"/>
        <v>81590</v>
      </c>
      <c r="H1351" t="str">
        <f t="shared" si="85"/>
        <v>Taner ESEN</v>
      </c>
      <c r="I1351" t="str">
        <f t="shared" si="86"/>
        <v>12E Otomotiv Mekanikerliği</v>
      </c>
      <c r="J1351" t="str">
        <f t="shared" si="87"/>
        <v>12E</v>
      </c>
    </row>
    <row r="1352" spans="1:10" x14ac:dyDescent="0.25">
      <c r="A1352" s="3">
        <v>13916878014</v>
      </c>
      <c r="B1352" s="3" t="s">
        <v>1473</v>
      </c>
      <c r="C1352" s="3" t="s">
        <v>12</v>
      </c>
      <c r="D1352" s="3" t="s">
        <v>314</v>
      </c>
      <c r="E1352" s="3">
        <v>12</v>
      </c>
      <c r="F1352" s="3" t="s">
        <v>92</v>
      </c>
      <c r="G1352" s="4" t="str">
        <f t="shared" si="84"/>
        <v>78014</v>
      </c>
      <c r="H1352" t="str">
        <f t="shared" si="85"/>
        <v>Tayyip Erdoğan KAHRAMANOĞLU</v>
      </c>
      <c r="I1352" t="str">
        <f t="shared" si="86"/>
        <v>12E Otomotiv Mekanikerliği</v>
      </c>
      <c r="J1352" t="str">
        <f t="shared" si="87"/>
        <v>12E</v>
      </c>
    </row>
    <row r="1353" spans="1:10" x14ac:dyDescent="0.25">
      <c r="A1353" s="3">
        <v>10725013964</v>
      </c>
      <c r="B1353" s="3" t="s">
        <v>1474</v>
      </c>
      <c r="C1353" s="3" t="s">
        <v>12</v>
      </c>
      <c r="D1353" s="3" t="s">
        <v>314</v>
      </c>
      <c r="E1353" s="3">
        <v>12</v>
      </c>
      <c r="F1353" s="3" t="s">
        <v>92</v>
      </c>
      <c r="G1353" s="4" t="str">
        <f t="shared" si="84"/>
        <v>13964</v>
      </c>
      <c r="H1353" t="str">
        <f t="shared" si="85"/>
        <v>Yıldıray SADIÇ</v>
      </c>
      <c r="I1353" t="str">
        <f t="shared" si="86"/>
        <v>12E Otomotiv Mekanikerliği</v>
      </c>
      <c r="J1353" t="str">
        <f t="shared" si="87"/>
        <v>12E</v>
      </c>
    </row>
    <row r="1354" spans="1:10" x14ac:dyDescent="0.25">
      <c r="A1354" s="3">
        <v>13775724590</v>
      </c>
      <c r="B1354" s="3" t="s">
        <v>1475</v>
      </c>
      <c r="C1354" s="3" t="s">
        <v>12</v>
      </c>
      <c r="D1354" s="3" t="s">
        <v>345</v>
      </c>
      <c r="E1354" s="3">
        <v>12</v>
      </c>
      <c r="F1354" s="3" t="s">
        <v>209</v>
      </c>
      <c r="G1354" s="4" t="str">
        <f t="shared" si="84"/>
        <v>24590</v>
      </c>
      <c r="H1354" t="str">
        <f t="shared" si="85"/>
        <v>Furkan KARAMAN</v>
      </c>
      <c r="I1354" t="str">
        <f t="shared" si="86"/>
        <v>12D3 Otomotiv Motor Yenileştirmeciliği</v>
      </c>
      <c r="J1354" t="str">
        <f t="shared" si="87"/>
        <v>12D</v>
      </c>
    </row>
    <row r="1355" spans="1:10" x14ac:dyDescent="0.25">
      <c r="A1355" s="3">
        <v>50194510410</v>
      </c>
      <c r="B1355" s="3" t="s">
        <v>1476</v>
      </c>
      <c r="C1355" s="3" t="s">
        <v>12</v>
      </c>
      <c r="D1355" s="3" t="s">
        <v>348</v>
      </c>
      <c r="E1355" s="3">
        <v>12</v>
      </c>
      <c r="F1355" s="3" t="s">
        <v>1477</v>
      </c>
      <c r="G1355" s="4" t="str">
        <f t="shared" si="84"/>
        <v>10410</v>
      </c>
      <c r="H1355" t="str">
        <f t="shared" si="85"/>
        <v>Ali DEMİREL</v>
      </c>
      <c r="I1355" t="str">
        <f t="shared" si="86"/>
        <v>12E3 Ön Düzen Ayarcılığı Ve Lastikçilik</v>
      </c>
      <c r="J1355" t="str">
        <f t="shared" si="87"/>
        <v>12E</v>
      </c>
    </row>
    <row r="1356" spans="1:10" x14ac:dyDescent="0.25">
      <c r="A1356" s="3">
        <v>10418836214</v>
      </c>
      <c r="B1356" s="3" t="s">
        <v>1478</v>
      </c>
      <c r="C1356" s="3" t="s">
        <v>898</v>
      </c>
      <c r="D1356" s="3" t="s">
        <v>348</v>
      </c>
      <c r="E1356" s="3">
        <v>12</v>
      </c>
      <c r="F1356" s="3" t="s">
        <v>1477</v>
      </c>
      <c r="G1356" s="4" t="str">
        <f t="shared" si="84"/>
        <v>36214</v>
      </c>
      <c r="H1356" t="str">
        <f t="shared" si="85"/>
        <v>Cengizhan GÜMÜŞTAŞ</v>
      </c>
      <c r="I1356" t="str">
        <f t="shared" si="86"/>
        <v>12E3 Ön Düzen Ayarcılığı Ve Lastikçilik</v>
      </c>
      <c r="J1356" t="str">
        <f t="shared" si="87"/>
        <v>12E</v>
      </c>
    </row>
    <row r="1357" spans="1:10" x14ac:dyDescent="0.25">
      <c r="A1357" s="3">
        <v>16655883226</v>
      </c>
      <c r="B1357" s="3" t="s">
        <v>1479</v>
      </c>
      <c r="C1357" s="3" t="s">
        <v>12</v>
      </c>
      <c r="D1357" s="3" t="s">
        <v>348</v>
      </c>
      <c r="E1357" s="3">
        <v>12</v>
      </c>
      <c r="F1357" s="3" t="s">
        <v>1477</v>
      </c>
      <c r="G1357" s="4" t="str">
        <f t="shared" si="84"/>
        <v>83226</v>
      </c>
      <c r="H1357" t="str">
        <f t="shared" si="85"/>
        <v>İslam YALİN</v>
      </c>
      <c r="I1357" t="str">
        <f t="shared" si="86"/>
        <v>12E3 Ön Düzen Ayarcılığı Ve Lastikçilik</v>
      </c>
      <c r="J1357" t="str">
        <f t="shared" si="87"/>
        <v>12E</v>
      </c>
    </row>
    <row r="1358" spans="1:10" x14ac:dyDescent="0.25">
      <c r="A1358" s="3">
        <v>13313800144</v>
      </c>
      <c r="B1358" s="3" t="s">
        <v>1480</v>
      </c>
      <c r="C1358" s="3" t="s">
        <v>12</v>
      </c>
      <c r="D1358" s="3" t="s">
        <v>348</v>
      </c>
      <c r="E1358" s="3">
        <v>12</v>
      </c>
      <c r="F1358" s="3" t="s">
        <v>1477</v>
      </c>
      <c r="G1358" s="4" t="str">
        <f t="shared" si="84"/>
        <v>00144</v>
      </c>
      <c r="H1358" t="str">
        <f t="shared" si="85"/>
        <v>Osman Dijvar ÇAYIN</v>
      </c>
      <c r="I1358" t="str">
        <f t="shared" si="86"/>
        <v>12E3 Ön Düzen Ayarcılığı Ve Lastikçilik</v>
      </c>
      <c r="J1358" t="str">
        <f t="shared" si="87"/>
        <v>12E</v>
      </c>
    </row>
    <row r="1359" spans="1:10" x14ac:dyDescent="0.25">
      <c r="A1359" s="3">
        <v>13886721488</v>
      </c>
      <c r="B1359" s="3" t="s">
        <v>1481</v>
      </c>
      <c r="C1359" s="3" t="s">
        <v>12</v>
      </c>
      <c r="D1359" s="3" t="s">
        <v>354</v>
      </c>
      <c r="E1359" s="3">
        <v>12</v>
      </c>
      <c r="F1359" s="3" t="s">
        <v>1482</v>
      </c>
      <c r="G1359" s="4" t="str">
        <f t="shared" si="84"/>
        <v>21488</v>
      </c>
      <c r="H1359" t="str">
        <f t="shared" si="85"/>
        <v>Efe Yusuf TANIR</v>
      </c>
      <c r="I1359" t="str">
        <f t="shared" si="86"/>
        <v>12E5 Pasta Ve Tatlı Yapımı</v>
      </c>
      <c r="J1359" t="str">
        <f t="shared" si="87"/>
        <v>12E</v>
      </c>
    </row>
    <row r="1360" spans="1:10" x14ac:dyDescent="0.25">
      <c r="A1360" s="3">
        <v>21773458232</v>
      </c>
      <c r="B1360" s="3" t="s">
        <v>1483</v>
      </c>
      <c r="C1360" s="3" t="s">
        <v>12</v>
      </c>
      <c r="D1360" s="3" t="s">
        <v>354</v>
      </c>
      <c r="E1360" s="3">
        <v>12</v>
      </c>
      <c r="F1360" s="3" t="s">
        <v>1482</v>
      </c>
      <c r="G1360" s="4" t="str">
        <f t="shared" si="84"/>
        <v>58232</v>
      </c>
      <c r="H1360" t="str">
        <f t="shared" si="85"/>
        <v>Elif Tuğçe ÇELİK</v>
      </c>
      <c r="I1360" t="str">
        <f t="shared" si="86"/>
        <v>12E5 Pasta Ve Tatlı Yapımı</v>
      </c>
      <c r="J1360" t="str">
        <f t="shared" si="87"/>
        <v>12E</v>
      </c>
    </row>
    <row r="1361" spans="1:10" x14ac:dyDescent="0.25">
      <c r="A1361" s="3">
        <v>39343872302</v>
      </c>
      <c r="B1361" s="3" t="s">
        <v>1484</v>
      </c>
      <c r="C1361" s="3" t="s">
        <v>12</v>
      </c>
      <c r="D1361" s="3" t="s">
        <v>354</v>
      </c>
      <c r="E1361" s="3">
        <v>12</v>
      </c>
      <c r="F1361" s="3" t="s">
        <v>1482</v>
      </c>
      <c r="G1361" s="4" t="str">
        <f t="shared" si="84"/>
        <v>72302</v>
      </c>
      <c r="H1361" t="str">
        <f t="shared" si="85"/>
        <v>Sude ŞAHİN</v>
      </c>
      <c r="I1361" t="str">
        <f t="shared" si="86"/>
        <v>12E5 Pasta Ve Tatlı Yapımı</v>
      </c>
      <c r="J1361" t="str">
        <f t="shared" si="87"/>
        <v>12E</v>
      </c>
    </row>
    <row r="1362" spans="1:10" x14ac:dyDescent="0.25">
      <c r="A1362" s="3">
        <v>21149478826</v>
      </c>
      <c r="B1362" s="3" t="s">
        <v>1485</v>
      </c>
      <c r="C1362" s="3" t="s">
        <v>12</v>
      </c>
      <c r="D1362" s="3" t="s">
        <v>886</v>
      </c>
      <c r="E1362" s="3">
        <v>12</v>
      </c>
      <c r="F1362" s="3" t="s">
        <v>1486</v>
      </c>
      <c r="G1362" s="4" t="str">
        <f t="shared" si="84"/>
        <v>78826</v>
      </c>
      <c r="H1362" t="str">
        <f t="shared" si="85"/>
        <v>Ebuzer PEKMEZ</v>
      </c>
      <c r="I1362" t="str">
        <f t="shared" si="86"/>
        <v>12B1 Sac İşleri</v>
      </c>
      <c r="J1362" t="str">
        <f t="shared" si="87"/>
        <v>12B</v>
      </c>
    </row>
    <row r="1363" spans="1:10" x14ac:dyDescent="0.25">
      <c r="A1363" s="3">
        <v>57655261928</v>
      </c>
      <c r="B1363" s="3" t="s">
        <v>1487</v>
      </c>
      <c r="C1363" s="3" t="s">
        <v>12</v>
      </c>
      <c r="D1363" s="3" t="s">
        <v>886</v>
      </c>
      <c r="E1363" s="3">
        <v>12</v>
      </c>
      <c r="F1363" s="3" t="s">
        <v>1486</v>
      </c>
      <c r="G1363" s="4" t="str">
        <f t="shared" si="84"/>
        <v>61928</v>
      </c>
      <c r="H1363" t="str">
        <f t="shared" si="85"/>
        <v>Emir Can GÜLMEZ</v>
      </c>
      <c r="I1363" t="str">
        <f t="shared" si="86"/>
        <v>12B1 Sac İşleri</v>
      </c>
      <c r="J1363" t="str">
        <f t="shared" si="87"/>
        <v>12B</v>
      </c>
    </row>
    <row r="1364" spans="1:10" x14ac:dyDescent="0.25">
      <c r="A1364" s="3">
        <v>30269174440</v>
      </c>
      <c r="B1364" s="3" t="s">
        <v>1488</v>
      </c>
      <c r="C1364" s="3" t="s">
        <v>12</v>
      </c>
      <c r="D1364" s="3" t="s">
        <v>886</v>
      </c>
      <c r="E1364" s="3">
        <v>12</v>
      </c>
      <c r="F1364" s="3" t="s">
        <v>1486</v>
      </c>
      <c r="G1364" s="4" t="str">
        <f t="shared" si="84"/>
        <v>74440</v>
      </c>
      <c r="H1364" t="str">
        <f t="shared" si="85"/>
        <v>Mehmet Emin PEKMEZ</v>
      </c>
      <c r="I1364" t="str">
        <f t="shared" si="86"/>
        <v>12B1 Sac İşleri</v>
      </c>
      <c r="J1364" t="str">
        <f t="shared" si="87"/>
        <v>12B</v>
      </c>
    </row>
    <row r="1365" spans="1:10" x14ac:dyDescent="0.25">
      <c r="A1365" s="3">
        <v>23210409708</v>
      </c>
      <c r="B1365" s="3" t="s">
        <v>1489</v>
      </c>
      <c r="C1365" s="3" t="s">
        <v>12</v>
      </c>
      <c r="D1365" s="3" t="s">
        <v>886</v>
      </c>
      <c r="E1365" s="3">
        <v>12</v>
      </c>
      <c r="F1365" s="3" t="s">
        <v>1486</v>
      </c>
      <c r="G1365" s="4" t="str">
        <f t="shared" si="84"/>
        <v>09708</v>
      </c>
      <c r="H1365" t="str">
        <f t="shared" si="85"/>
        <v>Mücahit BAYKAN</v>
      </c>
      <c r="I1365" t="str">
        <f t="shared" si="86"/>
        <v>12B1 Sac İşleri</v>
      </c>
      <c r="J1365" t="str">
        <f t="shared" si="87"/>
        <v>12B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2125-916B-4258-AEEE-C400E400E907}">
  <sheetPr filterMode="1"/>
  <dimension ref="A1:E1363"/>
  <sheetViews>
    <sheetView tabSelected="1" topLeftCell="A155" workbookViewId="0">
      <selection activeCell="D749" sqref="D749"/>
    </sheetView>
  </sheetViews>
  <sheetFormatPr defaultRowHeight="15" x14ac:dyDescent="0.25"/>
  <cols>
    <col min="1" max="1" width="7.7109375" bestFit="1" customWidth="1"/>
    <col min="2" max="2" width="30.28515625" bestFit="1" customWidth="1"/>
    <col min="3" max="3" width="51.7109375" bestFit="1" customWidth="1"/>
    <col min="4" max="4" width="8.42578125" style="4" bestFit="1" customWidth="1"/>
    <col min="5" max="5" width="11.85546875" bestFit="1" customWidth="1"/>
  </cols>
  <sheetData>
    <row r="1" spans="1:5" x14ac:dyDescent="0.25">
      <c r="A1" t="s">
        <v>3050</v>
      </c>
      <c r="B1" t="s">
        <v>3051</v>
      </c>
      <c r="C1" t="s">
        <v>3052</v>
      </c>
    </row>
    <row r="2" spans="1:5" hidden="1" x14ac:dyDescent="0.25">
      <c r="A2" t="s">
        <v>1490</v>
      </c>
      <c r="B2" t="s">
        <v>11</v>
      </c>
      <c r="C2" t="s">
        <v>1491</v>
      </c>
      <c r="D2" s="4" t="s">
        <v>3061</v>
      </c>
      <c r="E2" t="str">
        <f>IF(COUNTIF(Sayfa2!$A$2:$A$8,"*"&amp;D2&amp;"*")&gt;0, Sayfa2!$A$1,
 IF(COUNTIF(Sayfa2!$B$2:$B$8, "*"&amp;D2&amp;"*")&gt;0, Sayfa2!$B$1,
 IF(COUNTIF(Sayfa2!$C$2:$C$8, "*"&amp;D2&amp;"*")&gt;0, Sayfa2!$C$1,
 IF(COUNTIF(Sayfa2!$D$2:$D$8,"*"&amp;D2&amp;"*")&gt;0, Sayfa2!$D$1,
 IF(COUNTIF(Sayfa2!$E$2:$E$8, "*"&amp;D2&amp;"*")&gt;0, Sayfa2!$E$1, "Bulunamadı")))))</f>
        <v>PERŞEMBE</v>
      </c>
    </row>
    <row r="3" spans="1:5" x14ac:dyDescent="0.25">
      <c r="A3" t="s">
        <v>1492</v>
      </c>
      <c r="B3" t="s">
        <v>15</v>
      </c>
      <c r="C3" t="s">
        <v>1493</v>
      </c>
      <c r="D3" s="4" t="s">
        <v>3092</v>
      </c>
      <c r="E3" t="str">
        <f>IF(COUNTIF(Sayfa2!$A$2:$A$8,"*"&amp;D3&amp;"*")&gt;0, Sayfa2!$A$1,
 IF(COUNTIF(Sayfa2!$B$2:$B$8, "*"&amp;D3&amp;"*")&gt;0, Sayfa2!$B$1,
 IF(COUNTIF(Sayfa2!$C$2:$C$8, "*"&amp;D3&amp;"*")&gt;0, Sayfa2!$C$1,
 IF(COUNTIF(Sayfa2!$D$2:$D$8,"*"&amp;D3&amp;"*")&gt;0, Sayfa2!$D$1,
 IF(COUNTIF(Sayfa2!$E$2:$E$8, "*"&amp;D3&amp;"*")&gt;0, Sayfa2!$E$1, "Bulunamadı")))))</f>
        <v>Bulunamadı</v>
      </c>
    </row>
    <row r="4" spans="1:5" x14ac:dyDescent="0.25">
      <c r="A4" t="s">
        <v>1494</v>
      </c>
      <c r="B4" t="s">
        <v>18</v>
      </c>
      <c r="C4" t="s">
        <v>1493</v>
      </c>
      <c r="D4" s="4" t="s">
        <v>3092</v>
      </c>
      <c r="E4" t="str">
        <f>IF(COUNTIF(Sayfa2!$A$2:$A$8,"*"&amp;D4&amp;"*")&gt;0, Sayfa2!$A$1,
 IF(COUNTIF(Sayfa2!$B$2:$B$8, "*"&amp;D4&amp;"*")&gt;0, Sayfa2!$B$1,
 IF(COUNTIF(Sayfa2!$C$2:$C$8, "*"&amp;D4&amp;"*")&gt;0, Sayfa2!$C$1,
 IF(COUNTIF(Sayfa2!$D$2:$D$8,"*"&amp;D4&amp;"*")&gt;0, Sayfa2!$D$1,
 IF(COUNTIF(Sayfa2!$E$2:$E$8, "*"&amp;D4&amp;"*")&gt;0, Sayfa2!$E$1, "Bulunamadı")))))</f>
        <v>Bulunamadı</v>
      </c>
    </row>
    <row r="5" spans="1:5" x14ac:dyDescent="0.25">
      <c r="A5" t="s">
        <v>1495</v>
      </c>
      <c r="B5" t="s">
        <v>19</v>
      </c>
      <c r="C5" t="s">
        <v>1493</v>
      </c>
      <c r="D5" s="4" t="s">
        <v>3092</v>
      </c>
      <c r="E5" t="str">
        <f>IF(COUNTIF(Sayfa2!$A$2:$A$8,"*"&amp;D5&amp;"*")&gt;0, Sayfa2!$A$1,
 IF(COUNTIF(Sayfa2!$B$2:$B$8, "*"&amp;D5&amp;"*")&gt;0, Sayfa2!$B$1,
 IF(COUNTIF(Sayfa2!$C$2:$C$8, "*"&amp;D5&amp;"*")&gt;0, Sayfa2!$C$1,
 IF(COUNTIF(Sayfa2!$D$2:$D$8,"*"&amp;D5&amp;"*")&gt;0, Sayfa2!$D$1,
 IF(COUNTIF(Sayfa2!$E$2:$E$8, "*"&amp;D5&amp;"*")&gt;0, Sayfa2!$E$1, "Bulunamadı")))))</f>
        <v>Bulunamadı</v>
      </c>
    </row>
    <row r="6" spans="1:5" x14ac:dyDescent="0.25">
      <c r="A6" t="s">
        <v>1496</v>
      </c>
      <c r="B6" t="s">
        <v>20</v>
      </c>
      <c r="C6" t="s">
        <v>1493</v>
      </c>
      <c r="D6" s="4" t="s">
        <v>3092</v>
      </c>
      <c r="E6" t="str">
        <f>IF(COUNTIF(Sayfa2!$A$2:$A$8,"*"&amp;D6&amp;"*")&gt;0, Sayfa2!$A$1,
 IF(COUNTIF(Sayfa2!$B$2:$B$8, "*"&amp;D6&amp;"*")&gt;0, Sayfa2!$B$1,
 IF(COUNTIF(Sayfa2!$C$2:$C$8, "*"&amp;D6&amp;"*")&gt;0, Sayfa2!$C$1,
 IF(COUNTIF(Sayfa2!$D$2:$D$8,"*"&amp;D6&amp;"*")&gt;0, Sayfa2!$D$1,
 IF(COUNTIF(Sayfa2!$E$2:$E$8, "*"&amp;D6&amp;"*")&gt;0, Sayfa2!$E$1, "Bulunamadı")))))</f>
        <v>Bulunamadı</v>
      </c>
    </row>
    <row r="7" spans="1:5" x14ac:dyDescent="0.25">
      <c r="A7" t="s">
        <v>1497</v>
      </c>
      <c r="B7" t="s">
        <v>21</v>
      </c>
      <c r="C7" t="s">
        <v>1493</v>
      </c>
      <c r="D7" s="4" t="s">
        <v>3092</v>
      </c>
      <c r="E7" t="str">
        <f>IF(COUNTIF(Sayfa2!$A$2:$A$8,"*"&amp;D7&amp;"*")&gt;0, Sayfa2!$A$1,
 IF(COUNTIF(Sayfa2!$B$2:$B$8, "*"&amp;D7&amp;"*")&gt;0, Sayfa2!$B$1,
 IF(COUNTIF(Sayfa2!$C$2:$C$8, "*"&amp;D7&amp;"*")&gt;0, Sayfa2!$C$1,
 IF(COUNTIF(Sayfa2!$D$2:$D$8,"*"&amp;D7&amp;"*")&gt;0, Sayfa2!$D$1,
 IF(COUNTIF(Sayfa2!$E$2:$E$8, "*"&amp;D7&amp;"*")&gt;0, Sayfa2!$E$1, "Bulunamadı")))))</f>
        <v>Bulunamadı</v>
      </c>
    </row>
    <row r="8" spans="1:5" x14ac:dyDescent="0.25">
      <c r="A8" t="s">
        <v>1498</v>
      </c>
      <c r="B8" t="s">
        <v>22</v>
      </c>
      <c r="C8" t="s">
        <v>1493</v>
      </c>
      <c r="D8" s="4" t="s">
        <v>3092</v>
      </c>
      <c r="E8" t="str">
        <f>IF(COUNTIF(Sayfa2!$A$2:$A$8,"*"&amp;D8&amp;"*")&gt;0, Sayfa2!$A$1,
 IF(COUNTIF(Sayfa2!$B$2:$B$8, "*"&amp;D8&amp;"*")&gt;0, Sayfa2!$B$1,
 IF(COUNTIF(Sayfa2!$C$2:$C$8, "*"&amp;D8&amp;"*")&gt;0, Sayfa2!$C$1,
 IF(COUNTIF(Sayfa2!$D$2:$D$8,"*"&amp;D8&amp;"*")&gt;0, Sayfa2!$D$1,
 IF(COUNTIF(Sayfa2!$E$2:$E$8, "*"&amp;D8&amp;"*")&gt;0, Sayfa2!$E$1, "Bulunamadı")))))</f>
        <v>Bulunamadı</v>
      </c>
    </row>
    <row r="9" spans="1:5" x14ac:dyDescent="0.25">
      <c r="A9" t="s">
        <v>1499</v>
      </c>
      <c r="B9" t="s">
        <v>23</v>
      </c>
      <c r="C9" t="s">
        <v>1493</v>
      </c>
      <c r="D9" s="4" t="s">
        <v>3092</v>
      </c>
      <c r="E9" t="str">
        <f>IF(COUNTIF(Sayfa2!$A$2:$A$8,"*"&amp;D9&amp;"*")&gt;0, Sayfa2!$A$1,
 IF(COUNTIF(Sayfa2!$B$2:$B$8, "*"&amp;D9&amp;"*")&gt;0, Sayfa2!$B$1,
 IF(COUNTIF(Sayfa2!$C$2:$C$8, "*"&amp;D9&amp;"*")&gt;0, Sayfa2!$C$1,
 IF(COUNTIF(Sayfa2!$D$2:$D$8,"*"&amp;D9&amp;"*")&gt;0, Sayfa2!$D$1,
 IF(COUNTIF(Sayfa2!$E$2:$E$8, "*"&amp;D9&amp;"*")&gt;0, Sayfa2!$E$1, "Bulunamadı")))))</f>
        <v>Bulunamadı</v>
      </c>
    </row>
    <row r="10" spans="1:5" x14ac:dyDescent="0.25">
      <c r="A10" t="s">
        <v>1500</v>
      </c>
      <c r="B10" t="s">
        <v>24</v>
      </c>
      <c r="C10" t="s">
        <v>1493</v>
      </c>
      <c r="D10" s="4" t="s">
        <v>3092</v>
      </c>
      <c r="E10" t="str">
        <f>IF(COUNTIF(Sayfa2!$A$2:$A$8,"*"&amp;D10&amp;"*")&gt;0, Sayfa2!$A$1,
 IF(COUNTIF(Sayfa2!$B$2:$B$8, "*"&amp;D10&amp;"*")&gt;0, Sayfa2!$B$1,
 IF(COUNTIF(Sayfa2!$C$2:$C$8, "*"&amp;D10&amp;"*")&gt;0, Sayfa2!$C$1,
 IF(COUNTIF(Sayfa2!$D$2:$D$8,"*"&amp;D10&amp;"*")&gt;0, Sayfa2!$D$1,
 IF(COUNTIF(Sayfa2!$E$2:$E$8, "*"&amp;D10&amp;"*")&gt;0, Sayfa2!$E$1, "Bulunamadı")))))</f>
        <v>Bulunamadı</v>
      </c>
    </row>
    <row r="11" spans="1:5" x14ac:dyDescent="0.25">
      <c r="A11" t="s">
        <v>1501</v>
      </c>
      <c r="B11" t="s">
        <v>25</v>
      </c>
      <c r="C11" t="s">
        <v>1493</v>
      </c>
      <c r="D11" s="4" t="s">
        <v>3092</v>
      </c>
      <c r="E11" t="str">
        <f>IF(COUNTIF(Sayfa2!$A$2:$A$8,"*"&amp;D11&amp;"*")&gt;0, Sayfa2!$A$1,
 IF(COUNTIF(Sayfa2!$B$2:$B$8, "*"&amp;D11&amp;"*")&gt;0, Sayfa2!$B$1,
 IF(COUNTIF(Sayfa2!$C$2:$C$8, "*"&amp;D11&amp;"*")&gt;0, Sayfa2!$C$1,
 IF(COUNTIF(Sayfa2!$D$2:$D$8,"*"&amp;D11&amp;"*")&gt;0, Sayfa2!$D$1,
 IF(COUNTIF(Sayfa2!$E$2:$E$8, "*"&amp;D11&amp;"*")&gt;0, Sayfa2!$E$1, "Bulunamadı")))))</f>
        <v>Bulunamadı</v>
      </c>
    </row>
    <row r="12" spans="1:5" hidden="1" x14ac:dyDescent="0.25">
      <c r="A12" t="s">
        <v>1502</v>
      </c>
      <c r="B12" t="s">
        <v>26</v>
      </c>
      <c r="C12" t="s">
        <v>1503</v>
      </c>
      <c r="D12" s="4" t="s">
        <v>3093</v>
      </c>
      <c r="E12" t="str">
        <f>IF(COUNTIF(Sayfa2!$A$2:$A$8,"*"&amp;D12&amp;"*")&gt;0, Sayfa2!$A$1,
 IF(COUNTIF(Sayfa2!$B$2:$B$8, "*"&amp;D12&amp;"*")&gt;0, Sayfa2!$B$1,
 IF(COUNTIF(Sayfa2!$C$2:$C$8, "*"&amp;D12&amp;"*")&gt;0, Sayfa2!$C$1,
 IF(COUNTIF(Sayfa2!$D$2:$D$8,"*"&amp;D12&amp;"*")&gt;0, Sayfa2!$D$1,
 IF(COUNTIF(Sayfa2!$E$2:$E$8, "*"&amp;D12&amp;"*")&gt;0, Sayfa2!$E$1, "Bulunamadı")))))</f>
        <v>PAZARTESİ</v>
      </c>
    </row>
    <row r="13" spans="1:5" hidden="1" x14ac:dyDescent="0.25">
      <c r="A13" t="s">
        <v>1504</v>
      </c>
      <c r="B13" t="s">
        <v>29</v>
      </c>
      <c r="C13" t="s">
        <v>1503</v>
      </c>
      <c r="D13" s="4" t="s">
        <v>3093</v>
      </c>
      <c r="E13" t="str">
        <f>IF(COUNTIF(Sayfa2!$A$2:$A$8,"*"&amp;D13&amp;"*")&gt;0, Sayfa2!$A$1,
 IF(COUNTIF(Sayfa2!$B$2:$B$8, "*"&amp;D13&amp;"*")&gt;0, Sayfa2!$B$1,
 IF(COUNTIF(Sayfa2!$C$2:$C$8, "*"&amp;D13&amp;"*")&gt;0, Sayfa2!$C$1,
 IF(COUNTIF(Sayfa2!$D$2:$D$8,"*"&amp;D13&amp;"*")&gt;0, Sayfa2!$D$1,
 IF(COUNTIF(Sayfa2!$E$2:$E$8, "*"&amp;D13&amp;"*")&gt;0, Sayfa2!$E$1, "Bulunamadı")))))</f>
        <v>PAZARTESİ</v>
      </c>
    </row>
    <row r="14" spans="1:5" hidden="1" x14ac:dyDescent="0.25">
      <c r="A14" t="s">
        <v>1505</v>
      </c>
      <c r="B14" t="s">
        <v>30</v>
      </c>
      <c r="C14" t="s">
        <v>1506</v>
      </c>
      <c r="D14" s="4" t="s">
        <v>3094</v>
      </c>
      <c r="E14" t="str">
        <f>IF(COUNTIF(Sayfa2!$A$2:$A$8,"*"&amp;D14&amp;"*")&gt;0, Sayfa2!$A$1,
 IF(COUNTIF(Sayfa2!$B$2:$B$8, "*"&amp;D14&amp;"*")&gt;0, Sayfa2!$B$1,
 IF(COUNTIF(Sayfa2!$C$2:$C$8, "*"&amp;D14&amp;"*")&gt;0, Sayfa2!$C$1,
 IF(COUNTIF(Sayfa2!$D$2:$D$8,"*"&amp;D14&amp;"*")&gt;0, Sayfa2!$D$1,
 IF(COUNTIF(Sayfa2!$E$2:$E$8, "*"&amp;D14&amp;"*")&gt;0, Sayfa2!$E$1, "Bulunamadı")))))</f>
        <v>CUMA</v>
      </c>
    </row>
    <row r="15" spans="1:5" hidden="1" x14ac:dyDescent="0.25">
      <c r="A15" t="s">
        <v>1507</v>
      </c>
      <c r="B15" t="s">
        <v>33</v>
      </c>
      <c r="C15" t="s">
        <v>1506</v>
      </c>
      <c r="D15" s="4" t="s">
        <v>3094</v>
      </c>
      <c r="E15" t="str">
        <f>IF(COUNTIF(Sayfa2!$A$2:$A$8,"*"&amp;D15&amp;"*")&gt;0, Sayfa2!$A$1,
 IF(COUNTIF(Sayfa2!$B$2:$B$8, "*"&amp;D15&amp;"*")&gt;0, Sayfa2!$B$1,
 IF(COUNTIF(Sayfa2!$C$2:$C$8, "*"&amp;D15&amp;"*")&gt;0, Sayfa2!$C$1,
 IF(COUNTIF(Sayfa2!$D$2:$D$8,"*"&amp;D15&amp;"*")&gt;0, Sayfa2!$D$1,
 IF(COUNTIF(Sayfa2!$E$2:$E$8, "*"&amp;D15&amp;"*")&gt;0, Sayfa2!$E$1, "Bulunamadı")))))</f>
        <v>CUMA</v>
      </c>
    </row>
    <row r="16" spans="1:5" hidden="1" x14ac:dyDescent="0.25">
      <c r="A16" t="s">
        <v>1508</v>
      </c>
      <c r="B16" t="s">
        <v>34</v>
      </c>
      <c r="C16" t="s">
        <v>1506</v>
      </c>
      <c r="D16" s="4" t="s">
        <v>3094</v>
      </c>
      <c r="E16" t="str">
        <f>IF(COUNTIF(Sayfa2!$A$2:$A$8,"*"&amp;D16&amp;"*")&gt;0, Sayfa2!$A$1,
 IF(COUNTIF(Sayfa2!$B$2:$B$8, "*"&amp;D16&amp;"*")&gt;0, Sayfa2!$B$1,
 IF(COUNTIF(Sayfa2!$C$2:$C$8, "*"&amp;D16&amp;"*")&gt;0, Sayfa2!$C$1,
 IF(COUNTIF(Sayfa2!$D$2:$D$8,"*"&amp;D16&amp;"*")&gt;0, Sayfa2!$D$1,
 IF(COUNTIF(Sayfa2!$E$2:$E$8, "*"&amp;D16&amp;"*")&gt;0, Sayfa2!$E$1, "Bulunamadı")))))</f>
        <v>CUMA</v>
      </c>
    </row>
    <row r="17" spans="1:5" hidden="1" x14ac:dyDescent="0.25">
      <c r="A17" t="s">
        <v>1509</v>
      </c>
      <c r="B17" t="s">
        <v>35</v>
      </c>
      <c r="C17" t="s">
        <v>1506</v>
      </c>
      <c r="D17" s="4" t="s">
        <v>3094</v>
      </c>
      <c r="E17" t="str">
        <f>IF(COUNTIF(Sayfa2!$A$2:$A$8,"*"&amp;D17&amp;"*")&gt;0, Sayfa2!$A$1,
 IF(COUNTIF(Sayfa2!$B$2:$B$8, "*"&amp;D17&amp;"*")&gt;0, Sayfa2!$B$1,
 IF(COUNTIF(Sayfa2!$C$2:$C$8, "*"&amp;D17&amp;"*")&gt;0, Sayfa2!$C$1,
 IF(COUNTIF(Sayfa2!$D$2:$D$8,"*"&amp;D17&amp;"*")&gt;0, Sayfa2!$D$1,
 IF(COUNTIF(Sayfa2!$E$2:$E$8, "*"&amp;D17&amp;"*")&gt;0, Sayfa2!$E$1, "Bulunamadı")))))</f>
        <v>CUMA</v>
      </c>
    </row>
    <row r="18" spans="1:5" hidden="1" x14ac:dyDescent="0.25">
      <c r="A18" t="s">
        <v>1510</v>
      </c>
      <c r="B18" t="s">
        <v>36</v>
      </c>
      <c r="C18" t="s">
        <v>1506</v>
      </c>
      <c r="D18" s="4" t="s">
        <v>3094</v>
      </c>
      <c r="E18" t="str">
        <f>IF(COUNTIF(Sayfa2!$A$2:$A$8,"*"&amp;D18&amp;"*")&gt;0, Sayfa2!$A$1,
 IF(COUNTIF(Sayfa2!$B$2:$B$8, "*"&amp;D18&amp;"*")&gt;0, Sayfa2!$B$1,
 IF(COUNTIF(Sayfa2!$C$2:$C$8, "*"&amp;D18&amp;"*")&gt;0, Sayfa2!$C$1,
 IF(COUNTIF(Sayfa2!$D$2:$D$8,"*"&amp;D18&amp;"*")&gt;0, Sayfa2!$D$1,
 IF(COUNTIF(Sayfa2!$E$2:$E$8, "*"&amp;D18&amp;"*")&gt;0, Sayfa2!$E$1, "Bulunamadı")))))</f>
        <v>CUMA</v>
      </c>
    </row>
    <row r="19" spans="1:5" hidden="1" x14ac:dyDescent="0.25">
      <c r="A19" t="s">
        <v>1511</v>
      </c>
      <c r="B19" t="s">
        <v>37</v>
      </c>
      <c r="C19" t="s">
        <v>1506</v>
      </c>
      <c r="D19" s="4" t="s">
        <v>3094</v>
      </c>
      <c r="E19" t="str">
        <f>IF(COUNTIF(Sayfa2!$A$2:$A$8,"*"&amp;D19&amp;"*")&gt;0, Sayfa2!$A$1,
 IF(COUNTIF(Sayfa2!$B$2:$B$8, "*"&amp;D19&amp;"*")&gt;0, Sayfa2!$B$1,
 IF(COUNTIF(Sayfa2!$C$2:$C$8, "*"&amp;D19&amp;"*")&gt;0, Sayfa2!$C$1,
 IF(COUNTIF(Sayfa2!$D$2:$D$8,"*"&amp;D19&amp;"*")&gt;0, Sayfa2!$D$1,
 IF(COUNTIF(Sayfa2!$E$2:$E$8, "*"&amp;D19&amp;"*")&gt;0, Sayfa2!$E$1, "Bulunamadı")))))</f>
        <v>CUMA</v>
      </c>
    </row>
    <row r="20" spans="1:5" hidden="1" x14ac:dyDescent="0.25">
      <c r="A20" t="s">
        <v>1512</v>
      </c>
      <c r="B20" t="s">
        <v>38</v>
      </c>
      <c r="C20" t="s">
        <v>1506</v>
      </c>
      <c r="D20" s="4" t="s">
        <v>3094</v>
      </c>
      <c r="E20" t="str">
        <f>IF(COUNTIF(Sayfa2!$A$2:$A$8,"*"&amp;D20&amp;"*")&gt;0, Sayfa2!$A$1,
 IF(COUNTIF(Sayfa2!$B$2:$B$8, "*"&amp;D20&amp;"*")&gt;0, Sayfa2!$B$1,
 IF(COUNTIF(Sayfa2!$C$2:$C$8, "*"&amp;D20&amp;"*")&gt;0, Sayfa2!$C$1,
 IF(COUNTIF(Sayfa2!$D$2:$D$8,"*"&amp;D20&amp;"*")&gt;0, Sayfa2!$D$1,
 IF(COUNTIF(Sayfa2!$E$2:$E$8, "*"&amp;D20&amp;"*")&gt;0, Sayfa2!$E$1, "Bulunamadı")))))</f>
        <v>CUMA</v>
      </c>
    </row>
    <row r="21" spans="1:5" hidden="1" x14ac:dyDescent="0.25">
      <c r="A21" t="s">
        <v>1513</v>
      </c>
      <c r="B21" t="s">
        <v>39</v>
      </c>
      <c r="C21" t="s">
        <v>1506</v>
      </c>
      <c r="D21" s="4" t="s">
        <v>3094</v>
      </c>
      <c r="E21" t="str">
        <f>IF(COUNTIF(Sayfa2!$A$2:$A$8,"*"&amp;D21&amp;"*")&gt;0, Sayfa2!$A$1,
 IF(COUNTIF(Sayfa2!$B$2:$B$8, "*"&amp;D21&amp;"*")&gt;0, Sayfa2!$B$1,
 IF(COUNTIF(Sayfa2!$C$2:$C$8, "*"&amp;D21&amp;"*")&gt;0, Sayfa2!$C$1,
 IF(COUNTIF(Sayfa2!$D$2:$D$8,"*"&amp;D21&amp;"*")&gt;0, Sayfa2!$D$1,
 IF(COUNTIF(Sayfa2!$E$2:$E$8, "*"&amp;D21&amp;"*")&gt;0, Sayfa2!$E$1, "Bulunamadı")))))</f>
        <v>CUMA</v>
      </c>
    </row>
    <row r="22" spans="1:5" hidden="1" x14ac:dyDescent="0.25">
      <c r="A22" t="s">
        <v>1514</v>
      </c>
      <c r="B22" t="s">
        <v>40</v>
      </c>
      <c r="C22" t="s">
        <v>1506</v>
      </c>
      <c r="D22" s="4" t="s">
        <v>3094</v>
      </c>
      <c r="E22" t="str">
        <f>IF(COUNTIF(Sayfa2!$A$2:$A$8,"*"&amp;D22&amp;"*")&gt;0, Sayfa2!$A$1,
 IF(COUNTIF(Sayfa2!$B$2:$B$8, "*"&amp;D22&amp;"*")&gt;0, Sayfa2!$B$1,
 IF(COUNTIF(Sayfa2!$C$2:$C$8, "*"&amp;D22&amp;"*")&gt;0, Sayfa2!$C$1,
 IF(COUNTIF(Sayfa2!$D$2:$D$8,"*"&amp;D22&amp;"*")&gt;0, Sayfa2!$D$1,
 IF(COUNTIF(Sayfa2!$E$2:$E$8, "*"&amp;D22&amp;"*")&gt;0, Sayfa2!$E$1, "Bulunamadı")))))</f>
        <v>CUMA</v>
      </c>
    </row>
    <row r="23" spans="1:5" hidden="1" x14ac:dyDescent="0.25">
      <c r="A23" t="s">
        <v>1515</v>
      </c>
      <c r="B23" t="s">
        <v>41</v>
      </c>
      <c r="C23" t="s">
        <v>1506</v>
      </c>
      <c r="D23" s="4" t="s">
        <v>3094</v>
      </c>
      <c r="E23" t="str">
        <f>IF(COUNTIF(Sayfa2!$A$2:$A$8,"*"&amp;D23&amp;"*")&gt;0, Sayfa2!$A$1,
 IF(COUNTIF(Sayfa2!$B$2:$B$8, "*"&amp;D23&amp;"*")&gt;0, Sayfa2!$B$1,
 IF(COUNTIF(Sayfa2!$C$2:$C$8, "*"&amp;D23&amp;"*")&gt;0, Sayfa2!$C$1,
 IF(COUNTIF(Sayfa2!$D$2:$D$8,"*"&amp;D23&amp;"*")&gt;0, Sayfa2!$D$1,
 IF(COUNTIF(Sayfa2!$E$2:$E$8, "*"&amp;D23&amp;"*")&gt;0, Sayfa2!$E$1, "Bulunamadı")))))</f>
        <v>CUMA</v>
      </c>
    </row>
    <row r="24" spans="1:5" hidden="1" x14ac:dyDescent="0.25">
      <c r="A24" t="s">
        <v>1516</v>
      </c>
      <c r="B24" t="s">
        <v>42</v>
      </c>
      <c r="C24" t="s">
        <v>1506</v>
      </c>
      <c r="D24" s="4" t="s">
        <v>3094</v>
      </c>
      <c r="E24" t="str">
        <f>IF(COUNTIF(Sayfa2!$A$2:$A$8,"*"&amp;D24&amp;"*")&gt;0, Sayfa2!$A$1,
 IF(COUNTIF(Sayfa2!$B$2:$B$8, "*"&amp;D24&amp;"*")&gt;0, Sayfa2!$B$1,
 IF(COUNTIF(Sayfa2!$C$2:$C$8, "*"&amp;D24&amp;"*")&gt;0, Sayfa2!$C$1,
 IF(COUNTIF(Sayfa2!$D$2:$D$8,"*"&amp;D24&amp;"*")&gt;0, Sayfa2!$D$1,
 IF(COUNTIF(Sayfa2!$E$2:$E$8, "*"&amp;D24&amp;"*")&gt;0, Sayfa2!$E$1, "Bulunamadı")))))</f>
        <v>CUMA</v>
      </c>
    </row>
    <row r="25" spans="1:5" hidden="1" x14ac:dyDescent="0.25">
      <c r="A25" t="s">
        <v>1517</v>
      </c>
      <c r="B25" t="s">
        <v>43</v>
      </c>
      <c r="C25" t="s">
        <v>1506</v>
      </c>
      <c r="D25" s="4" t="s">
        <v>3094</v>
      </c>
      <c r="E25" t="str">
        <f>IF(COUNTIF(Sayfa2!$A$2:$A$8,"*"&amp;D25&amp;"*")&gt;0, Sayfa2!$A$1,
 IF(COUNTIF(Sayfa2!$B$2:$B$8, "*"&amp;D25&amp;"*")&gt;0, Sayfa2!$B$1,
 IF(COUNTIF(Sayfa2!$C$2:$C$8, "*"&amp;D25&amp;"*")&gt;0, Sayfa2!$C$1,
 IF(COUNTIF(Sayfa2!$D$2:$D$8,"*"&amp;D25&amp;"*")&gt;0, Sayfa2!$D$1,
 IF(COUNTIF(Sayfa2!$E$2:$E$8, "*"&amp;D25&amp;"*")&gt;0, Sayfa2!$E$1, "Bulunamadı")))))</f>
        <v>CUMA</v>
      </c>
    </row>
    <row r="26" spans="1:5" hidden="1" x14ac:dyDescent="0.25">
      <c r="A26" t="s">
        <v>1518</v>
      </c>
      <c r="B26" t="s">
        <v>44</v>
      </c>
      <c r="C26" t="s">
        <v>1506</v>
      </c>
      <c r="D26" s="4" t="s">
        <v>3094</v>
      </c>
      <c r="E26" t="str">
        <f>IF(COUNTIF(Sayfa2!$A$2:$A$8,"*"&amp;D26&amp;"*")&gt;0, Sayfa2!$A$1,
 IF(COUNTIF(Sayfa2!$B$2:$B$8, "*"&amp;D26&amp;"*")&gt;0, Sayfa2!$B$1,
 IF(COUNTIF(Sayfa2!$C$2:$C$8, "*"&amp;D26&amp;"*")&gt;0, Sayfa2!$C$1,
 IF(COUNTIF(Sayfa2!$D$2:$D$8,"*"&amp;D26&amp;"*")&gt;0, Sayfa2!$D$1,
 IF(COUNTIF(Sayfa2!$E$2:$E$8, "*"&amp;D26&amp;"*")&gt;0, Sayfa2!$E$1, "Bulunamadı")))))</f>
        <v>CUMA</v>
      </c>
    </row>
    <row r="27" spans="1:5" hidden="1" x14ac:dyDescent="0.25">
      <c r="A27" t="s">
        <v>1519</v>
      </c>
      <c r="B27" t="s">
        <v>45</v>
      </c>
      <c r="C27" t="s">
        <v>1506</v>
      </c>
      <c r="D27" s="4" t="s">
        <v>3094</v>
      </c>
      <c r="E27" t="str">
        <f>IF(COUNTIF(Sayfa2!$A$2:$A$8,"*"&amp;D27&amp;"*")&gt;0, Sayfa2!$A$1,
 IF(COUNTIF(Sayfa2!$B$2:$B$8, "*"&amp;D27&amp;"*")&gt;0, Sayfa2!$B$1,
 IF(COUNTIF(Sayfa2!$C$2:$C$8, "*"&amp;D27&amp;"*")&gt;0, Sayfa2!$C$1,
 IF(COUNTIF(Sayfa2!$D$2:$D$8,"*"&amp;D27&amp;"*")&gt;0, Sayfa2!$D$1,
 IF(COUNTIF(Sayfa2!$E$2:$E$8, "*"&amp;D27&amp;"*")&gt;0, Sayfa2!$E$1, "Bulunamadı")))))</f>
        <v>CUMA</v>
      </c>
    </row>
    <row r="28" spans="1:5" hidden="1" x14ac:dyDescent="0.25">
      <c r="A28" t="s">
        <v>1520</v>
      </c>
      <c r="B28" t="s">
        <v>46</v>
      </c>
      <c r="C28" t="s">
        <v>1506</v>
      </c>
      <c r="D28" s="4" t="s">
        <v>3094</v>
      </c>
      <c r="E28" t="str">
        <f>IF(COUNTIF(Sayfa2!$A$2:$A$8,"*"&amp;D28&amp;"*")&gt;0, Sayfa2!$A$1,
 IF(COUNTIF(Sayfa2!$B$2:$B$8, "*"&amp;D28&amp;"*")&gt;0, Sayfa2!$B$1,
 IF(COUNTIF(Sayfa2!$C$2:$C$8, "*"&amp;D28&amp;"*")&gt;0, Sayfa2!$C$1,
 IF(COUNTIF(Sayfa2!$D$2:$D$8,"*"&amp;D28&amp;"*")&gt;0, Sayfa2!$D$1,
 IF(COUNTIF(Sayfa2!$E$2:$E$8, "*"&amp;D28&amp;"*")&gt;0, Sayfa2!$E$1, "Bulunamadı")))))</f>
        <v>CUMA</v>
      </c>
    </row>
    <row r="29" spans="1:5" hidden="1" x14ac:dyDescent="0.25">
      <c r="A29" t="s">
        <v>1521</v>
      </c>
      <c r="B29" t="s">
        <v>47</v>
      </c>
      <c r="C29" t="s">
        <v>1506</v>
      </c>
      <c r="D29" s="4" t="s">
        <v>3094</v>
      </c>
      <c r="E29" t="str">
        <f>IF(COUNTIF(Sayfa2!$A$2:$A$8,"*"&amp;D29&amp;"*")&gt;0, Sayfa2!$A$1,
 IF(COUNTIF(Sayfa2!$B$2:$B$8, "*"&amp;D29&amp;"*")&gt;0, Sayfa2!$B$1,
 IF(COUNTIF(Sayfa2!$C$2:$C$8, "*"&amp;D29&amp;"*")&gt;0, Sayfa2!$C$1,
 IF(COUNTIF(Sayfa2!$D$2:$D$8,"*"&amp;D29&amp;"*")&gt;0, Sayfa2!$D$1,
 IF(COUNTIF(Sayfa2!$E$2:$E$8, "*"&amp;D29&amp;"*")&gt;0, Sayfa2!$E$1, "Bulunamadı")))))</f>
        <v>CUMA</v>
      </c>
    </row>
    <row r="30" spans="1:5" hidden="1" x14ac:dyDescent="0.25">
      <c r="A30" t="s">
        <v>1522</v>
      </c>
      <c r="B30" t="s">
        <v>48</v>
      </c>
      <c r="C30" t="s">
        <v>1506</v>
      </c>
      <c r="D30" s="4" t="s">
        <v>3094</v>
      </c>
      <c r="E30" t="str">
        <f>IF(COUNTIF(Sayfa2!$A$2:$A$8,"*"&amp;D30&amp;"*")&gt;0, Sayfa2!$A$1,
 IF(COUNTIF(Sayfa2!$B$2:$B$8, "*"&amp;D30&amp;"*")&gt;0, Sayfa2!$B$1,
 IF(COUNTIF(Sayfa2!$C$2:$C$8, "*"&amp;D30&amp;"*")&gt;0, Sayfa2!$C$1,
 IF(COUNTIF(Sayfa2!$D$2:$D$8,"*"&amp;D30&amp;"*")&gt;0, Sayfa2!$D$1,
 IF(COUNTIF(Sayfa2!$E$2:$E$8, "*"&amp;D30&amp;"*")&gt;0, Sayfa2!$E$1, "Bulunamadı")))))</f>
        <v>CUMA</v>
      </c>
    </row>
    <row r="31" spans="1:5" hidden="1" x14ac:dyDescent="0.25">
      <c r="A31" t="s">
        <v>1523</v>
      </c>
      <c r="B31" t="s">
        <v>49</v>
      </c>
      <c r="C31" t="s">
        <v>1524</v>
      </c>
      <c r="D31" s="4" t="s">
        <v>3061</v>
      </c>
      <c r="E31" t="str">
        <f>IF(COUNTIF(Sayfa2!$A$2:$A$8,"*"&amp;D31&amp;"*")&gt;0, Sayfa2!$A$1,
 IF(COUNTIF(Sayfa2!$B$2:$B$8, "*"&amp;D31&amp;"*")&gt;0, Sayfa2!$B$1,
 IF(COUNTIF(Sayfa2!$C$2:$C$8, "*"&amp;D31&amp;"*")&gt;0, Sayfa2!$C$1,
 IF(COUNTIF(Sayfa2!$D$2:$D$8,"*"&amp;D31&amp;"*")&gt;0, Sayfa2!$D$1,
 IF(COUNTIF(Sayfa2!$E$2:$E$8, "*"&amp;D31&amp;"*")&gt;0, Sayfa2!$E$1, "Bulunamadı")))))</f>
        <v>PERŞEMBE</v>
      </c>
    </row>
    <row r="32" spans="1:5" hidden="1" x14ac:dyDescent="0.25">
      <c r="A32" t="s">
        <v>1525</v>
      </c>
      <c r="B32" t="s">
        <v>51</v>
      </c>
      <c r="C32" t="s">
        <v>1524</v>
      </c>
      <c r="D32" s="4" t="s">
        <v>3061</v>
      </c>
      <c r="E32" t="str">
        <f>IF(COUNTIF(Sayfa2!$A$2:$A$8,"*"&amp;D32&amp;"*")&gt;0, Sayfa2!$A$1,
 IF(COUNTIF(Sayfa2!$B$2:$B$8, "*"&amp;D32&amp;"*")&gt;0, Sayfa2!$B$1,
 IF(COUNTIF(Sayfa2!$C$2:$C$8, "*"&amp;D32&amp;"*")&gt;0, Sayfa2!$C$1,
 IF(COUNTIF(Sayfa2!$D$2:$D$8,"*"&amp;D32&amp;"*")&gt;0, Sayfa2!$D$1,
 IF(COUNTIF(Sayfa2!$E$2:$E$8, "*"&amp;D32&amp;"*")&gt;0, Sayfa2!$E$1, "Bulunamadı")))))</f>
        <v>PERŞEMBE</v>
      </c>
    </row>
    <row r="33" spans="1:5" hidden="1" x14ac:dyDescent="0.25">
      <c r="A33" t="s">
        <v>1526</v>
      </c>
      <c r="B33" t="s">
        <v>52</v>
      </c>
      <c r="C33" t="s">
        <v>1527</v>
      </c>
      <c r="D33" s="4" t="s">
        <v>3060</v>
      </c>
      <c r="E33" t="str">
        <f>IF(COUNTIF(Sayfa2!$A$2:$A$8,"*"&amp;D33&amp;"*")&gt;0, Sayfa2!$A$1,
 IF(COUNTIF(Sayfa2!$B$2:$B$8, "*"&amp;D33&amp;"*")&gt;0, Sayfa2!$B$1,
 IF(COUNTIF(Sayfa2!$C$2:$C$8, "*"&amp;D33&amp;"*")&gt;0, Sayfa2!$C$1,
 IF(COUNTIF(Sayfa2!$D$2:$D$8,"*"&amp;D33&amp;"*")&gt;0, Sayfa2!$D$1,
 IF(COUNTIF(Sayfa2!$E$2:$E$8, "*"&amp;D33&amp;"*")&gt;0, Sayfa2!$E$1, "Bulunamadı")))))</f>
        <v>ÇARŞAMBA</v>
      </c>
    </row>
    <row r="34" spans="1:5" x14ac:dyDescent="0.25">
      <c r="A34" t="s">
        <v>1528</v>
      </c>
      <c r="B34" t="s">
        <v>54</v>
      </c>
      <c r="C34" t="s">
        <v>1529</v>
      </c>
      <c r="D34" s="4" t="s">
        <v>3104</v>
      </c>
      <c r="E34" t="str">
        <f>IF(COUNTIF(Sayfa2!$A$2:$A$8,"*"&amp;D34&amp;"*")&gt;0, Sayfa2!$A$1,
 IF(COUNTIF(Sayfa2!$B$2:$B$8, "*"&amp;D34&amp;"*")&gt;0, Sayfa2!$B$1,
 IF(COUNTIF(Sayfa2!$C$2:$C$8, "*"&amp;D34&amp;"*")&gt;0, Sayfa2!$C$1,
 IF(COUNTIF(Sayfa2!$D$2:$D$8,"*"&amp;D34&amp;"*")&gt;0, Sayfa2!$D$1,
 IF(COUNTIF(Sayfa2!$E$2:$E$8, "*"&amp;D34&amp;"*")&gt;0, Sayfa2!$E$1, "Bulunamadı")))))</f>
        <v>Bulunamadı</v>
      </c>
    </row>
    <row r="35" spans="1:5" hidden="1" x14ac:dyDescent="0.25">
      <c r="A35" t="s">
        <v>1530</v>
      </c>
      <c r="B35" t="s">
        <v>56</v>
      </c>
      <c r="C35" t="s">
        <v>1531</v>
      </c>
      <c r="D35" s="4" t="s">
        <v>3059</v>
      </c>
      <c r="E35" t="str">
        <f>IF(COUNTIF(Sayfa2!$A$2:$A$8,"*"&amp;D35&amp;"*")&gt;0, Sayfa2!$A$1,
 IF(COUNTIF(Sayfa2!$B$2:$B$8, "*"&amp;D35&amp;"*")&gt;0, Sayfa2!$B$1,
 IF(COUNTIF(Sayfa2!$C$2:$C$8, "*"&amp;D35&amp;"*")&gt;0, Sayfa2!$C$1,
 IF(COUNTIF(Sayfa2!$D$2:$D$8,"*"&amp;D35&amp;"*")&gt;0, Sayfa2!$D$1,
 IF(COUNTIF(Sayfa2!$E$2:$E$8, "*"&amp;D35&amp;"*")&gt;0, Sayfa2!$E$1, "Bulunamadı")))))</f>
        <v>SALI</v>
      </c>
    </row>
    <row r="36" spans="1:5" hidden="1" x14ac:dyDescent="0.25">
      <c r="A36" t="s">
        <v>1532</v>
      </c>
      <c r="B36" t="s">
        <v>59</v>
      </c>
      <c r="C36" t="s">
        <v>1533</v>
      </c>
      <c r="D36" s="4" t="s">
        <v>3061</v>
      </c>
      <c r="E36" t="str">
        <f>IF(COUNTIF(Sayfa2!$A$2:$A$8,"*"&amp;D36&amp;"*")&gt;0, Sayfa2!$A$1,
 IF(COUNTIF(Sayfa2!$B$2:$B$8, "*"&amp;D36&amp;"*")&gt;0, Sayfa2!$B$1,
 IF(COUNTIF(Sayfa2!$C$2:$C$8, "*"&amp;D36&amp;"*")&gt;0, Sayfa2!$C$1,
 IF(COUNTIF(Sayfa2!$D$2:$D$8,"*"&amp;D36&amp;"*")&gt;0, Sayfa2!$D$1,
 IF(COUNTIF(Sayfa2!$E$2:$E$8, "*"&amp;D36&amp;"*")&gt;0, Sayfa2!$E$1, "Bulunamadı")))))</f>
        <v>PERŞEMBE</v>
      </c>
    </row>
    <row r="37" spans="1:5" hidden="1" x14ac:dyDescent="0.25">
      <c r="A37" t="s">
        <v>1534</v>
      </c>
      <c r="B37" t="s">
        <v>61</v>
      </c>
      <c r="C37" t="s">
        <v>1533</v>
      </c>
      <c r="D37" s="4" t="s">
        <v>3061</v>
      </c>
      <c r="E37" t="str">
        <f>IF(COUNTIF(Sayfa2!$A$2:$A$8,"*"&amp;D37&amp;"*")&gt;0, Sayfa2!$A$1,
 IF(COUNTIF(Sayfa2!$B$2:$B$8, "*"&amp;D37&amp;"*")&gt;0, Sayfa2!$B$1,
 IF(COUNTIF(Sayfa2!$C$2:$C$8, "*"&amp;D37&amp;"*")&gt;0, Sayfa2!$C$1,
 IF(COUNTIF(Sayfa2!$D$2:$D$8,"*"&amp;D37&amp;"*")&gt;0, Sayfa2!$D$1,
 IF(COUNTIF(Sayfa2!$E$2:$E$8, "*"&amp;D37&amp;"*")&gt;0, Sayfa2!$E$1, "Bulunamadı")))))</f>
        <v>PERŞEMBE</v>
      </c>
    </row>
    <row r="38" spans="1:5" hidden="1" x14ac:dyDescent="0.25">
      <c r="A38" t="s">
        <v>1535</v>
      </c>
      <c r="B38" t="s">
        <v>62</v>
      </c>
      <c r="C38" t="s">
        <v>1533</v>
      </c>
      <c r="D38" s="4" t="s">
        <v>3061</v>
      </c>
      <c r="E38" t="str">
        <f>IF(COUNTIF(Sayfa2!$A$2:$A$8,"*"&amp;D38&amp;"*")&gt;0, Sayfa2!$A$1,
 IF(COUNTIF(Sayfa2!$B$2:$B$8, "*"&amp;D38&amp;"*")&gt;0, Sayfa2!$B$1,
 IF(COUNTIF(Sayfa2!$C$2:$C$8, "*"&amp;D38&amp;"*")&gt;0, Sayfa2!$C$1,
 IF(COUNTIF(Sayfa2!$D$2:$D$8,"*"&amp;D38&amp;"*")&gt;0, Sayfa2!$D$1,
 IF(COUNTIF(Sayfa2!$E$2:$E$8, "*"&amp;D38&amp;"*")&gt;0, Sayfa2!$E$1, "Bulunamadı")))))</f>
        <v>PERŞEMBE</v>
      </c>
    </row>
    <row r="39" spans="1:5" hidden="1" x14ac:dyDescent="0.25">
      <c r="A39" t="s">
        <v>1536</v>
      </c>
      <c r="B39" t="s">
        <v>63</v>
      </c>
      <c r="C39" t="s">
        <v>1533</v>
      </c>
      <c r="D39" s="4" t="s">
        <v>3061</v>
      </c>
      <c r="E39" t="str">
        <f>IF(COUNTIF(Sayfa2!$A$2:$A$8,"*"&amp;D39&amp;"*")&gt;0, Sayfa2!$A$1,
 IF(COUNTIF(Sayfa2!$B$2:$B$8, "*"&amp;D39&amp;"*")&gt;0, Sayfa2!$B$1,
 IF(COUNTIF(Sayfa2!$C$2:$C$8, "*"&amp;D39&amp;"*")&gt;0, Sayfa2!$C$1,
 IF(COUNTIF(Sayfa2!$D$2:$D$8,"*"&amp;D39&amp;"*")&gt;0, Sayfa2!$D$1,
 IF(COUNTIF(Sayfa2!$E$2:$E$8, "*"&amp;D39&amp;"*")&gt;0, Sayfa2!$E$1, "Bulunamadı")))))</f>
        <v>PERŞEMBE</v>
      </c>
    </row>
    <row r="40" spans="1:5" hidden="1" x14ac:dyDescent="0.25">
      <c r="A40" t="s">
        <v>1537</v>
      </c>
      <c r="B40" t="s">
        <v>64</v>
      </c>
      <c r="C40" t="s">
        <v>1533</v>
      </c>
      <c r="D40" s="4" t="s">
        <v>3061</v>
      </c>
      <c r="E40" t="str">
        <f>IF(COUNTIF(Sayfa2!$A$2:$A$8,"*"&amp;D40&amp;"*")&gt;0, Sayfa2!$A$1,
 IF(COUNTIF(Sayfa2!$B$2:$B$8, "*"&amp;D40&amp;"*")&gt;0, Sayfa2!$B$1,
 IF(COUNTIF(Sayfa2!$C$2:$C$8, "*"&amp;D40&amp;"*")&gt;0, Sayfa2!$C$1,
 IF(COUNTIF(Sayfa2!$D$2:$D$8,"*"&amp;D40&amp;"*")&gt;0, Sayfa2!$D$1,
 IF(COUNTIF(Sayfa2!$E$2:$E$8, "*"&amp;D40&amp;"*")&gt;0, Sayfa2!$E$1, "Bulunamadı")))))</f>
        <v>PERŞEMBE</v>
      </c>
    </row>
    <row r="41" spans="1:5" hidden="1" x14ac:dyDescent="0.25">
      <c r="A41" t="s">
        <v>1538</v>
      </c>
      <c r="B41" t="s">
        <v>65</v>
      </c>
      <c r="C41" t="s">
        <v>1533</v>
      </c>
      <c r="D41" s="4" t="s">
        <v>3061</v>
      </c>
      <c r="E41" t="str">
        <f>IF(COUNTIF(Sayfa2!$A$2:$A$8,"*"&amp;D41&amp;"*")&gt;0, Sayfa2!$A$1,
 IF(COUNTIF(Sayfa2!$B$2:$B$8, "*"&amp;D41&amp;"*")&gt;0, Sayfa2!$B$1,
 IF(COUNTIF(Sayfa2!$C$2:$C$8, "*"&amp;D41&amp;"*")&gt;0, Sayfa2!$C$1,
 IF(COUNTIF(Sayfa2!$D$2:$D$8,"*"&amp;D41&amp;"*")&gt;0, Sayfa2!$D$1,
 IF(COUNTIF(Sayfa2!$E$2:$E$8, "*"&amp;D41&amp;"*")&gt;0, Sayfa2!$E$1, "Bulunamadı")))))</f>
        <v>PERŞEMBE</v>
      </c>
    </row>
    <row r="42" spans="1:5" hidden="1" x14ac:dyDescent="0.25">
      <c r="A42" t="s">
        <v>1539</v>
      </c>
      <c r="B42" t="s">
        <v>66</v>
      </c>
      <c r="C42" t="s">
        <v>1533</v>
      </c>
      <c r="D42" s="4" t="s">
        <v>3061</v>
      </c>
      <c r="E42" t="str">
        <f>IF(COUNTIF(Sayfa2!$A$2:$A$8,"*"&amp;D42&amp;"*")&gt;0, Sayfa2!$A$1,
 IF(COUNTIF(Sayfa2!$B$2:$B$8, "*"&amp;D42&amp;"*")&gt;0, Sayfa2!$B$1,
 IF(COUNTIF(Sayfa2!$C$2:$C$8, "*"&amp;D42&amp;"*")&gt;0, Sayfa2!$C$1,
 IF(COUNTIF(Sayfa2!$D$2:$D$8,"*"&amp;D42&amp;"*")&gt;0, Sayfa2!$D$1,
 IF(COUNTIF(Sayfa2!$E$2:$E$8, "*"&amp;D42&amp;"*")&gt;0, Sayfa2!$E$1, "Bulunamadı")))))</f>
        <v>PERŞEMBE</v>
      </c>
    </row>
    <row r="43" spans="1:5" hidden="1" x14ac:dyDescent="0.25">
      <c r="A43" t="s">
        <v>1540</v>
      </c>
      <c r="B43" t="s">
        <v>67</v>
      </c>
      <c r="C43" t="s">
        <v>1533</v>
      </c>
      <c r="D43" s="4" t="s">
        <v>3061</v>
      </c>
      <c r="E43" t="str">
        <f>IF(COUNTIF(Sayfa2!$A$2:$A$8,"*"&amp;D43&amp;"*")&gt;0, Sayfa2!$A$1,
 IF(COUNTIF(Sayfa2!$B$2:$B$8, "*"&amp;D43&amp;"*")&gt;0, Sayfa2!$B$1,
 IF(COUNTIF(Sayfa2!$C$2:$C$8, "*"&amp;D43&amp;"*")&gt;0, Sayfa2!$C$1,
 IF(COUNTIF(Sayfa2!$D$2:$D$8,"*"&amp;D43&amp;"*")&gt;0, Sayfa2!$D$1,
 IF(COUNTIF(Sayfa2!$E$2:$E$8, "*"&amp;D43&amp;"*")&gt;0, Sayfa2!$E$1, "Bulunamadı")))))</f>
        <v>PERŞEMBE</v>
      </c>
    </row>
    <row r="44" spans="1:5" hidden="1" x14ac:dyDescent="0.25">
      <c r="A44" t="s">
        <v>1541</v>
      </c>
      <c r="B44" t="s">
        <v>68</v>
      </c>
      <c r="C44" t="s">
        <v>1533</v>
      </c>
      <c r="D44" s="4" t="s">
        <v>3061</v>
      </c>
      <c r="E44" t="str">
        <f>IF(COUNTIF(Sayfa2!$A$2:$A$8,"*"&amp;D44&amp;"*")&gt;0, Sayfa2!$A$1,
 IF(COUNTIF(Sayfa2!$B$2:$B$8, "*"&amp;D44&amp;"*")&gt;0, Sayfa2!$B$1,
 IF(COUNTIF(Sayfa2!$C$2:$C$8, "*"&amp;D44&amp;"*")&gt;0, Sayfa2!$C$1,
 IF(COUNTIF(Sayfa2!$D$2:$D$8,"*"&amp;D44&amp;"*")&gt;0, Sayfa2!$D$1,
 IF(COUNTIF(Sayfa2!$E$2:$E$8, "*"&amp;D44&amp;"*")&gt;0, Sayfa2!$E$1, "Bulunamadı")))))</f>
        <v>PERŞEMBE</v>
      </c>
    </row>
    <row r="45" spans="1:5" hidden="1" x14ac:dyDescent="0.25">
      <c r="A45" t="s">
        <v>1542</v>
      </c>
      <c r="B45" t="s">
        <v>69</v>
      </c>
      <c r="C45" t="s">
        <v>1533</v>
      </c>
      <c r="D45" s="4" t="s">
        <v>3061</v>
      </c>
      <c r="E45" t="str">
        <f>IF(COUNTIF(Sayfa2!$A$2:$A$8,"*"&amp;D45&amp;"*")&gt;0, Sayfa2!$A$1,
 IF(COUNTIF(Sayfa2!$B$2:$B$8, "*"&amp;D45&amp;"*")&gt;0, Sayfa2!$B$1,
 IF(COUNTIF(Sayfa2!$C$2:$C$8, "*"&amp;D45&amp;"*")&gt;0, Sayfa2!$C$1,
 IF(COUNTIF(Sayfa2!$D$2:$D$8,"*"&amp;D45&amp;"*")&gt;0, Sayfa2!$D$1,
 IF(COUNTIF(Sayfa2!$E$2:$E$8, "*"&amp;D45&amp;"*")&gt;0, Sayfa2!$E$1, "Bulunamadı")))))</f>
        <v>PERŞEMBE</v>
      </c>
    </row>
    <row r="46" spans="1:5" hidden="1" x14ac:dyDescent="0.25">
      <c r="A46" t="s">
        <v>1543</v>
      </c>
      <c r="B46" t="s">
        <v>70</v>
      </c>
      <c r="C46" t="s">
        <v>1533</v>
      </c>
      <c r="D46" s="4" t="s">
        <v>3061</v>
      </c>
      <c r="E46" t="str">
        <f>IF(COUNTIF(Sayfa2!$A$2:$A$8,"*"&amp;D46&amp;"*")&gt;0, Sayfa2!$A$1,
 IF(COUNTIF(Sayfa2!$B$2:$B$8, "*"&amp;D46&amp;"*")&gt;0, Sayfa2!$B$1,
 IF(COUNTIF(Sayfa2!$C$2:$C$8, "*"&amp;D46&amp;"*")&gt;0, Sayfa2!$C$1,
 IF(COUNTIF(Sayfa2!$D$2:$D$8,"*"&amp;D46&amp;"*")&gt;0, Sayfa2!$D$1,
 IF(COUNTIF(Sayfa2!$E$2:$E$8, "*"&amp;D46&amp;"*")&gt;0, Sayfa2!$E$1, "Bulunamadı")))))</f>
        <v>PERŞEMBE</v>
      </c>
    </row>
    <row r="47" spans="1:5" hidden="1" x14ac:dyDescent="0.25">
      <c r="A47" t="s">
        <v>1544</v>
      </c>
      <c r="B47" t="s">
        <v>71</v>
      </c>
      <c r="C47" t="s">
        <v>1533</v>
      </c>
      <c r="D47" s="4" t="s">
        <v>3061</v>
      </c>
      <c r="E47" t="str">
        <f>IF(COUNTIF(Sayfa2!$A$2:$A$8,"*"&amp;D47&amp;"*")&gt;0, Sayfa2!$A$1,
 IF(COUNTIF(Sayfa2!$B$2:$B$8, "*"&amp;D47&amp;"*")&gt;0, Sayfa2!$B$1,
 IF(COUNTIF(Sayfa2!$C$2:$C$8, "*"&amp;D47&amp;"*")&gt;0, Sayfa2!$C$1,
 IF(COUNTIF(Sayfa2!$D$2:$D$8,"*"&amp;D47&amp;"*")&gt;0, Sayfa2!$D$1,
 IF(COUNTIF(Sayfa2!$E$2:$E$8, "*"&amp;D47&amp;"*")&gt;0, Sayfa2!$E$1, "Bulunamadı")))))</f>
        <v>PERŞEMBE</v>
      </c>
    </row>
    <row r="48" spans="1:5" hidden="1" x14ac:dyDescent="0.25">
      <c r="A48" t="s">
        <v>1545</v>
      </c>
      <c r="B48" t="s">
        <v>72</v>
      </c>
      <c r="C48" t="s">
        <v>1533</v>
      </c>
      <c r="D48" s="4" t="s">
        <v>3061</v>
      </c>
      <c r="E48" t="str">
        <f>IF(COUNTIF(Sayfa2!$A$2:$A$8,"*"&amp;D48&amp;"*")&gt;0, Sayfa2!$A$1,
 IF(COUNTIF(Sayfa2!$B$2:$B$8, "*"&amp;D48&amp;"*")&gt;0, Sayfa2!$B$1,
 IF(COUNTIF(Sayfa2!$C$2:$C$8, "*"&amp;D48&amp;"*")&gt;0, Sayfa2!$C$1,
 IF(COUNTIF(Sayfa2!$D$2:$D$8,"*"&amp;D48&amp;"*")&gt;0, Sayfa2!$D$1,
 IF(COUNTIF(Sayfa2!$E$2:$E$8, "*"&amp;D48&amp;"*")&gt;0, Sayfa2!$E$1, "Bulunamadı")))))</f>
        <v>PERŞEMBE</v>
      </c>
    </row>
    <row r="49" spans="1:5" hidden="1" x14ac:dyDescent="0.25">
      <c r="A49" t="s">
        <v>1546</v>
      </c>
      <c r="B49" t="s">
        <v>73</v>
      </c>
      <c r="C49" t="s">
        <v>1533</v>
      </c>
      <c r="D49" s="4" t="s">
        <v>3061</v>
      </c>
      <c r="E49" t="str">
        <f>IF(COUNTIF(Sayfa2!$A$2:$A$8,"*"&amp;D49&amp;"*")&gt;0, Sayfa2!$A$1,
 IF(COUNTIF(Sayfa2!$B$2:$B$8, "*"&amp;D49&amp;"*")&gt;0, Sayfa2!$B$1,
 IF(COUNTIF(Sayfa2!$C$2:$C$8, "*"&amp;D49&amp;"*")&gt;0, Sayfa2!$C$1,
 IF(COUNTIF(Sayfa2!$D$2:$D$8,"*"&amp;D49&amp;"*")&gt;0, Sayfa2!$D$1,
 IF(COUNTIF(Sayfa2!$E$2:$E$8, "*"&amp;D49&amp;"*")&gt;0, Sayfa2!$E$1, "Bulunamadı")))))</f>
        <v>PERŞEMBE</v>
      </c>
    </row>
    <row r="50" spans="1:5" hidden="1" x14ac:dyDescent="0.25">
      <c r="A50" t="s">
        <v>1547</v>
      </c>
      <c r="B50" t="s">
        <v>74</v>
      </c>
      <c r="C50" t="s">
        <v>1533</v>
      </c>
      <c r="D50" s="4" t="s">
        <v>3061</v>
      </c>
      <c r="E50" t="str">
        <f>IF(COUNTIF(Sayfa2!$A$2:$A$8,"*"&amp;D50&amp;"*")&gt;0, Sayfa2!$A$1,
 IF(COUNTIF(Sayfa2!$B$2:$B$8, "*"&amp;D50&amp;"*")&gt;0, Sayfa2!$B$1,
 IF(COUNTIF(Sayfa2!$C$2:$C$8, "*"&amp;D50&amp;"*")&gt;0, Sayfa2!$C$1,
 IF(COUNTIF(Sayfa2!$D$2:$D$8,"*"&amp;D50&amp;"*")&gt;0, Sayfa2!$D$1,
 IF(COUNTIF(Sayfa2!$E$2:$E$8, "*"&amp;D50&amp;"*")&gt;0, Sayfa2!$E$1, "Bulunamadı")))))</f>
        <v>PERŞEMBE</v>
      </c>
    </row>
    <row r="51" spans="1:5" hidden="1" x14ac:dyDescent="0.25">
      <c r="A51" t="s">
        <v>1548</v>
      </c>
      <c r="B51" t="s">
        <v>75</v>
      </c>
      <c r="C51" t="s">
        <v>1533</v>
      </c>
      <c r="D51" s="4" t="s">
        <v>3061</v>
      </c>
      <c r="E51" t="str">
        <f>IF(COUNTIF(Sayfa2!$A$2:$A$8,"*"&amp;D51&amp;"*")&gt;0, Sayfa2!$A$1,
 IF(COUNTIF(Sayfa2!$B$2:$B$8, "*"&amp;D51&amp;"*")&gt;0, Sayfa2!$B$1,
 IF(COUNTIF(Sayfa2!$C$2:$C$8, "*"&amp;D51&amp;"*")&gt;0, Sayfa2!$C$1,
 IF(COUNTIF(Sayfa2!$D$2:$D$8,"*"&amp;D51&amp;"*")&gt;0, Sayfa2!$D$1,
 IF(COUNTIF(Sayfa2!$E$2:$E$8, "*"&amp;D51&amp;"*")&gt;0, Sayfa2!$E$1, "Bulunamadı")))))</f>
        <v>PERŞEMBE</v>
      </c>
    </row>
    <row r="52" spans="1:5" hidden="1" x14ac:dyDescent="0.25">
      <c r="A52" t="s">
        <v>1549</v>
      </c>
      <c r="B52" t="s">
        <v>76</v>
      </c>
      <c r="C52" t="s">
        <v>1550</v>
      </c>
      <c r="D52" s="4" t="s">
        <v>3091</v>
      </c>
      <c r="E52" t="str">
        <f>IF(COUNTIF(Sayfa2!$A$2:$A$8,"*"&amp;D52&amp;"*")&gt;0, Sayfa2!$A$1,
 IF(COUNTIF(Sayfa2!$B$2:$B$8, "*"&amp;D52&amp;"*")&gt;0, Sayfa2!$B$1,
 IF(COUNTIF(Sayfa2!$C$2:$C$8, "*"&amp;D52&amp;"*")&gt;0, Sayfa2!$C$1,
 IF(COUNTIF(Sayfa2!$D$2:$D$8,"*"&amp;D52&amp;"*")&gt;0, Sayfa2!$D$1,
 IF(COUNTIF(Sayfa2!$E$2:$E$8, "*"&amp;D52&amp;"*")&gt;0, Sayfa2!$E$1, "Bulunamadı")))))</f>
        <v>CUMA</v>
      </c>
    </row>
    <row r="53" spans="1:5" hidden="1" x14ac:dyDescent="0.25">
      <c r="A53" t="s">
        <v>1551</v>
      </c>
      <c r="B53" t="s">
        <v>77</v>
      </c>
      <c r="C53" t="s">
        <v>1533</v>
      </c>
      <c r="D53" s="4" t="s">
        <v>3061</v>
      </c>
      <c r="E53" t="str">
        <f>IF(COUNTIF(Sayfa2!$A$2:$A$8,"*"&amp;D53&amp;"*")&gt;0, Sayfa2!$A$1,
 IF(COUNTIF(Sayfa2!$B$2:$B$8, "*"&amp;D53&amp;"*")&gt;0, Sayfa2!$B$1,
 IF(COUNTIF(Sayfa2!$C$2:$C$8, "*"&amp;D53&amp;"*")&gt;0, Sayfa2!$C$1,
 IF(COUNTIF(Sayfa2!$D$2:$D$8,"*"&amp;D53&amp;"*")&gt;0, Sayfa2!$D$1,
 IF(COUNTIF(Sayfa2!$E$2:$E$8, "*"&amp;D53&amp;"*")&gt;0, Sayfa2!$E$1, "Bulunamadı")))))</f>
        <v>PERŞEMBE</v>
      </c>
    </row>
    <row r="54" spans="1:5" hidden="1" x14ac:dyDescent="0.25">
      <c r="A54" t="s">
        <v>1552</v>
      </c>
      <c r="B54" t="s">
        <v>78</v>
      </c>
      <c r="C54" t="s">
        <v>1553</v>
      </c>
      <c r="D54" s="4" t="s">
        <v>3061</v>
      </c>
      <c r="E54" t="str">
        <f>IF(COUNTIF(Sayfa2!$A$2:$A$8,"*"&amp;D54&amp;"*")&gt;0, Sayfa2!$A$1,
 IF(COUNTIF(Sayfa2!$B$2:$B$8, "*"&amp;D54&amp;"*")&gt;0, Sayfa2!$B$1,
 IF(COUNTIF(Sayfa2!$C$2:$C$8, "*"&amp;D54&amp;"*")&gt;0, Sayfa2!$C$1,
 IF(COUNTIF(Sayfa2!$D$2:$D$8,"*"&amp;D54&amp;"*")&gt;0, Sayfa2!$D$1,
 IF(COUNTIF(Sayfa2!$E$2:$E$8, "*"&amp;D54&amp;"*")&gt;0, Sayfa2!$E$1, "Bulunamadı")))))</f>
        <v>PERŞEMBE</v>
      </c>
    </row>
    <row r="55" spans="1:5" hidden="1" x14ac:dyDescent="0.25">
      <c r="A55" t="s">
        <v>1554</v>
      </c>
      <c r="B55" t="s">
        <v>80</v>
      </c>
      <c r="C55" t="s">
        <v>1553</v>
      </c>
      <c r="D55" s="4" t="s">
        <v>3061</v>
      </c>
      <c r="E55" t="str">
        <f>IF(COUNTIF(Sayfa2!$A$2:$A$8,"*"&amp;D55&amp;"*")&gt;0, Sayfa2!$A$1,
 IF(COUNTIF(Sayfa2!$B$2:$B$8, "*"&amp;D55&amp;"*")&gt;0, Sayfa2!$B$1,
 IF(COUNTIF(Sayfa2!$C$2:$C$8, "*"&amp;D55&amp;"*")&gt;0, Sayfa2!$C$1,
 IF(COUNTIF(Sayfa2!$D$2:$D$8,"*"&amp;D55&amp;"*")&gt;0, Sayfa2!$D$1,
 IF(COUNTIF(Sayfa2!$E$2:$E$8, "*"&amp;D55&amp;"*")&gt;0, Sayfa2!$E$1, "Bulunamadı")))))</f>
        <v>PERŞEMBE</v>
      </c>
    </row>
    <row r="56" spans="1:5" hidden="1" x14ac:dyDescent="0.25">
      <c r="A56" t="s">
        <v>1555</v>
      </c>
      <c r="B56" t="s">
        <v>81</v>
      </c>
      <c r="C56" t="s">
        <v>1553</v>
      </c>
      <c r="D56" s="4" t="s">
        <v>3061</v>
      </c>
      <c r="E56" t="str">
        <f>IF(COUNTIF(Sayfa2!$A$2:$A$8,"*"&amp;D56&amp;"*")&gt;0, Sayfa2!$A$1,
 IF(COUNTIF(Sayfa2!$B$2:$B$8, "*"&amp;D56&amp;"*")&gt;0, Sayfa2!$B$1,
 IF(COUNTIF(Sayfa2!$C$2:$C$8, "*"&amp;D56&amp;"*")&gt;0, Sayfa2!$C$1,
 IF(COUNTIF(Sayfa2!$D$2:$D$8,"*"&amp;D56&amp;"*")&gt;0, Sayfa2!$D$1,
 IF(COUNTIF(Sayfa2!$E$2:$E$8, "*"&amp;D56&amp;"*")&gt;0, Sayfa2!$E$1, "Bulunamadı")))))</f>
        <v>PERŞEMBE</v>
      </c>
    </row>
    <row r="57" spans="1:5" hidden="1" x14ac:dyDescent="0.25">
      <c r="A57" t="s">
        <v>1556</v>
      </c>
      <c r="B57" t="s">
        <v>82</v>
      </c>
      <c r="C57" t="s">
        <v>1557</v>
      </c>
      <c r="D57" s="4" t="s">
        <v>3061</v>
      </c>
      <c r="E57" t="str">
        <f>IF(COUNTIF(Sayfa2!$A$2:$A$8,"*"&amp;D57&amp;"*")&gt;0, Sayfa2!$A$1,
 IF(COUNTIF(Sayfa2!$B$2:$B$8, "*"&amp;D57&amp;"*")&gt;0, Sayfa2!$B$1,
 IF(COUNTIF(Sayfa2!$C$2:$C$8, "*"&amp;D57&amp;"*")&gt;0, Sayfa2!$C$1,
 IF(COUNTIF(Sayfa2!$D$2:$D$8,"*"&amp;D57&amp;"*")&gt;0, Sayfa2!$D$1,
 IF(COUNTIF(Sayfa2!$E$2:$E$8, "*"&amp;D57&amp;"*")&gt;0, Sayfa2!$E$1, "Bulunamadı")))))</f>
        <v>PERŞEMBE</v>
      </c>
    </row>
    <row r="58" spans="1:5" hidden="1" x14ac:dyDescent="0.25">
      <c r="A58" t="s">
        <v>1558</v>
      </c>
      <c r="B58" t="s">
        <v>84</v>
      </c>
      <c r="C58" t="s">
        <v>1557</v>
      </c>
      <c r="D58" s="4" t="s">
        <v>3061</v>
      </c>
      <c r="E58" t="str">
        <f>IF(COUNTIF(Sayfa2!$A$2:$A$8,"*"&amp;D58&amp;"*")&gt;0, Sayfa2!$A$1,
 IF(COUNTIF(Sayfa2!$B$2:$B$8, "*"&amp;D58&amp;"*")&gt;0, Sayfa2!$B$1,
 IF(COUNTIF(Sayfa2!$C$2:$C$8, "*"&amp;D58&amp;"*")&gt;0, Sayfa2!$C$1,
 IF(COUNTIF(Sayfa2!$D$2:$D$8,"*"&amp;D58&amp;"*")&gt;0, Sayfa2!$D$1,
 IF(COUNTIF(Sayfa2!$E$2:$E$8, "*"&amp;D58&amp;"*")&gt;0, Sayfa2!$E$1, "Bulunamadı")))))</f>
        <v>PERŞEMBE</v>
      </c>
    </row>
    <row r="59" spans="1:5" hidden="1" x14ac:dyDescent="0.25">
      <c r="A59" t="s">
        <v>1559</v>
      </c>
      <c r="B59" t="s">
        <v>85</v>
      </c>
      <c r="C59" t="s">
        <v>1560</v>
      </c>
      <c r="D59" s="4" t="s">
        <v>3095</v>
      </c>
      <c r="E59" t="str">
        <f>IF(COUNTIF(Sayfa2!$A$2:$A$8,"*"&amp;D59&amp;"*")&gt;0, Sayfa2!$A$1,
 IF(COUNTIF(Sayfa2!$B$2:$B$8, "*"&amp;D59&amp;"*")&gt;0, Sayfa2!$B$1,
 IF(COUNTIF(Sayfa2!$C$2:$C$8, "*"&amp;D59&amp;"*")&gt;0, Sayfa2!$C$1,
 IF(COUNTIF(Sayfa2!$D$2:$D$8,"*"&amp;D59&amp;"*")&gt;0, Sayfa2!$D$1,
 IF(COUNTIF(Sayfa2!$E$2:$E$8, "*"&amp;D59&amp;"*")&gt;0, Sayfa2!$E$1, "Bulunamadı")))))</f>
        <v>PAZARTESİ</v>
      </c>
    </row>
    <row r="60" spans="1:5" hidden="1" x14ac:dyDescent="0.25">
      <c r="A60" t="s">
        <v>1561</v>
      </c>
      <c r="B60" t="s">
        <v>88</v>
      </c>
      <c r="C60" t="s">
        <v>1560</v>
      </c>
      <c r="D60" s="4" t="s">
        <v>3095</v>
      </c>
      <c r="E60" t="str">
        <f>IF(COUNTIF(Sayfa2!$A$2:$A$8,"*"&amp;D60&amp;"*")&gt;0, Sayfa2!$A$1,
 IF(COUNTIF(Sayfa2!$B$2:$B$8, "*"&amp;D60&amp;"*")&gt;0, Sayfa2!$B$1,
 IF(COUNTIF(Sayfa2!$C$2:$C$8, "*"&amp;D60&amp;"*")&gt;0, Sayfa2!$C$1,
 IF(COUNTIF(Sayfa2!$D$2:$D$8,"*"&amp;D60&amp;"*")&gt;0, Sayfa2!$D$1,
 IF(COUNTIF(Sayfa2!$E$2:$E$8, "*"&amp;D60&amp;"*")&gt;0, Sayfa2!$E$1, "Bulunamadı")))))</f>
        <v>PAZARTESİ</v>
      </c>
    </row>
    <row r="61" spans="1:5" hidden="1" x14ac:dyDescent="0.25">
      <c r="A61" t="s">
        <v>1562</v>
      </c>
      <c r="B61" t="s">
        <v>89</v>
      </c>
      <c r="C61" t="s">
        <v>1560</v>
      </c>
      <c r="D61" s="4" t="s">
        <v>3095</v>
      </c>
      <c r="E61" t="str">
        <f>IF(COUNTIF(Sayfa2!$A$2:$A$8,"*"&amp;D61&amp;"*")&gt;0, Sayfa2!$A$1,
 IF(COUNTIF(Sayfa2!$B$2:$B$8, "*"&amp;D61&amp;"*")&gt;0, Sayfa2!$B$1,
 IF(COUNTIF(Sayfa2!$C$2:$C$8, "*"&amp;D61&amp;"*")&gt;0, Sayfa2!$C$1,
 IF(COUNTIF(Sayfa2!$D$2:$D$8,"*"&amp;D61&amp;"*")&gt;0, Sayfa2!$D$1,
 IF(COUNTIF(Sayfa2!$E$2:$E$8, "*"&amp;D61&amp;"*")&gt;0, Sayfa2!$E$1, "Bulunamadı")))))</f>
        <v>PAZARTESİ</v>
      </c>
    </row>
    <row r="62" spans="1:5" hidden="1" x14ac:dyDescent="0.25">
      <c r="A62" t="s">
        <v>1563</v>
      </c>
      <c r="B62" t="s">
        <v>90</v>
      </c>
      <c r="C62" t="s">
        <v>1564</v>
      </c>
      <c r="D62" s="4" t="s">
        <v>3091</v>
      </c>
      <c r="E62" t="str">
        <f>IF(COUNTIF(Sayfa2!$A$2:$A$8,"*"&amp;D62&amp;"*")&gt;0, Sayfa2!$A$1,
 IF(COUNTIF(Sayfa2!$B$2:$B$8, "*"&amp;D62&amp;"*")&gt;0, Sayfa2!$B$1,
 IF(COUNTIF(Sayfa2!$C$2:$C$8, "*"&amp;D62&amp;"*")&gt;0, Sayfa2!$C$1,
 IF(COUNTIF(Sayfa2!$D$2:$D$8,"*"&amp;D62&amp;"*")&gt;0, Sayfa2!$D$1,
 IF(COUNTIF(Sayfa2!$E$2:$E$8, "*"&amp;D62&amp;"*")&gt;0, Sayfa2!$E$1, "Bulunamadı")))))</f>
        <v>CUMA</v>
      </c>
    </row>
    <row r="63" spans="1:5" hidden="1" x14ac:dyDescent="0.25">
      <c r="A63" t="s">
        <v>1565</v>
      </c>
      <c r="B63" t="s">
        <v>93</v>
      </c>
      <c r="C63" t="s">
        <v>1566</v>
      </c>
      <c r="D63" s="4" t="s">
        <v>3058</v>
      </c>
      <c r="E63" t="str">
        <f>IF(COUNTIF(Sayfa2!$A$2:$A$8,"*"&amp;D63&amp;"*")&gt;0, Sayfa2!$A$1,
 IF(COUNTIF(Sayfa2!$B$2:$B$8, "*"&amp;D63&amp;"*")&gt;0, Sayfa2!$B$1,
 IF(COUNTIF(Sayfa2!$C$2:$C$8, "*"&amp;D63&amp;"*")&gt;0, Sayfa2!$C$1,
 IF(COUNTIF(Sayfa2!$D$2:$D$8,"*"&amp;D63&amp;"*")&gt;0, Sayfa2!$D$1,
 IF(COUNTIF(Sayfa2!$E$2:$E$8, "*"&amp;D63&amp;"*")&gt;0, Sayfa2!$E$1, "Bulunamadı")))))</f>
        <v>PAZARTESİ</v>
      </c>
    </row>
    <row r="64" spans="1:5" x14ac:dyDescent="0.25">
      <c r="A64" t="s">
        <v>1567</v>
      </c>
      <c r="B64" t="s">
        <v>95</v>
      </c>
      <c r="C64" t="s">
        <v>1568</v>
      </c>
      <c r="D64" s="4" t="s">
        <v>3104</v>
      </c>
      <c r="E64" t="str">
        <f>IF(COUNTIF(Sayfa2!$A$2:$A$8,"*"&amp;D64&amp;"*")&gt;0, Sayfa2!$A$1,
 IF(COUNTIF(Sayfa2!$B$2:$B$8, "*"&amp;D64&amp;"*")&gt;0, Sayfa2!$B$1,
 IF(COUNTIF(Sayfa2!$C$2:$C$8, "*"&amp;D64&amp;"*")&gt;0, Sayfa2!$C$1,
 IF(COUNTIF(Sayfa2!$D$2:$D$8,"*"&amp;D64&amp;"*")&gt;0, Sayfa2!$D$1,
 IF(COUNTIF(Sayfa2!$E$2:$E$8, "*"&amp;D64&amp;"*")&gt;0, Sayfa2!$E$1, "Bulunamadı")))))</f>
        <v>Bulunamadı</v>
      </c>
    </row>
    <row r="65" spans="1:5" hidden="1" x14ac:dyDescent="0.25">
      <c r="A65" t="s">
        <v>1569</v>
      </c>
      <c r="B65" t="s">
        <v>96</v>
      </c>
      <c r="C65" t="s">
        <v>1566</v>
      </c>
      <c r="D65" s="4" t="s">
        <v>3058</v>
      </c>
      <c r="E65" t="str">
        <f>IF(COUNTIF(Sayfa2!$A$2:$A$8,"*"&amp;D65&amp;"*")&gt;0, Sayfa2!$A$1,
 IF(COUNTIF(Sayfa2!$B$2:$B$8, "*"&amp;D65&amp;"*")&gt;0, Sayfa2!$B$1,
 IF(COUNTIF(Sayfa2!$C$2:$C$8, "*"&amp;D65&amp;"*")&gt;0, Sayfa2!$C$1,
 IF(COUNTIF(Sayfa2!$D$2:$D$8,"*"&amp;D65&amp;"*")&gt;0, Sayfa2!$D$1,
 IF(COUNTIF(Sayfa2!$E$2:$E$8, "*"&amp;D65&amp;"*")&gt;0, Sayfa2!$E$1, "Bulunamadı")))))</f>
        <v>PAZARTESİ</v>
      </c>
    </row>
    <row r="66" spans="1:5" hidden="1" x14ac:dyDescent="0.25">
      <c r="A66" t="s">
        <v>1570</v>
      </c>
      <c r="B66" t="s">
        <v>97</v>
      </c>
      <c r="C66" t="s">
        <v>1564</v>
      </c>
      <c r="D66" s="4" t="s">
        <v>3091</v>
      </c>
      <c r="E66" t="str">
        <f>IF(COUNTIF(Sayfa2!$A$2:$A$8,"*"&amp;D66&amp;"*")&gt;0, Sayfa2!$A$1,
 IF(COUNTIF(Sayfa2!$B$2:$B$8, "*"&amp;D66&amp;"*")&gt;0, Sayfa2!$B$1,
 IF(COUNTIF(Sayfa2!$C$2:$C$8, "*"&amp;D66&amp;"*")&gt;0, Sayfa2!$C$1,
 IF(COUNTIF(Sayfa2!$D$2:$D$8,"*"&amp;D66&amp;"*")&gt;0, Sayfa2!$D$1,
 IF(COUNTIF(Sayfa2!$E$2:$E$8, "*"&amp;D66&amp;"*")&gt;0, Sayfa2!$E$1, "Bulunamadı")))))</f>
        <v>CUMA</v>
      </c>
    </row>
    <row r="67" spans="1:5" hidden="1" x14ac:dyDescent="0.25">
      <c r="A67" t="s">
        <v>1571</v>
      </c>
      <c r="B67" t="s">
        <v>98</v>
      </c>
      <c r="C67" t="s">
        <v>1564</v>
      </c>
      <c r="D67" s="4" t="s">
        <v>3091</v>
      </c>
      <c r="E67" t="str">
        <f>IF(COUNTIF(Sayfa2!$A$2:$A$8,"*"&amp;D67&amp;"*")&gt;0, Sayfa2!$A$1,
 IF(COUNTIF(Sayfa2!$B$2:$B$8, "*"&amp;D67&amp;"*")&gt;0, Sayfa2!$B$1,
 IF(COUNTIF(Sayfa2!$C$2:$C$8, "*"&amp;D67&amp;"*")&gt;0, Sayfa2!$C$1,
 IF(COUNTIF(Sayfa2!$D$2:$D$8,"*"&amp;D67&amp;"*")&gt;0, Sayfa2!$D$1,
 IF(COUNTIF(Sayfa2!$E$2:$E$8, "*"&amp;D67&amp;"*")&gt;0, Sayfa2!$E$1, "Bulunamadı")))))</f>
        <v>CUMA</v>
      </c>
    </row>
    <row r="68" spans="1:5" hidden="1" x14ac:dyDescent="0.25">
      <c r="A68" t="s">
        <v>1572</v>
      </c>
      <c r="B68" t="s">
        <v>99</v>
      </c>
      <c r="C68" t="s">
        <v>1564</v>
      </c>
      <c r="D68" s="4" t="s">
        <v>3091</v>
      </c>
      <c r="E68" t="str">
        <f>IF(COUNTIF(Sayfa2!$A$2:$A$8,"*"&amp;D68&amp;"*")&gt;0, Sayfa2!$A$1,
 IF(COUNTIF(Sayfa2!$B$2:$B$8, "*"&amp;D68&amp;"*")&gt;0, Sayfa2!$B$1,
 IF(COUNTIF(Sayfa2!$C$2:$C$8, "*"&amp;D68&amp;"*")&gt;0, Sayfa2!$C$1,
 IF(COUNTIF(Sayfa2!$D$2:$D$8,"*"&amp;D68&amp;"*")&gt;0, Sayfa2!$D$1,
 IF(COUNTIF(Sayfa2!$E$2:$E$8, "*"&amp;D68&amp;"*")&gt;0, Sayfa2!$E$1, "Bulunamadı")))))</f>
        <v>CUMA</v>
      </c>
    </row>
    <row r="69" spans="1:5" hidden="1" x14ac:dyDescent="0.25">
      <c r="A69" t="s">
        <v>1573</v>
      </c>
      <c r="B69" t="s">
        <v>100</v>
      </c>
      <c r="C69" t="s">
        <v>1564</v>
      </c>
      <c r="D69" s="4" t="s">
        <v>3091</v>
      </c>
      <c r="E69" t="str">
        <f>IF(COUNTIF(Sayfa2!$A$2:$A$8,"*"&amp;D69&amp;"*")&gt;0, Sayfa2!$A$1,
 IF(COUNTIF(Sayfa2!$B$2:$B$8, "*"&amp;D69&amp;"*")&gt;0, Sayfa2!$B$1,
 IF(COUNTIF(Sayfa2!$C$2:$C$8, "*"&amp;D69&amp;"*")&gt;0, Sayfa2!$C$1,
 IF(COUNTIF(Sayfa2!$D$2:$D$8,"*"&amp;D69&amp;"*")&gt;0, Sayfa2!$D$1,
 IF(COUNTIF(Sayfa2!$E$2:$E$8, "*"&amp;D69&amp;"*")&gt;0, Sayfa2!$E$1, "Bulunamadı")))))</f>
        <v>CUMA</v>
      </c>
    </row>
    <row r="70" spans="1:5" hidden="1" x14ac:dyDescent="0.25">
      <c r="A70" t="s">
        <v>1574</v>
      </c>
      <c r="B70" t="s">
        <v>101</v>
      </c>
      <c r="C70" t="s">
        <v>1566</v>
      </c>
      <c r="D70" s="4" t="s">
        <v>3058</v>
      </c>
      <c r="E70" t="str">
        <f>IF(COUNTIF(Sayfa2!$A$2:$A$8,"*"&amp;D70&amp;"*")&gt;0, Sayfa2!$A$1,
 IF(COUNTIF(Sayfa2!$B$2:$B$8, "*"&amp;D70&amp;"*")&gt;0, Sayfa2!$B$1,
 IF(COUNTIF(Sayfa2!$C$2:$C$8, "*"&amp;D70&amp;"*")&gt;0, Sayfa2!$C$1,
 IF(COUNTIF(Sayfa2!$D$2:$D$8,"*"&amp;D70&amp;"*")&gt;0, Sayfa2!$D$1,
 IF(COUNTIF(Sayfa2!$E$2:$E$8, "*"&amp;D70&amp;"*")&gt;0, Sayfa2!$E$1, "Bulunamadı")))))</f>
        <v>PAZARTESİ</v>
      </c>
    </row>
    <row r="71" spans="1:5" hidden="1" x14ac:dyDescent="0.25">
      <c r="A71" t="s">
        <v>1575</v>
      </c>
      <c r="B71" t="s">
        <v>102</v>
      </c>
      <c r="C71" t="s">
        <v>1566</v>
      </c>
      <c r="D71" s="4" t="s">
        <v>3058</v>
      </c>
      <c r="E71" t="str">
        <f>IF(COUNTIF(Sayfa2!$A$2:$A$8,"*"&amp;D71&amp;"*")&gt;0, Sayfa2!$A$1,
 IF(COUNTIF(Sayfa2!$B$2:$B$8, "*"&amp;D71&amp;"*")&gt;0, Sayfa2!$B$1,
 IF(COUNTIF(Sayfa2!$C$2:$C$8, "*"&amp;D71&amp;"*")&gt;0, Sayfa2!$C$1,
 IF(COUNTIF(Sayfa2!$D$2:$D$8,"*"&amp;D71&amp;"*")&gt;0, Sayfa2!$D$1,
 IF(COUNTIF(Sayfa2!$E$2:$E$8, "*"&amp;D71&amp;"*")&gt;0, Sayfa2!$E$1, "Bulunamadı")))))</f>
        <v>PAZARTESİ</v>
      </c>
    </row>
    <row r="72" spans="1:5" hidden="1" x14ac:dyDescent="0.25">
      <c r="A72" t="s">
        <v>1576</v>
      </c>
      <c r="B72" t="s">
        <v>103</v>
      </c>
      <c r="C72" t="s">
        <v>1564</v>
      </c>
      <c r="D72" s="4" t="s">
        <v>3091</v>
      </c>
      <c r="E72" t="str">
        <f>IF(COUNTIF(Sayfa2!$A$2:$A$8,"*"&amp;D72&amp;"*")&gt;0, Sayfa2!$A$1,
 IF(COUNTIF(Sayfa2!$B$2:$B$8, "*"&amp;D72&amp;"*")&gt;0, Sayfa2!$B$1,
 IF(COUNTIF(Sayfa2!$C$2:$C$8, "*"&amp;D72&amp;"*")&gt;0, Sayfa2!$C$1,
 IF(COUNTIF(Sayfa2!$D$2:$D$8,"*"&amp;D72&amp;"*")&gt;0, Sayfa2!$D$1,
 IF(COUNTIF(Sayfa2!$E$2:$E$8, "*"&amp;D72&amp;"*")&gt;0, Sayfa2!$E$1, "Bulunamadı")))))</f>
        <v>CUMA</v>
      </c>
    </row>
    <row r="73" spans="1:5" x14ac:dyDescent="0.25">
      <c r="A73" t="s">
        <v>1577</v>
      </c>
      <c r="B73" t="s">
        <v>104</v>
      </c>
      <c r="C73" t="s">
        <v>1568</v>
      </c>
      <c r="D73" s="4" t="s">
        <v>3104</v>
      </c>
      <c r="E73" t="str">
        <f>IF(COUNTIF(Sayfa2!$A$2:$A$8,"*"&amp;D73&amp;"*")&gt;0, Sayfa2!$A$1,
 IF(COUNTIF(Sayfa2!$B$2:$B$8, "*"&amp;D73&amp;"*")&gt;0, Sayfa2!$B$1,
 IF(COUNTIF(Sayfa2!$C$2:$C$8, "*"&amp;D73&amp;"*")&gt;0, Sayfa2!$C$1,
 IF(COUNTIF(Sayfa2!$D$2:$D$8,"*"&amp;D73&amp;"*")&gt;0, Sayfa2!$D$1,
 IF(COUNTIF(Sayfa2!$E$2:$E$8, "*"&amp;D73&amp;"*")&gt;0, Sayfa2!$E$1, "Bulunamadı")))))</f>
        <v>Bulunamadı</v>
      </c>
    </row>
    <row r="74" spans="1:5" x14ac:dyDescent="0.25">
      <c r="A74" t="s">
        <v>1578</v>
      </c>
      <c r="B74" t="s">
        <v>105</v>
      </c>
      <c r="C74" t="s">
        <v>1568</v>
      </c>
      <c r="D74" s="4" t="s">
        <v>3104</v>
      </c>
      <c r="E74" t="str">
        <f>IF(COUNTIF(Sayfa2!$A$2:$A$8,"*"&amp;D74&amp;"*")&gt;0, Sayfa2!$A$1,
 IF(COUNTIF(Sayfa2!$B$2:$B$8, "*"&amp;D74&amp;"*")&gt;0, Sayfa2!$B$1,
 IF(COUNTIF(Sayfa2!$C$2:$C$8, "*"&amp;D74&amp;"*")&gt;0, Sayfa2!$C$1,
 IF(COUNTIF(Sayfa2!$D$2:$D$8,"*"&amp;D74&amp;"*")&gt;0, Sayfa2!$D$1,
 IF(COUNTIF(Sayfa2!$E$2:$E$8, "*"&amp;D74&amp;"*")&gt;0, Sayfa2!$E$1, "Bulunamadı")))))</f>
        <v>Bulunamadı</v>
      </c>
    </row>
    <row r="75" spans="1:5" hidden="1" x14ac:dyDescent="0.25">
      <c r="A75" t="s">
        <v>1579</v>
      </c>
      <c r="B75" t="s">
        <v>106</v>
      </c>
      <c r="C75" t="s">
        <v>1564</v>
      </c>
      <c r="D75" s="4" t="s">
        <v>3091</v>
      </c>
      <c r="E75" t="str">
        <f>IF(COUNTIF(Sayfa2!$A$2:$A$8,"*"&amp;D75&amp;"*")&gt;0, Sayfa2!$A$1,
 IF(COUNTIF(Sayfa2!$B$2:$B$8, "*"&amp;D75&amp;"*")&gt;0, Sayfa2!$B$1,
 IF(COUNTIF(Sayfa2!$C$2:$C$8, "*"&amp;D75&amp;"*")&gt;0, Sayfa2!$C$1,
 IF(COUNTIF(Sayfa2!$D$2:$D$8,"*"&amp;D75&amp;"*")&gt;0, Sayfa2!$D$1,
 IF(COUNTIF(Sayfa2!$E$2:$E$8, "*"&amp;D75&amp;"*")&gt;0, Sayfa2!$E$1, "Bulunamadı")))))</f>
        <v>CUMA</v>
      </c>
    </row>
    <row r="76" spans="1:5" x14ac:dyDescent="0.25">
      <c r="A76" t="s">
        <v>1580</v>
      </c>
      <c r="B76" t="s">
        <v>107</v>
      </c>
      <c r="C76" t="s">
        <v>1568</v>
      </c>
      <c r="D76" s="4" t="s">
        <v>3104</v>
      </c>
      <c r="E76" t="str">
        <f>IF(COUNTIF(Sayfa2!$A$2:$A$8,"*"&amp;D76&amp;"*")&gt;0, Sayfa2!$A$1,
 IF(COUNTIF(Sayfa2!$B$2:$B$8, "*"&amp;D76&amp;"*")&gt;0, Sayfa2!$B$1,
 IF(COUNTIF(Sayfa2!$C$2:$C$8, "*"&amp;D76&amp;"*")&gt;0, Sayfa2!$C$1,
 IF(COUNTIF(Sayfa2!$D$2:$D$8,"*"&amp;D76&amp;"*")&gt;0, Sayfa2!$D$1,
 IF(COUNTIF(Sayfa2!$E$2:$E$8, "*"&amp;D76&amp;"*")&gt;0, Sayfa2!$E$1, "Bulunamadı")))))</f>
        <v>Bulunamadı</v>
      </c>
    </row>
    <row r="77" spans="1:5" x14ac:dyDescent="0.25">
      <c r="A77" t="s">
        <v>1581</v>
      </c>
      <c r="B77" t="s">
        <v>108</v>
      </c>
      <c r="C77" t="s">
        <v>1568</v>
      </c>
      <c r="D77" s="4" t="s">
        <v>3104</v>
      </c>
      <c r="E77" t="str">
        <f>IF(COUNTIF(Sayfa2!$A$2:$A$8,"*"&amp;D77&amp;"*")&gt;0, Sayfa2!$A$1,
 IF(COUNTIF(Sayfa2!$B$2:$B$8, "*"&amp;D77&amp;"*")&gt;0, Sayfa2!$B$1,
 IF(COUNTIF(Sayfa2!$C$2:$C$8, "*"&amp;D77&amp;"*")&gt;0, Sayfa2!$C$1,
 IF(COUNTIF(Sayfa2!$D$2:$D$8,"*"&amp;D77&amp;"*")&gt;0, Sayfa2!$D$1,
 IF(COUNTIF(Sayfa2!$E$2:$E$8, "*"&amp;D77&amp;"*")&gt;0, Sayfa2!$E$1, "Bulunamadı")))))</f>
        <v>Bulunamadı</v>
      </c>
    </row>
    <row r="78" spans="1:5" x14ac:dyDescent="0.25">
      <c r="A78" t="s">
        <v>1582</v>
      </c>
      <c r="B78" t="s">
        <v>109</v>
      </c>
      <c r="C78" t="s">
        <v>1568</v>
      </c>
      <c r="D78" s="4" t="s">
        <v>3104</v>
      </c>
      <c r="E78" t="str">
        <f>IF(COUNTIF(Sayfa2!$A$2:$A$8,"*"&amp;D78&amp;"*")&gt;0, Sayfa2!$A$1,
 IF(COUNTIF(Sayfa2!$B$2:$B$8, "*"&amp;D78&amp;"*")&gt;0, Sayfa2!$B$1,
 IF(COUNTIF(Sayfa2!$C$2:$C$8, "*"&amp;D78&amp;"*")&gt;0, Sayfa2!$C$1,
 IF(COUNTIF(Sayfa2!$D$2:$D$8,"*"&amp;D78&amp;"*")&gt;0, Sayfa2!$D$1,
 IF(COUNTIF(Sayfa2!$E$2:$E$8, "*"&amp;D78&amp;"*")&gt;0, Sayfa2!$E$1, "Bulunamadı")))))</f>
        <v>Bulunamadı</v>
      </c>
    </row>
    <row r="79" spans="1:5" hidden="1" x14ac:dyDescent="0.25">
      <c r="A79" t="s">
        <v>1583</v>
      </c>
      <c r="B79" t="s">
        <v>110</v>
      </c>
      <c r="C79" t="s">
        <v>1564</v>
      </c>
      <c r="D79" s="4" t="s">
        <v>3091</v>
      </c>
      <c r="E79" t="str">
        <f>IF(COUNTIF(Sayfa2!$A$2:$A$8,"*"&amp;D79&amp;"*")&gt;0, Sayfa2!$A$1,
 IF(COUNTIF(Sayfa2!$B$2:$B$8, "*"&amp;D79&amp;"*")&gt;0, Sayfa2!$B$1,
 IF(COUNTIF(Sayfa2!$C$2:$C$8, "*"&amp;D79&amp;"*")&gt;0, Sayfa2!$C$1,
 IF(COUNTIF(Sayfa2!$D$2:$D$8,"*"&amp;D79&amp;"*")&gt;0, Sayfa2!$D$1,
 IF(COUNTIF(Sayfa2!$E$2:$E$8, "*"&amp;D79&amp;"*")&gt;0, Sayfa2!$E$1, "Bulunamadı")))))</f>
        <v>CUMA</v>
      </c>
    </row>
    <row r="80" spans="1:5" hidden="1" x14ac:dyDescent="0.25">
      <c r="A80" t="s">
        <v>1584</v>
      </c>
      <c r="B80" t="s">
        <v>111</v>
      </c>
      <c r="C80" t="s">
        <v>1564</v>
      </c>
      <c r="D80" s="4" t="s">
        <v>3091</v>
      </c>
      <c r="E80" t="str">
        <f>IF(COUNTIF(Sayfa2!$A$2:$A$8,"*"&amp;D80&amp;"*")&gt;0, Sayfa2!$A$1,
 IF(COUNTIF(Sayfa2!$B$2:$B$8, "*"&amp;D80&amp;"*")&gt;0, Sayfa2!$B$1,
 IF(COUNTIF(Sayfa2!$C$2:$C$8, "*"&amp;D80&amp;"*")&gt;0, Sayfa2!$C$1,
 IF(COUNTIF(Sayfa2!$D$2:$D$8,"*"&amp;D80&amp;"*")&gt;0, Sayfa2!$D$1,
 IF(COUNTIF(Sayfa2!$E$2:$E$8, "*"&amp;D80&amp;"*")&gt;0, Sayfa2!$E$1, "Bulunamadı")))))</f>
        <v>CUMA</v>
      </c>
    </row>
    <row r="81" spans="1:5" hidden="1" x14ac:dyDescent="0.25">
      <c r="A81" t="s">
        <v>1585</v>
      </c>
      <c r="B81" t="s">
        <v>112</v>
      </c>
      <c r="C81" t="s">
        <v>1564</v>
      </c>
      <c r="D81" s="4" t="s">
        <v>3091</v>
      </c>
      <c r="E81" t="str">
        <f>IF(COUNTIF(Sayfa2!$A$2:$A$8,"*"&amp;D81&amp;"*")&gt;0, Sayfa2!$A$1,
 IF(COUNTIF(Sayfa2!$B$2:$B$8, "*"&amp;D81&amp;"*")&gt;0, Sayfa2!$B$1,
 IF(COUNTIF(Sayfa2!$C$2:$C$8, "*"&amp;D81&amp;"*")&gt;0, Sayfa2!$C$1,
 IF(COUNTIF(Sayfa2!$D$2:$D$8,"*"&amp;D81&amp;"*")&gt;0, Sayfa2!$D$1,
 IF(COUNTIF(Sayfa2!$E$2:$E$8, "*"&amp;D81&amp;"*")&gt;0, Sayfa2!$E$1, "Bulunamadı")))))</f>
        <v>CUMA</v>
      </c>
    </row>
    <row r="82" spans="1:5" x14ac:dyDescent="0.25">
      <c r="A82" t="s">
        <v>1586</v>
      </c>
      <c r="B82" t="s">
        <v>113</v>
      </c>
      <c r="C82" t="s">
        <v>1568</v>
      </c>
      <c r="D82" s="4" t="s">
        <v>3104</v>
      </c>
      <c r="E82" t="str">
        <f>IF(COUNTIF(Sayfa2!$A$2:$A$8,"*"&amp;D82&amp;"*")&gt;0, Sayfa2!$A$1,
 IF(COUNTIF(Sayfa2!$B$2:$B$8, "*"&amp;D82&amp;"*")&gt;0, Sayfa2!$B$1,
 IF(COUNTIF(Sayfa2!$C$2:$C$8, "*"&amp;D82&amp;"*")&gt;0, Sayfa2!$C$1,
 IF(COUNTIF(Sayfa2!$D$2:$D$8,"*"&amp;D82&amp;"*")&gt;0, Sayfa2!$D$1,
 IF(COUNTIF(Sayfa2!$E$2:$E$8, "*"&amp;D82&amp;"*")&gt;0, Sayfa2!$E$1, "Bulunamadı")))))</f>
        <v>Bulunamadı</v>
      </c>
    </row>
    <row r="83" spans="1:5" hidden="1" x14ac:dyDescent="0.25">
      <c r="A83" t="s">
        <v>1587</v>
      </c>
      <c r="B83" t="s">
        <v>114</v>
      </c>
      <c r="C83" t="s">
        <v>1564</v>
      </c>
      <c r="D83" s="4" t="s">
        <v>3091</v>
      </c>
      <c r="E83" t="str">
        <f>IF(COUNTIF(Sayfa2!$A$2:$A$8,"*"&amp;D83&amp;"*")&gt;0, Sayfa2!$A$1,
 IF(COUNTIF(Sayfa2!$B$2:$B$8, "*"&amp;D83&amp;"*")&gt;0, Sayfa2!$B$1,
 IF(COUNTIF(Sayfa2!$C$2:$C$8, "*"&amp;D83&amp;"*")&gt;0, Sayfa2!$C$1,
 IF(COUNTIF(Sayfa2!$D$2:$D$8,"*"&amp;D83&amp;"*")&gt;0, Sayfa2!$D$1,
 IF(COUNTIF(Sayfa2!$E$2:$E$8, "*"&amp;D83&amp;"*")&gt;0, Sayfa2!$E$1, "Bulunamadı")))))</f>
        <v>CUMA</v>
      </c>
    </row>
    <row r="84" spans="1:5" x14ac:dyDescent="0.25">
      <c r="A84" t="s">
        <v>1588</v>
      </c>
      <c r="B84" t="s">
        <v>115</v>
      </c>
      <c r="C84" t="s">
        <v>1568</v>
      </c>
      <c r="D84" s="4" t="s">
        <v>3104</v>
      </c>
      <c r="E84" t="str">
        <f>IF(COUNTIF(Sayfa2!$A$2:$A$8,"*"&amp;D84&amp;"*")&gt;0, Sayfa2!$A$1,
 IF(COUNTIF(Sayfa2!$B$2:$B$8, "*"&amp;D84&amp;"*")&gt;0, Sayfa2!$B$1,
 IF(COUNTIF(Sayfa2!$C$2:$C$8, "*"&amp;D84&amp;"*")&gt;0, Sayfa2!$C$1,
 IF(COUNTIF(Sayfa2!$D$2:$D$8,"*"&amp;D84&amp;"*")&gt;0, Sayfa2!$D$1,
 IF(COUNTIF(Sayfa2!$E$2:$E$8, "*"&amp;D84&amp;"*")&gt;0, Sayfa2!$E$1, "Bulunamadı")))))</f>
        <v>Bulunamadı</v>
      </c>
    </row>
    <row r="85" spans="1:5" hidden="1" x14ac:dyDescent="0.25">
      <c r="A85" t="s">
        <v>1589</v>
      </c>
      <c r="B85" t="s">
        <v>116</v>
      </c>
      <c r="C85" t="s">
        <v>1566</v>
      </c>
      <c r="D85" s="4" t="s">
        <v>3058</v>
      </c>
      <c r="E85" t="str">
        <f>IF(COUNTIF(Sayfa2!$A$2:$A$8,"*"&amp;D85&amp;"*")&gt;0, Sayfa2!$A$1,
 IF(COUNTIF(Sayfa2!$B$2:$B$8, "*"&amp;D85&amp;"*")&gt;0, Sayfa2!$B$1,
 IF(COUNTIF(Sayfa2!$C$2:$C$8, "*"&amp;D85&amp;"*")&gt;0, Sayfa2!$C$1,
 IF(COUNTIF(Sayfa2!$D$2:$D$8,"*"&amp;D85&amp;"*")&gt;0, Sayfa2!$D$1,
 IF(COUNTIF(Sayfa2!$E$2:$E$8, "*"&amp;D85&amp;"*")&gt;0, Sayfa2!$E$1, "Bulunamadı")))))</f>
        <v>PAZARTESİ</v>
      </c>
    </row>
    <row r="86" spans="1:5" hidden="1" x14ac:dyDescent="0.25">
      <c r="A86" t="s">
        <v>1590</v>
      </c>
      <c r="B86" t="s">
        <v>117</v>
      </c>
      <c r="C86" t="s">
        <v>1564</v>
      </c>
      <c r="D86" s="4" t="s">
        <v>3091</v>
      </c>
      <c r="E86" t="str">
        <f>IF(COUNTIF(Sayfa2!$A$2:$A$8,"*"&amp;D86&amp;"*")&gt;0, Sayfa2!$A$1,
 IF(COUNTIF(Sayfa2!$B$2:$B$8, "*"&amp;D86&amp;"*")&gt;0, Sayfa2!$B$1,
 IF(COUNTIF(Sayfa2!$C$2:$C$8, "*"&amp;D86&amp;"*")&gt;0, Sayfa2!$C$1,
 IF(COUNTIF(Sayfa2!$D$2:$D$8,"*"&amp;D86&amp;"*")&gt;0, Sayfa2!$D$1,
 IF(COUNTIF(Sayfa2!$E$2:$E$8, "*"&amp;D86&amp;"*")&gt;0, Sayfa2!$E$1, "Bulunamadı")))))</f>
        <v>CUMA</v>
      </c>
    </row>
    <row r="87" spans="1:5" hidden="1" x14ac:dyDescent="0.25">
      <c r="A87" t="s">
        <v>1591</v>
      </c>
      <c r="B87" t="s">
        <v>118</v>
      </c>
      <c r="C87" t="s">
        <v>1566</v>
      </c>
      <c r="D87" s="4" t="s">
        <v>3058</v>
      </c>
      <c r="E87" t="str">
        <f>IF(COUNTIF(Sayfa2!$A$2:$A$8,"*"&amp;D87&amp;"*")&gt;0, Sayfa2!$A$1,
 IF(COUNTIF(Sayfa2!$B$2:$B$8, "*"&amp;D87&amp;"*")&gt;0, Sayfa2!$B$1,
 IF(COUNTIF(Sayfa2!$C$2:$C$8, "*"&amp;D87&amp;"*")&gt;0, Sayfa2!$C$1,
 IF(COUNTIF(Sayfa2!$D$2:$D$8,"*"&amp;D87&amp;"*")&gt;0, Sayfa2!$D$1,
 IF(COUNTIF(Sayfa2!$E$2:$E$8, "*"&amp;D87&amp;"*")&gt;0, Sayfa2!$E$1, "Bulunamadı")))))</f>
        <v>PAZARTESİ</v>
      </c>
    </row>
    <row r="88" spans="1:5" hidden="1" x14ac:dyDescent="0.25">
      <c r="A88" t="s">
        <v>1592</v>
      </c>
      <c r="B88" t="s">
        <v>119</v>
      </c>
      <c r="C88" t="s">
        <v>1566</v>
      </c>
      <c r="D88" s="4" t="s">
        <v>3058</v>
      </c>
      <c r="E88" t="str">
        <f>IF(COUNTIF(Sayfa2!$A$2:$A$8,"*"&amp;D88&amp;"*")&gt;0, Sayfa2!$A$1,
 IF(COUNTIF(Sayfa2!$B$2:$B$8, "*"&amp;D88&amp;"*")&gt;0, Sayfa2!$B$1,
 IF(COUNTIF(Sayfa2!$C$2:$C$8, "*"&amp;D88&amp;"*")&gt;0, Sayfa2!$C$1,
 IF(COUNTIF(Sayfa2!$D$2:$D$8,"*"&amp;D88&amp;"*")&gt;0, Sayfa2!$D$1,
 IF(COUNTIF(Sayfa2!$E$2:$E$8, "*"&amp;D88&amp;"*")&gt;0, Sayfa2!$E$1, "Bulunamadı")))))</f>
        <v>PAZARTESİ</v>
      </c>
    </row>
    <row r="89" spans="1:5" hidden="1" x14ac:dyDescent="0.25">
      <c r="A89" t="s">
        <v>1593</v>
      </c>
      <c r="B89" t="s">
        <v>120</v>
      </c>
      <c r="C89" t="s">
        <v>1566</v>
      </c>
      <c r="D89" s="4" t="s">
        <v>3058</v>
      </c>
      <c r="E89" t="str">
        <f>IF(COUNTIF(Sayfa2!$A$2:$A$8,"*"&amp;D89&amp;"*")&gt;0, Sayfa2!$A$1,
 IF(COUNTIF(Sayfa2!$B$2:$B$8, "*"&amp;D89&amp;"*")&gt;0, Sayfa2!$B$1,
 IF(COUNTIF(Sayfa2!$C$2:$C$8, "*"&amp;D89&amp;"*")&gt;0, Sayfa2!$C$1,
 IF(COUNTIF(Sayfa2!$D$2:$D$8,"*"&amp;D89&amp;"*")&gt;0, Sayfa2!$D$1,
 IF(COUNTIF(Sayfa2!$E$2:$E$8, "*"&amp;D89&amp;"*")&gt;0, Sayfa2!$E$1, "Bulunamadı")))))</f>
        <v>PAZARTESİ</v>
      </c>
    </row>
    <row r="90" spans="1:5" x14ac:dyDescent="0.25">
      <c r="A90" t="s">
        <v>1594</v>
      </c>
      <c r="B90" t="s">
        <v>121</v>
      </c>
      <c r="C90" t="s">
        <v>1568</v>
      </c>
      <c r="D90" s="4" t="s">
        <v>3104</v>
      </c>
      <c r="E90" t="str">
        <f>IF(COUNTIF(Sayfa2!$A$2:$A$8,"*"&amp;D90&amp;"*")&gt;0, Sayfa2!$A$1,
 IF(COUNTIF(Sayfa2!$B$2:$B$8, "*"&amp;D90&amp;"*")&gt;0, Sayfa2!$B$1,
 IF(COUNTIF(Sayfa2!$C$2:$C$8, "*"&amp;D90&amp;"*")&gt;0, Sayfa2!$C$1,
 IF(COUNTIF(Sayfa2!$D$2:$D$8,"*"&amp;D90&amp;"*")&gt;0, Sayfa2!$D$1,
 IF(COUNTIF(Sayfa2!$E$2:$E$8, "*"&amp;D90&amp;"*")&gt;0, Sayfa2!$E$1, "Bulunamadı")))))</f>
        <v>Bulunamadı</v>
      </c>
    </row>
    <row r="91" spans="1:5" hidden="1" x14ac:dyDescent="0.25">
      <c r="A91" t="s">
        <v>1595</v>
      </c>
      <c r="B91" t="s">
        <v>122</v>
      </c>
      <c r="C91" t="s">
        <v>1564</v>
      </c>
      <c r="D91" s="4" t="s">
        <v>3091</v>
      </c>
      <c r="E91" t="str">
        <f>IF(COUNTIF(Sayfa2!$A$2:$A$8,"*"&amp;D91&amp;"*")&gt;0, Sayfa2!$A$1,
 IF(COUNTIF(Sayfa2!$B$2:$B$8, "*"&amp;D91&amp;"*")&gt;0, Sayfa2!$B$1,
 IF(COUNTIF(Sayfa2!$C$2:$C$8, "*"&amp;D91&amp;"*")&gt;0, Sayfa2!$C$1,
 IF(COUNTIF(Sayfa2!$D$2:$D$8,"*"&amp;D91&amp;"*")&gt;0, Sayfa2!$D$1,
 IF(COUNTIF(Sayfa2!$E$2:$E$8, "*"&amp;D91&amp;"*")&gt;0, Sayfa2!$E$1, "Bulunamadı")))))</f>
        <v>CUMA</v>
      </c>
    </row>
    <row r="92" spans="1:5" hidden="1" x14ac:dyDescent="0.25">
      <c r="A92" t="s">
        <v>1596</v>
      </c>
      <c r="B92" t="s">
        <v>123</v>
      </c>
      <c r="C92" t="s">
        <v>1564</v>
      </c>
      <c r="D92" s="4" t="s">
        <v>3091</v>
      </c>
      <c r="E92" t="str">
        <f>IF(COUNTIF(Sayfa2!$A$2:$A$8,"*"&amp;D92&amp;"*")&gt;0, Sayfa2!$A$1,
 IF(COUNTIF(Sayfa2!$B$2:$B$8, "*"&amp;D92&amp;"*")&gt;0, Sayfa2!$B$1,
 IF(COUNTIF(Sayfa2!$C$2:$C$8, "*"&amp;D92&amp;"*")&gt;0, Sayfa2!$C$1,
 IF(COUNTIF(Sayfa2!$D$2:$D$8,"*"&amp;D92&amp;"*")&gt;0, Sayfa2!$D$1,
 IF(COUNTIF(Sayfa2!$E$2:$E$8, "*"&amp;D92&amp;"*")&gt;0, Sayfa2!$E$1, "Bulunamadı")))))</f>
        <v>CUMA</v>
      </c>
    </row>
    <row r="93" spans="1:5" hidden="1" x14ac:dyDescent="0.25">
      <c r="A93" t="s">
        <v>1597</v>
      </c>
      <c r="B93" t="s">
        <v>124</v>
      </c>
      <c r="C93" t="s">
        <v>1564</v>
      </c>
      <c r="D93" s="4" t="s">
        <v>3091</v>
      </c>
      <c r="E93" t="str">
        <f>IF(COUNTIF(Sayfa2!$A$2:$A$8,"*"&amp;D93&amp;"*")&gt;0, Sayfa2!$A$1,
 IF(COUNTIF(Sayfa2!$B$2:$B$8, "*"&amp;D93&amp;"*")&gt;0, Sayfa2!$B$1,
 IF(COUNTIF(Sayfa2!$C$2:$C$8, "*"&amp;D93&amp;"*")&gt;0, Sayfa2!$C$1,
 IF(COUNTIF(Sayfa2!$D$2:$D$8,"*"&amp;D93&amp;"*")&gt;0, Sayfa2!$D$1,
 IF(COUNTIF(Sayfa2!$E$2:$E$8, "*"&amp;D93&amp;"*")&gt;0, Sayfa2!$E$1, "Bulunamadı")))))</f>
        <v>CUMA</v>
      </c>
    </row>
    <row r="94" spans="1:5" hidden="1" x14ac:dyDescent="0.25">
      <c r="A94" t="s">
        <v>1598</v>
      </c>
      <c r="B94" t="s">
        <v>125</v>
      </c>
      <c r="C94" t="s">
        <v>1564</v>
      </c>
      <c r="D94" s="4" t="s">
        <v>3091</v>
      </c>
      <c r="E94" t="str">
        <f>IF(COUNTIF(Sayfa2!$A$2:$A$8,"*"&amp;D94&amp;"*")&gt;0, Sayfa2!$A$1,
 IF(COUNTIF(Sayfa2!$B$2:$B$8, "*"&amp;D94&amp;"*")&gt;0, Sayfa2!$B$1,
 IF(COUNTIF(Sayfa2!$C$2:$C$8, "*"&amp;D94&amp;"*")&gt;0, Sayfa2!$C$1,
 IF(COUNTIF(Sayfa2!$D$2:$D$8,"*"&amp;D94&amp;"*")&gt;0, Sayfa2!$D$1,
 IF(COUNTIF(Sayfa2!$E$2:$E$8, "*"&amp;D94&amp;"*")&gt;0, Sayfa2!$E$1, "Bulunamadı")))))</f>
        <v>CUMA</v>
      </c>
    </row>
    <row r="95" spans="1:5" hidden="1" x14ac:dyDescent="0.25">
      <c r="A95" t="s">
        <v>1599</v>
      </c>
      <c r="B95" t="s">
        <v>126</v>
      </c>
      <c r="C95" t="s">
        <v>1564</v>
      </c>
      <c r="D95" s="4" t="s">
        <v>3091</v>
      </c>
      <c r="E95" t="str">
        <f>IF(COUNTIF(Sayfa2!$A$2:$A$8,"*"&amp;D95&amp;"*")&gt;0, Sayfa2!$A$1,
 IF(COUNTIF(Sayfa2!$B$2:$B$8, "*"&amp;D95&amp;"*")&gt;0, Sayfa2!$B$1,
 IF(COUNTIF(Sayfa2!$C$2:$C$8, "*"&amp;D95&amp;"*")&gt;0, Sayfa2!$C$1,
 IF(COUNTIF(Sayfa2!$D$2:$D$8,"*"&amp;D95&amp;"*")&gt;0, Sayfa2!$D$1,
 IF(COUNTIF(Sayfa2!$E$2:$E$8, "*"&amp;D95&amp;"*")&gt;0, Sayfa2!$E$1, "Bulunamadı")))))</f>
        <v>CUMA</v>
      </c>
    </row>
    <row r="96" spans="1:5" x14ac:dyDescent="0.25">
      <c r="A96" t="s">
        <v>1600</v>
      </c>
      <c r="B96" t="s">
        <v>127</v>
      </c>
      <c r="C96" t="s">
        <v>1568</v>
      </c>
      <c r="D96" s="4" t="s">
        <v>3104</v>
      </c>
      <c r="E96" t="str">
        <f>IF(COUNTIF(Sayfa2!$A$2:$A$8,"*"&amp;D96&amp;"*")&gt;0, Sayfa2!$A$1,
 IF(COUNTIF(Sayfa2!$B$2:$B$8, "*"&amp;D96&amp;"*")&gt;0, Sayfa2!$B$1,
 IF(COUNTIF(Sayfa2!$C$2:$C$8, "*"&amp;D96&amp;"*")&gt;0, Sayfa2!$C$1,
 IF(COUNTIF(Sayfa2!$D$2:$D$8,"*"&amp;D96&amp;"*")&gt;0, Sayfa2!$D$1,
 IF(COUNTIF(Sayfa2!$E$2:$E$8, "*"&amp;D96&amp;"*")&gt;0, Sayfa2!$E$1, "Bulunamadı")))))</f>
        <v>Bulunamadı</v>
      </c>
    </row>
    <row r="97" spans="1:5" x14ac:dyDescent="0.25">
      <c r="A97" t="s">
        <v>1601</v>
      </c>
      <c r="B97" t="s">
        <v>128</v>
      </c>
      <c r="C97" t="s">
        <v>1568</v>
      </c>
      <c r="D97" s="4" t="s">
        <v>3104</v>
      </c>
      <c r="E97" t="str">
        <f>IF(COUNTIF(Sayfa2!$A$2:$A$8,"*"&amp;D97&amp;"*")&gt;0, Sayfa2!$A$1,
 IF(COUNTIF(Sayfa2!$B$2:$B$8, "*"&amp;D97&amp;"*")&gt;0, Sayfa2!$B$1,
 IF(COUNTIF(Sayfa2!$C$2:$C$8, "*"&amp;D97&amp;"*")&gt;0, Sayfa2!$C$1,
 IF(COUNTIF(Sayfa2!$D$2:$D$8,"*"&amp;D97&amp;"*")&gt;0, Sayfa2!$D$1,
 IF(COUNTIF(Sayfa2!$E$2:$E$8, "*"&amp;D97&amp;"*")&gt;0, Sayfa2!$E$1, "Bulunamadı")))))</f>
        <v>Bulunamadı</v>
      </c>
    </row>
    <row r="98" spans="1:5" hidden="1" x14ac:dyDescent="0.25">
      <c r="A98" t="s">
        <v>1602</v>
      </c>
      <c r="B98" t="s">
        <v>129</v>
      </c>
      <c r="C98" t="s">
        <v>1564</v>
      </c>
      <c r="D98" s="4" t="s">
        <v>3091</v>
      </c>
      <c r="E98" t="str">
        <f>IF(COUNTIF(Sayfa2!$A$2:$A$8,"*"&amp;D98&amp;"*")&gt;0, Sayfa2!$A$1,
 IF(COUNTIF(Sayfa2!$B$2:$B$8, "*"&amp;D98&amp;"*")&gt;0, Sayfa2!$B$1,
 IF(COUNTIF(Sayfa2!$C$2:$C$8, "*"&amp;D98&amp;"*")&gt;0, Sayfa2!$C$1,
 IF(COUNTIF(Sayfa2!$D$2:$D$8,"*"&amp;D98&amp;"*")&gt;0, Sayfa2!$D$1,
 IF(COUNTIF(Sayfa2!$E$2:$E$8, "*"&amp;D98&amp;"*")&gt;0, Sayfa2!$E$1, "Bulunamadı")))))</f>
        <v>CUMA</v>
      </c>
    </row>
    <row r="99" spans="1:5" x14ac:dyDescent="0.25">
      <c r="A99" t="s">
        <v>1603</v>
      </c>
      <c r="B99" t="s">
        <v>130</v>
      </c>
      <c r="C99" t="s">
        <v>1568</v>
      </c>
      <c r="D99" s="4" t="s">
        <v>3104</v>
      </c>
      <c r="E99" t="str">
        <f>IF(COUNTIF(Sayfa2!$A$2:$A$8,"*"&amp;D99&amp;"*")&gt;0, Sayfa2!$A$1,
 IF(COUNTIF(Sayfa2!$B$2:$B$8, "*"&amp;D99&amp;"*")&gt;0, Sayfa2!$B$1,
 IF(COUNTIF(Sayfa2!$C$2:$C$8, "*"&amp;D99&amp;"*")&gt;0, Sayfa2!$C$1,
 IF(COUNTIF(Sayfa2!$D$2:$D$8,"*"&amp;D99&amp;"*")&gt;0, Sayfa2!$D$1,
 IF(COUNTIF(Sayfa2!$E$2:$E$8, "*"&amp;D99&amp;"*")&gt;0, Sayfa2!$E$1, "Bulunamadı")))))</f>
        <v>Bulunamadı</v>
      </c>
    </row>
    <row r="100" spans="1:5" hidden="1" x14ac:dyDescent="0.25">
      <c r="A100" t="s">
        <v>1604</v>
      </c>
      <c r="B100" t="s">
        <v>131</v>
      </c>
      <c r="C100" t="s">
        <v>1564</v>
      </c>
      <c r="D100" s="4" t="s">
        <v>3091</v>
      </c>
      <c r="E100" t="str">
        <f>IF(COUNTIF(Sayfa2!$A$2:$A$8,"*"&amp;D100&amp;"*")&gt;0, Sayfa2!$A$1,
 IF(COUNTIF(Sayfa2!$B$2:$B$8, "*"&amp;D100&amp;"*")&gt;0, Sayfa2!$B$1,
 IF(COUNTIF(Sayfa2!$C$2:$C$8, "*"&amp;D100&amp;"*")&gt;0, Sayfa2!$C$1,
 IF(COUNTIF(Sayfa2!$D$2:$D$8,"*"&amp;D100&amp;"*")&gt;0, Sayfa2!$D$1,
 IF(COUNTIF(Sayfa2!$E$2:$E$8, "*"&amp;D100&amp;"*")&gt;0, Sayfa2!$E$1, "Bulunamadı")))))</f>
        <v>CUMA</v>
      </c>
    </row>
    <row r="101" spans="1:5" hidden="1" x14ac:dyDescent="0.25">
      <c r="A101" t="s">
        <v>1605</v>
      </c>
      <c r="B101" t="s">
        <v>132</v>
      </c>
      <c r="C101" t="s">
        <v>1564</v>
      </c>
      <c r="D101" s="4" t="s">
        <v>3091</v>
      </c>
      <c r="E101" t="str">
        <f>IF(COUNTIF(Sayfa2!$A$2:$A$8,"*"&amp;D101&amp;"*")&gt;0, Sayfa2!$A$1,
 IF(COUNTIF(Sayfa2!$B$2:$B$8, "*"&amp;D101&amp;"*")&gt;0, Sayfa2!$B$1,
 IF(COUNTIF(Sayfa2!$C$2:$C$8, "*"&amp;D101&amp;"*")&gt;0, Sayfa2!$C$1,
 IF(COUNTIF(Sayfa2!$D$2:$D$8,"*"&amp;D101&amp;"*")&gt;0, Sayfa2!$D$1,
 IF(COUNTIF(Sayfa2!$E$2:$E$8, "*"&amp;D101&amp;"*")&gt;0, Sayfa2!$E$1, "Bulunamadı")))))</f>
        <v>CUMA</v>
      </c>
    </row>
    <row r="102" spans="1:5" hidden="1" x14ac:dyDescent="0.25">
      <c r="A102" t="s">
        <v>1606</v>
      </c>
      <c r="B102" t="s">
        <v>133</v>
      </c>
      <c r="C102" t="s">
        <v>1566</v>
      </c>
      <c r="D102" s="4" t="s">
        <v>3058</v>
      </c>
      <c r="E102" t="str">
        <f>IF(COUNTIF(Sayfa2!$A$2:$A$8,"*"&amp;D102&amp;"*")&gt;0, Sayfa2!$A$1,
 IF(COUNTIF(Sayfa2!$B$2:$B$8, "*"&amp;D102&amp;"*")&gt;0, Sayfa2!$B$1,
 IF(COUNTIF(Sayfa2!$C$2:$C$8, "*"&amp;D102&amp;"*")&gt;0, Sayfa2!$C$1,
 IF(COUNTIF(Sayfa2!$D$2:$D$8,"*"&amp;D102&amp;"*")&gt;0, Sayfa2!$D$1,
 IF(COUNTIF(Sayfa2!$E$2:$E$8, "*"&amp;D102&amp;"*")&gt;0, Sayfa2!$E$1, "Bulunamadı")))))</f>
        <v>PAZARTESİ</v>
      </c>
    </row>
    <row r="103" spans="1:5" hidden="1" x14ac:dyDescent="0.25">
      <c r="A103" t="s">
        <v>1607</v>
      </c>
      <c r="B103" t="s">
        <v>134</v>
      </c>
      <c r="C103" t="s">
        <v>1564</v>
      </c>
      <c r="D103" s="4" t="s">
        <v>3091</v>
      </c>
      <c r="E103" t="str">
        <f>IF(COUNTIF(Sayfa2!$A$2:$A$8,"*"&amp;D103&amp;"*")&gt;0, Sayfa2!$A$1,
 IF(COUNTIF(Sayfa2!$B$2:$B$8, "*"&amp;D103&amp;"*")&gt;0, Sayfa2!$B$1,
 IF(COUNTIF(Sayfa2!$C$2:$C$8, "*"&amp;D103&amp;"*")&gt;0, Sayfa2!$C$1,
 IF(COUNTIF(Sayfa2!$D$2:$D$8,"*"&amp;D103&amp;"*")&gt;0, Sayfa2!$D$1,
 IF(COUNTIF(Sayfa2!$E$2:$E$8, "*"&amp;D103&amp;"*")&gt;0, Sayfa2!$E$1, "Bulunamadı")))))</f>
        <v>CUMA</v>
      </c>
    </row>
    <row r="104" spans="1:5" hidden="1" x14ac:dyDescent="0.25">
      <c r="A104" t="s">
        <v>1608</v>
      </c>
      <c r="B104" t="s">
        <v>135</v>
      </c>
      <c r="C104" t="s">
        <v>1564</v>
      </c>
      <c r="D104" s="4" t="s">
        <v>3091</v>
      </c>
      <c r="E104" t="str">
        <f>IF(COUNTIF(Sayfa2!$A$2:$A$8,"*"&amp;D104&amp;"*")&gt;0, Sayfa2!$A$1,
 IF(COUNTIF(Sayfa2!$B$2:$B$8, "*"&amp;D104&amp;"*")&gt;0, Sayfa2!$B$1,
 IF(COUNTIF(Sayfa2!$C$2:$C$8, "*"&amp;D104&amp;"*")&gt;0, Sayfa2!$C$1,
 IF(COUNTIF(Sayfa2!$D$2:$D$8,"*"&amp;D104&amp;"*")&gt;0, Sayfa2!$D$1,
 IF(COUNTIF(Sayfa2!$E$2:$E$8, "*"&amp;D104&amp;"*")&gt;0, Sayfa2!$E$1, "Bulunamadı")))))</f>
        <v>CUMA</v>
      </c>
    </row>
    <row r="105" spans="1:5" hidden="1" x14ac:dyDescent="0.25">
      <c r="A105" t="s">
        <v>1609</v>
      </c>
      <c r="B105" t="s">
        <v>136</v>
      </c>
      <c r="C105" t="s">
        <v>1564</v>
      </c>
      <c r="D105" s="4" t="s">
        <v>3091</v>
      </c>
      <c r="E105" t="str">
        <f>IF(COUNTIF(Sayfa2!$A$2:$A$8,"*"&amp;D105&amp;"*")&gt;0, Sayfa2!$A$1,
 IF(COUNTIF(Sayfa2!$B$2:$B$8, "*"&amp;D105&amp;"*")&gt;0, Sayfa2!$B$1,
 IF(COUNTIF(Sayfa2!$C$2:$C$8, "*"&amp;D105&amp;"*")&gt;0, Sayfa2!$C$1,
 IF(COUNTIF(Sayfa2!$D$2:$D$8,"*"&amp;D105&amp;"*")&gt;0, Sayfa2!$D$1,
 IF(COUNTIF(Sayfa2!$E$2:$E$8, "*"&amp;D105&amp;"*")&gt;0, Sayfa2!$E$1, "Bulunamadı")))))</f>
        <v>CUMA</v>
      </c>
    </row>
    <row r="106" spans="1:5" hidden="1" x14ac:dyDescent="0.25">
      <c r="A106" t="s">
        <v>1610</v>
      </c>
      <c r="B106" t="s">
        <v>137</v>
      </c>
      <c r="C106" t="s">
        <v>1611</v>
      </c>
      <c r="D106" s="4" t="s">
        <v>3095</v>
      </c>
      <c r="E106" t="str">
        <f>IF(COUNTIF(Sayfa2!$A$2:$A$8,"*"&amp;D106&amp;"*")&gt;0, Sayfa2!$A$1,
 IF(COUNTIF(Sayfa2!$B$2:$B$8, "*"&amp;D106&amp;"*")&gt;0, Sayfa2!$B$1,
 IF(COUNTIF(Sayfa2!$C$2:$C$8, "*"&amp;D106&amp;"*")&gt;0, Sayfa2!$C$1,
 IF(COUNTIF(Sayfa2!$D$2:$D$8,"*"&amp;D106&amp;"*")&gt;0, Sayfa2!$D$1,
 IF(COUNTIF(Sayfa2!$E$2:$E$8, "*"&amp;D106&amp;"*")&gt;0, Sayfa2!$E$1, "Bulunamadı")))))</f>
        <v>PAZARTESİ</v>
      </c>
    </row>
    <row r="107" spans="1:5" hidden="1" x14ac:dyDescent="0.25">
      <c r="A107" t="s">
        <v>1612</v>
      </c>
      <c r="B107" t="s">
        <v>139</v>
      </c>
      <c r="C107" t="s">
        <v>1611</v>
      </c>
      <c r="D107" s="4" t="s">
        <v>3095</v>
      </c>
      <c r="E107" t="str">
        <f>IF(COUNTIF(Sayfa2!$A$2:$A$8,"*"&amp;D107&amp;"*")&gt;0, Sayfa2!$A$1,
 IF(COUNTIF(Sayfa2!$B$2:$B$8, "*"&amp;D107&amp;"*")&gt;0, Sayfa2!$B$1,
 IF(COUNTIF(Sayfa2!$C$2:$C$8, "*"&amp;D107&amp;"*")&gt;0, Sayfa2!$C$1,
 IF(COUNTIF(Sayfa2!$D$2:$D$8,"*"&amp;D107&amp;"*")&gt;0, Sayfa2!$D$1,
 IF(COUNTIF(Sayfa2!$E$2:$E$8, "*"&amp;D107&amp;"*")&gt;0, Sayfa2!$E$1, "Bulunamadı")))))</f>
        <v>PAZARTESİ</v>
      </c>
    </row>
    <row r="108" spans="1:5" hidden="1" x14ac:dyDescent="0.25">
      <c r="A108" t="s">
        <v>1613</v>
      </c>
      <c r="B108" t="s">
        <v>140</v>
      </c>
      <c r="C108" t="s">
        <v>1614</v>
      </c>
      <c r="D108" s="4" t="s">
        <v>3096</v>
      </c>
      <c r="E108" t="str">
        <f>IF(COUNTIF(Sayfa2!$A$2:$A$8,"*"&amp;D108&amp;"*")&gt;0, Sayfa2!$A$1,
 IF(COUNTIF(Sayfa2!$B$2:$B$8, "*"&amp;D108&amp;"*")&gt;0, Sayfa2!$B$1,
 IF(COUNTIF(Sayfa2!$C$2:$C$8, "*"&amp;D108&amp;"*")&gt;0, Sayfa2!$C$1,
 IF(COUNTIF(Sayfa2!$D$2:$D$8,"*"&amp;D108&amp;"*")&gt;0, Sayfa2!$D$1,
 IF(COUNTIF(Sayfa2!$E$2:$E$8, "*"&amp;D108&amp;"*")&gt;0, Sayfa2!$E$1, "Bulunamadı")))))</f>
        <v>PERŞEMBE</v>
      </c>
    </row>
    <row r="109" spans="1:5" hidden="1" x14ac:dyDescent="0.25">
      <c r="A109" t="s">
        <v>1615</v>
      </c>
      <c r="B109" t="s">
        <v>143</v>
      </c>
      <c r="C109" t="s">
        <v>1616</v>
      </c>
      <c r="D109" s="4" t="s">
        <v>3061</v>
      </c>
      <c r="E109" t="str">
        <f>IF(COUNTIF(Sayfa2!$A$2:$A$8,"*"&amp;D109&amp;"*")&gt;0, Sayfa2!$A$1,
 IF(COUNTIF(Sayfa2!$B$2:$B$8, "*"&amp;D109&amp;"*")&gt;0, Sayfa2!$B$1,
 IF(COUNTIF(Sayfa2!$C$2:$C$8, "*"&amp;D109&amp;"*")&gt;0, Sayfa2!$C$1,
 IF(COUNTIF(Sayfa2!$D$2:$D$8,"*"&amp;D109&amp;"*")&gt;0, Sayfa2!$D$1,
 IF(COUNTIF(Sayfa2!$E$2:$E$8, "*"&amp;D109&amp;"*")&gt;0, Sayfa2!$E$1, "Bulunamadı")))))</f>
        <v>PERŞEMBE</v>
      </c>
    </row>
    <row r="110" spans="1:5" hidden="1" x14ac:dyDescent="0.25">
      <c r="A110" t="s">
        <v>1617</v>
      </c>
      <c r="B110" t="s">
        <v>145</v>
      </c>
      <c r="C110" t="s">
        <v>1616</v>
      </c>
      <c r="D110" s="4" t="s">
        <v>3061</v>
      </c>
      <c r="E110" t="str">
        <f>IF(COUNTIF(Sayfa2!$A$2:$A$8,"*"&amp;D110&amp;"*")&gt;0, Sayfa2!$A$1,
 IF(COUNTIF(Sayfa2!$B$2:$B$8, "*"&amp;D110&amp;"*")&gt;0, Sayfa2!$B$1,
 IF(COUNTIF(Sayfa2!$C$2:$C$8, "*"&amp;D110&amp;"*")&gt;0, Sayfa2!$C$1,
 IF(COUNTIF(Sayfa2!$D$2:$D$8,"*"&amp;D110&amp;"*")&gt;0, Sayfa2!$D$1,
 IF(COUNTIF(Sayfa2!$E$2:$E$8, "*"&amp;D110&amp;"*")&gt;0, Sayfa2!$E$1, "Bulunamadı")))))</f>
        <v>PERŞEMBE</v>
      </c>
    </row>
    <row r="111" spans="1:5" hidden="1" x14ac:dyDescent="0.25">
      <c r="A111" t="s">
        <v>1618</v>
      </c>
      <c r="B111" t="s">
        <v>146</v>
      </c>
      <c r="C111" t="s">
        <v>1619</v>
      </c>
      <c r="D111" s="4" t="s">
        <v>3095</v>
      </c>
      <c r="E111" t="str">
        <f>IF(COUNTIF(Sayfa2!$A$2:$A$8,"*"&amp;D111&amp;"*")&gt;0, Sayfa2!$A$1,
 IF(COUNTIF(Sayfa2!$B$2:$B$8, "*"&amp;D111&amp;"*")&gt;0, Sayfa2!$B$1,
 IF(COUNTIF(Sayfa2!$C$2:$C$8, "*"&amp;D111&amp;"*")&gt;0, Sayfa2!$C$1,
 IF(COUNTIF(Sayfa2!$D$2:$D$8,"*"&amp;D111&amp;"*")&gt;0, Sayfa2!$D$1,
 IF(COUNTIF(Sayfa2!$E$2:$E$8, "*"&amp;D111&amp;"*")&gt;0, Sayfa2!$E$1, "Bulunamadı")))))</f>
        <v>PAZARTESİ</v>
      </c>
    </row>
    <row r="112" spans="1:5" hidden="1" x14ac:dyDescent="0.25">
      <c r="A112" t="s">
        <v>1620</v>
      </c>
      <c r="B112" t="s">
        <v>148</v>
      </c>
      <c r="C112" t="s">
        <v>1619</v>
      </c>
      <c r="D112" s="4" t="s">
        <v>3095</v>
      </c>
      <c r="E112" t="str">
        <f>IF(COUNTIF(Sayfa2!$A$2:$A$8,"*"&amp;D112&amp;"*")&gt;0, Sayfa2!$A$1,
 IF(COUNTIF(Sayfa2!$B$2:$B$8, "*"&amp;D112&amp;"*")&gt;0, Sayfa2!$B$1,
 IF(COUNTIF(Sayfa2!$C$2:$C$8, "*"&amp;D112&amp;"*")&gt;0, Sayfa2!$C$1,
 IF(COUNTIF(Sayfa2!$D$2:$D$8,"*"&amp;D112&amp;"*")&gt;0, Sayfa2!$D$1,
 IF(COUNTIF(Sayfa2!$E$2:$E$8, "*"&amp;D112&amp;"*")&gt;0, Sayfa2!$E$1, "Bulunamadı")))))</f>
        <v>PAZARTESİ</v>
      </c>
    </row>
    <row r="113" spans="1:5" hidden="1" x14ac:dyDescent="0.25">
      <c r="A113" t="s">
        <v>1621</v>
      </c>
      <c r="B113" t="s">
        <v>149</v>
      </c>
      <c r="C113" t="s">
        <v>1619</v>
      </c>
      <c r="D113" s="4" t="s">
        <v>3095</v>
      </c>
      <c r="E113" t="str">
        <f>IF(COUNTIF(Sayfa2!$A$2:$A$8,"*"&amp;D113&amp;"*")&gt;0, Sayfa2!$A$1,
 IF(COUNTIF(Sayfa2!$B$2:$B$8, "*"&amp;D113&amp;"*")&gt;0, Sayfa2!$B$1,
 IF(COUNTIF(Sayfa2!$C$2:$C$8, "*"&amp;D113&amp;"*")&gt;0, Sayfa2!$C$1,
 IF(COUNTIF(Sayfa2!$D$2:$D$8,"*"&amp;D113&amp;"*")&gt;0, Sayfa2!$D$1,
 IF(COUNTIF(Sayfa2!$E$2:$E$8, "*"&amp;D113&amp;"*")&gt;0, Sayfa2!$E$1, "Bulunamadı")))))</f>
        <v>PAZARTESİ</v>
      </c>
    </row>
    <row r="114" spans="1:5" hidden="1" x14ac:dyDescent="0.25">
      <c r="A114" t="s">
        <v>1622</v>
      </c>
      <c r="B114" t="s">
        <v>150</v>
      </c>
      <c r="C114" t="s">
        <v>1623</v>
      </c>
      <c r="D114" s="4" t="s">
        <v>3096</v>
      </c>
      <c r="E114" t="str">
        <f>IF(COUNTIF(Sayfa2!$A$2:$A$8,"*"&amp;D114&amp;"*")&gt;0, Sayfa2!$A$1,
 IF(COUNTIF(Sayfa2!$B$2:$B$8, "*"&amp;D114&amp;"*")&gt;0, Sayfa2!$B$1,
 IF(COUNTIF(Sayfa2!$C$2:$C$8, "*"&amp;D114&amp;"*")&gt;0, Sayfa2!$C$1,
 IF(COUNTIF(Sayfa2!$D$2:$D$8,"*"&amp;D114&amp;"*")&gt;0, Sayfa2!$D$1,
 IF(COUNTIF(Sayfa2!$E$2:$E$8, "*"&amp;D114&amp;"*")&gt;0, Sayfa2!$E$1, "Bulunamadı")))))</f>
        <v>PERŞEMBE</v>
      </c>
    </row>
    <row r="115" spans="1:5" hidden="1" x14ac:dyDescent="0.25">
      <c r="A115" t="s">
        <v>1624</v>
      </c>
      <c r="B115" t="s">
        <v>152</v>
      </c>
      <c r="C115" t="s">
        <v>1623</v>
      </c>
      <c r="D115" s="4" t="s">
        <v>3096</v>
      </c>
      <c r="E115" t="str">
        <f>IF(COUNTIF(Sayfa2!$A$2:$A$8,"*"&amp;D115&amp;"*")&gt;0, Sayfa2!$A$1,
 IF(COUNTIF(Sayfa2!$B$2:$B$8, "*"&amp;D115&amp;"*")&gt;0, Sayfa2!$B$1,
 IF(COUNTIF(Sayfa2!$C$2:$C$8, "*"&amp;D115&amp;"*")&gt;0, Sayfa2!$C$1,
 IF(COUNTIF(Sayfa2!$D$2:$D$8,"*"&amp;D115&amp;"*")&gt;0, Sayfa2!$D$1,
 IF(COUNTIF(Sayfa2!$E$2:$E$8, "*"&amp;D115&amp;"*")&gt;0, Sayfa2!$E$1, "Bulunamadı")))))</f>
        <v>PERŞEMBE</v>
      </c>
    </row>
    <row r="116" spans="1:5" hidden="1" x14ac:dyDescent="0.25">
      <c r="A116" t="s">
        <v>1625</v>
      </c>
      <c r="B116" t="s">
        <v>153</v>
      </c>
      <c r="C116" t="s">
        <v>1623</v>
      </c>
      <c r="D116" s="4" t="s">
        <v>3096</v>
      </c>
      <c r="E116" t="str">
        <f>IF(COUNTIF(Sayfa2!$A$2:$A$8,"*"&amp;D116&amp;"*")&gt;0, Sayfa2!$A$1,
 IF(COUNTIF(Sayfa2!$B$2:$B$8, "*"&amp;D116&amp;"*")&gt;0, Sayfa2!$B$1,
 IF(COUNTIF(Sayfa2!$C$2:$C$8, "*"&amp;D116&amp;"*")&gt;0, Sayfa2!$C$1,
 IF(COUNTIF(Sayfa2!$D$2:$D$8,"*"&amp;D116&amp;"*")&gt;0, Sayfa2!$D$1,
 IF(COUNTIF(Sayfa2!$E$2:$E$8, "*"&amp;D116&amp;"*")&gt;0, Sayfa2!$E$1, "Bulunamadı")))))</f>
        <v>PERŞEMBE</v>
      </c>
    </row>
    <row r="117" spans="1:5" hidden="1" x14ac:dyDescent="0.25">
      <c r="A117" t="s">
        <v>1626</v>
      </c>
      <c r="B117" t="s">
        <v>154</v>
      </c>
      <c r="C117" t="s">
        <v>1623</v>
      </c>
      <c r="D117" s="4" t="s">
        <v>3096</v>
      </c>
      <c r="E117" t="str">
        <f>IF(COUNTIF(Sayfa2!$A$2:$A$8,"*"&amp;D117&amp;"*")&gt;0, Sayfa2!$A$1,
 IF(COUNTIF(Sayfa2!$B$2:$B$8, "*"&amp;D117&amp;"*")&gt;0, Sayfa2!$B$1,
 IF(COUNTIF(Sayfa2!$C$2:$C$8, "*"&amp;D117&amp;"*")&gt;0, Sayfa2!$C$1,
 IF(COUNTIF(Sayfa2!$D$2:$D$8,"*"&amp;D117&amp;"*")&gt;0, Sayfa2!$D$1,
 IF(COUNTIF(Sayfa2!$E$2:$E$8, "*"&amp;D117&amp;"*")&gt;0, Sayfa2!$E$1, "Bulunamadı")))))</f>
        <v>PERŞEMBE</v>
      </c>
    </row>
    <row r="118" spans="1:5" hidden="1" x14ac:dyDescent="0.25">
      <c r="A118" t="s">
        <v>1627</v>
      </c>
      <c r="B118" t="s">
        <v>155</v>
      </c>
      <c r="C118" t="s">
        <v>1628</v>
      </c>
      <c r="D118" s="4" t="s">
        <v>3097</v>
      </c>
      <c r="E118" t="str">
        <f>IF(COUNTIF(Sayfa2!$A$2:$A$8,"*"&amp;D118&amp;"*")&gt;0, Sayfa2!$A$1,
 IF(COUNTIF(Sayfa2!$B$2:$B$8, "*"&amp;D118&amp;"*")&gt;0, Sayfa2!$B$1,
 IF(COUNTIF(Sayfa2!$C$2:$C$8, "*"&amp;D118&amp;"*")&gt;0, Sayfa2!$C$1,
 IF(COUNTIF(Sayfa2!$D$2:$D$8,"*"&amp;D118&amp;"*")&gt;0, Sayfa2!$D$1,
 IF(COUNTIF(Sayfa2!$E$2:$E$8, "*"&amp;D118&amp;"*")&gt;0, Sayfa2!$E$1, "Bulunamadı")))))</f>
        <v>PERŞEMBE</v>
      </c>
    </row>
    <row r="119" spans="1:5" hidden="1" x14ac:dyDescent="0.25">
      <c r="A119" t="s">
        <v>1629</v>
      </c>
      <c r="B119" t="s">
        <v>158</v>
      </c>
      <c r="C119" t="s">
        <v>1630</v>
      </c>
      <c r="D119" s="4" t="s">
        <v>3096</v>
      </c>
      <c r="E119" t="str">
        <f>IF(COUNTIF(Sayfa2!$A$2:$A$8,"*"&amp;D119&amp;"*")&gt;0, Sayfa2!$A$1,
 IF(COUNTIF(Sayfa2!$B$2:$B$8, "*"&amp;D119&amp;"*")&gt;0, Sayfa2!$B$1,
 IF(COUNTIF(Sayfa2!$C$2:$C$8, "*"&amp;D119&amp;"*")&gt;0, Sayfa2!$C$1,
 IF(COUNTIF(Sayfa2!$D$2:$D$8,"*"&amp;D119&amp;"*")&gt;0, Sayfa2!$D$1,
 IF(COUNTIF(Sayfa2!$E$2:$E$8, "*"&amp;D119&amp;"*")&gt;0, Sayfa2!$E$1, "Bulunamadı")))))</f>
        <v>PERŞEMBE</v>
      </c>
    </row>
    <row r="120" spans="1:5" hidden="1" x14ac:dyDescent="0.25">
      <c r="A120" t="s">
        <v>1631</v>
      </c>
      <c r="B120" t="s">
        <v>160</v>
      </c>
      <c r="C120" t="s">
        <v>1630</v>
      </c>
      <c r="D120" s="4" t="s">
        <v>3096</v>
      </c>
      <c r="E120" t="str">
        <f>IF(COUNTIF(Sayfa2!$A$2:$A$8,"*"&amp;D120&amp;"*")&gt;0, Sayfa2!$A$1,
 IF(COUNTIF(Sayfa2!$B$2:$B$8, "*"&amp;D120&amp;"*")&gt;0, Sayfa2!$B$1,
 IF(COUNTIF(Sayfa2!$C$2:$C$8, "*"&amp;D120&amp;"*")&gt;0, Sayfa2!$C$1,
 IF(COUNTIF(Sayfa2!$D$2:$D$8,"*"&amp;D120&amp;"*")&gt;0, Sayfa2!$D$1,
 IF(COUNTIF(Sayfa2!$E$2:$E$8, "*"&amp;D120&amp;"*")&gt;0, Sayfa2!$E$1, "Bulunamadı")))))</f>
        <v>PERŞEMBE</v>
      </c>
    </row>
    <row r="121" spans="1:5" hidden="1" x14ac:dyDescent="0.25">
      <c r="A121" t="s">
        <v>1632</v>
      </c>
      <c r="B121" t="s">
        <v>161</v>
      </c>
      <c r="C121" t="s">
        <v>1633</v>
      </c>
      <c r="D121" s="4" t="s">
        <v>3059</v>
      </c>
      <c r="E121" t="str">
        <f>IF(COUNTIF(Sayfa2!$A$2:$A$8,"*"&amp;D121&amp;"*")&gt;0, Sayfa2!$A$1,
 IF(COUNTIF(Sayfa2!$B$2:$B$8, "*"&amp;D121&amp;"*")&gt;0, Sayfa2!$B$1,
 IF(COUNTIF(Sayfa2!$C$2:$C$8, "*"&amp;D121&amp;"*")&gt;0, Sayfa2!$C$1,
 IF(COUNTIF(Sayfa2!$D$2:$D$8,"*"&amp;D121&amp;"*")&gt;0, Sayfa2!$D$1,
 IF(COUNTIF(Sayfa2!$E$2:$E$8, "*"&amp;D121&amp;"*")&gt;0, Sayfa2!$E$1, "Bulunamadı")))))</f>
        <v>SALI</v>
      </c>
    </row>
    <row r="122" spans="1:5" hidden="1" x14ac:dyDescent="0.25">
      <c r="A122" t="s">
        <v>1634</v>
      </c>
      <c r="B122" t="s">
        <v>163</v>
      </c>
      <c r="C122" t="s">
        <v>1635</v>
      </c>
      <c r="D122" s="4" t="s">
        <v>3060</v>
      </c>
      <c r="E122" t="str">
        <f>IF(COUNTIF(Sayfa2!$A$2:$A$8,"*"&amp;D122&amp;"*")&gt;0, Sayfa2!$A$1,
 IF(COUNTIF(Sayfa2!$B$2:$B$8, "*"&amp;D122&amp;"*")&gt;0, Sayfa2!$B$1,
 IF(COUNTIF(Sayfa2!$C$2:$C$8, "*"&amp;D122&amp;"*")&gt;0, Sayfa2!$C$1,
 IF(COUNTIF(Sayfa2!$D$2:$D$8,"*"&amp;D122&amp;"*")&gt;0, Sayfa2!$D$1,
 IF(COUNTIF(Sayfa2!$E$2:$E$8, "*"&amp;D122&amp;"*")&gt;0, Sayfa2!$E$1, "Bulunamadı")))))</f>
        <v>ÇARŞAMBA</v>
      </c>
    </row>
    <row r="123" spans="1:5" hidden="1" x14ac:dyDescent="0.25">
      <c r="A123" t="s">
        <v>1636</v>
      </c>
      <c r="B123" t="s">
        <v>165</v>
      </c>
      <c r="C123" t="s">
        <v>1637</v>
      </c>
      <c r="D123" s="4" t="s">
        <v>3090</v>
      </c>
      <c r="E123" t="str">
        <f>IF(COUNTIF(Sayfa2!$A$2:$A$8,"*"&amp;D123&amp;"*")&gt;0, Sayfa2!$A$1,
 IF(COUNTIF(Sayfa2!$B$2:$B$8, "*"&amp;D123&amp;"*")&gt;0, Sayfa2!$B$1,
 IF(COUNTIF(Sayfa2!$C$2:$C$8, "*"&amp;D123&amp;"*")&gt;0, Sayfa2!$C$1,
 IF(COUNTIF(Sayfa2!$D$2:$D$8,"*"&amp;D123&amp;"*")&gt;0, Sayfa2!$D$1,
 IF(COUNTIF(Sayfa2!$E$2:$E$8, "*"&amp;D123&amp;"*")&gt;0, Sayfa2!$E$1, "Bulunamadı")))))</f>
        <v>ÇARŞAMBA</v>
      </c>
    </row>
    <row r="124" spans="1:5" hidden="1" x14ac:dyDescent="0.25">
      <c r="A124" t="s">
        <v>1638</v>
      </c>
      <c r="B124" t="s">
        <v>167</v>
      </c>
      <c r="C124" t="s">
        <v>1639</v>
      </c>
      <c r="D124" s="4" t="s">
        <v>3058</v>
      </c>
      <c r="E124" t="str">
        <f>IF(COUNTIF(Sayfa2!$A$2:$A$8,"*"&amp;D124&amp;"*")&gt;0, Sayfa2!$A$1,
 IF(COUNTIF(Sayfa2!$B$2:$B$8, "*"&amp;D124&amp;"*")&gt;0, Sayfa2!$B$1,
 IF(COUNTIF(Sayfa2!$C$2:$C$8, "*"&amp;D124&amp;"*")&gt;0, Sayfa2!$C$1,
 IF(COUNTIF(Sayfa2!$D$2:$D$8,"*"&amp;D124&amp;"*")&gt;0, Sayfa2!$D$1,
 IF(COUNTIF(Sayfa2!$E$2:$E$8, "*"&amp;D124&amp;"*")&gt;0, Sayfa2!$E$1, "Bulunamadı")))))</f>
        <v>PAZARTESİ</v>
      </c>
    </row>
    <row r="125" spans="1:5" hidden="1" x14ac:dyDescent="0.25">
      <c r="A125" t="s">
        <v>1640</v>
      </c>
      <c r="B125" t="s">
        <v>169</v>
      </c>
      <c r="C125" t="s">
        <v>1639</v>
      </c>
      <c r="D125" s="4" t="s">
        <v>3058</v>
      </c>
      <c r="E125" t="str">
        <f>IF(COUNTIF(Sayfa2!$A$2:$A$8,"*"&amp;D125&amp;"*")&gt;0, Sayfa2!$A$1,
 IF(COUNTIF(Sayfa2!$B$2:$B$8, "*"&amp;D125&amp;"*")&gt;0, Sayfa2!$B$1,
 IF(COUNTIF(Sayfa2!$C$2:$C$8, "*"&amp;D125&amp;"*")&gt;0, Sayfa2!$C$1,
 IF(COUNTIF(Sayfa2!$D$2:$D$8,"*"&amp;D125&amp;"*")&gt;0, Sayfa2!$D$1,
 IF(COUNTIF(Sayfa2!$E$2:$E$8, "*"&amp;D125&amp;"*")&gt;0, Sayfa2!$E$1, "Bulunamadı")))))</f>
        <v>PAZARTESİ</v>
      </c>
    </row>
    <row r="126" spans="1:5" x14ac:dyDescent="0.25">
      <c r="A126" t="s">
        <v>1641</v>
      </c>
      <c r="B126" t="s">
        <v>170</v>
      </c>
      <c r="C126" t="s">
        <v>1642</v>
      </c>
      <c r="D126" s="4" t="s">
        <v>3104</v>
      </c>
      <c r="E126" t="str">
        <f>IF(COUNTIF(Sayfa2!$A$2:$A$8,"*"&amp;D126&amp;"*")&gt;0, Sayfa2!$A$1,
 IF(COUNTIF(Sayfa2!$B$2:$B$8, "*"&amp;D126&amp;"*")&gt;0, Sayfa2!$B$1,
 IF(COUNTIF(Sayfa2!$C$2:$C$8, "*"&amp;D126&amp;"*")&gt;0, Sayfa2!$C$1,
 IF(COUNTIF(Sayfa2!$D$2:$D$8,"*"&amp;D126&amp;"*")&gt;0, Sayfa2!$D$1,
 IF(COUNTIF(Sayfa2!$E$2:$E$8, "*"&amp;D126&amp;"*")&gt;0, Sayfa2!$E$1, "Bulunamadı")))))</f>
        <v>Bulunamadı</v>
      </c>
    </row>
    <row r="127" spans="1:5" hidden="1" x14ac:dyDescent="0.25">
      <c r="A127" t="s">
        <v>1643</v>
      </c>
      <c r="B127" t="s">
        <v>171</v>
      </c>
      <c r="C127" t="s">
        <v>1639</v>
      </c>
      <c r="D127" s="4" t="s">
        <v>3058</v>
      </c>
      <c r="E127" t="str">
        <f>IF(COUNTIF(Sayfa2!$A$2:$A$8,"*"&amp;D127&amp;"*")&gt;0, Sayfa2!$A$1,
 IF(COUNTIF(Sayfa2!$B$2:$B$8, "*"&amp;D127&amp;"*")&gt;0, Sayfa2!$B$1,
 IF(COUNTIF(Sayfa2!$C$2:$C$8, "*"&amp;D127&amp;"*")&gt;0, Sayfa2!$C$1,
 IF(COUNTIF(Sayfa2!$D$2:$D$8,"*"&amp;D127&amp;"*")&gt;0, Sayfa2!$D$1,
 IF(COUNTIF(Sayfa2!$E$2:$E$8, "*"&amp;D127&amp;"*")&gt;0, Sayfa2!$E$1, "Bulunamadı")))))</f>
        <v>PAZARTESİ</v>
      </c>
    </row>
    <row r="128" spans="1:5" hidden="1" x14ac:dyDescent="0.25">
      <c r="A128" t="s">
        <v>1644</v>
      </c>
      <c r="B128" t="s">
        <v>172</v>
      </c>
      <c r="C128" t="s">
        <v>1639</v>
      </c>
      <c r="D128" s="4" t="s">
        <v>3058</v>
      </c>
      <c r="E128" t="str">
        <f>IF(COUNTIF(Sayfa2!$A$2:$A$8,"*"&amp;D128&amp;"*")&gt;0, Sayfa2!$A$1,
 IF(COUNTIF(Sayfa2!$B$2:$B$8, "*"&amp;D128&amp;"*")&gt;0, Sayfa2!$B$1,
 IF(COUNTIF(Sayfa2!$C$2:$C$8, "*"&amp;D128&amp;"*")&gt;0, Sayfa2!$C$1,
 IF(COUNTIF(Sayfa2!$D$2:$D$8,"*"&amp;D128&amp;"*")&gt;0, Sayfa2!$D$1,
 IF(COUNTIF(Sayfa2!$E$2:$E$8, "*"&amp;D128&amp;"*")&gt;0, Sayfa2!$E$1, "Bulunamadı")))))</f>
        <v>PAZARTESİ</v>
      </c>
    </row>
    <row r="129" spans="1:5" hidden="1" x14ac:dyDescent="0.25">
      <c r="A129" t="s">
        <v>1645</v>
      </c>
      <c r="B129" t="s">
        <v>173</v>
      </c>
      <c r="C129" t="s">
        <v>1639</v>
      </c>
      <c r="D129" s="4" t="s">
        <v>3058</v>
      </c>
      <c r="E129" t="str">
        <f>IF(COUNTIF(Sayfa2!$A$2:$A$8,"*"&amp;D129&amp;"*")&gt;0, Sayfa2!$A$1,
 IF(COUNTIF(Sayfa2!$B$2:$B$8, "*"&amp;D129&amp;"*")&gt;0, Sayfa2!$B$1,
 IF(COUNTIF(Sayfa2!$C$2:$C$8, "*"&amp;D129&amp;"*")&gt;0, Sayfa2!$C$1,
 IF(COUNTIF(Sayfa2!$D$2:$D$8,"*"&amp;D129&amp;"*")&gt;0, Sayfa2!$D$1,
 IF(COUNTIF(Sayfa2!$E$2:$E$8, "*"&amp;D129&amp;"*")&gt;0, Sayfa2!$E$1, "Bulunamadı")))))</f>
        <v>PAZARTESİ</v>
      </c>
    </row>
    <row r="130" spans="1:5" hidden="1" x14ac:dyDescent="0.25">
      <c r="A130" t="s">
        <v>1646</v>
      </c>
      <c r="B130" t="s">
        <v>174</v>
      </c>
      <c r="C130" t="s">
        <v>1639</v>
      </c>
      <c r="D130" s="4" t="s">
        <v>3058</v>
      </c>
      <c r="E130" t="str">
        <f>IF(COUNTIF(Sayfa2!$A$2:$A$8,"*"&amp;D130&amp;"*")&gt;0, Sayfa2!$A$1,
 IF(COUNTIF(Sayfa2!$B$2:$B$8, "*"&amp;D130&amp;"*")&gt;0, Sayfa2!$B$1,
 IF(COUNTIF(Sayfa2!$C$2:$C$8, "*"&amp;D130&amp;"*")&gt;0, Sayfa2!$C$1,
 IF(COUNTIF(Sayfa2!$D$2:$D$8,"*"&amp;D130&amp;"*")&gt;0, Sayfa2!$D$1,
 IF(COUNTIF(Sayfa2!$E$2:$E$8, "*"&amp;D130&amp;"*")&gt;0, Sayfa2!$E$1, "Bulunamadı")))))</f>
        <v>PAZARTESİ</v>
      </c>
    </row>
    <row r="131" spans="1:5" x14ac:dyDescent="0.25">
      <c r="A131" t="s">
        <v>1647</v>
      </c>
      <c r="B131" t="s">
        <v>175</v>
      </c>
      <c r="C131" t="s">
        <v>1642</v>
      </c>
      <c r="D131" s="4" t="s">
        <v>3104</v>
      </c>
      <c r="E131" t="str">
        <f>IF(COUNTIF(Sayfa2!$A$2:$A$8,"*"&amp;D131&amp;"*")&gt;0, Sayfa2!$A$1,
 IF(COUNTIF(Sayfa2!$B$2:$B$8, "*"&amp;D131&amp;"*")&gt;0, Sayfa2!$B$1,
 IF(COUNTIF(Sayfa2!$C$2:$C$8, "*"&amp;D131&amp;"*")&gt;0, Sayfa2!$C$1,
 IF(COUNTIF(Sayfa2!$D$2:$D$8,"*"&amp;D131&amp;"*")&gt;0, Sayfa2!$D$1,
 IF(COUNTIF(Sayfa2!$E$2:$E$8, "*"&amp;D131&amp;"*")&gt;0, Sayfa2!$E$1, "Bulunamadı")))))</f>
        <v>Bulunamadı</v>
      </c>
    </row>
    <row r="132" spans="1:5" x14ac:dyDescent="0.25">
      <c r="A132" t="s">
        <v>1648</v>
      </c>
      <c r="B132" t="s">
        <v>176</v>
      </c>
      <c r="C132" t="s">
        <v>1642</v>
      </c>
      <c r="D132" s="4" t="s">
        <v>3104</v>
      </c>
      <c r="E132" t="str">
        <f>IF(COUNTIF(Sayfa2!$A$2:$A$8,"*"&amp;D132&amp;"*")&gt;0, Sayfa2!$A$1,
 IF(COUNTIF(Sayfa2!$B$2:$B$8, "*"&amp;D132&amp;"*")&gt;0, Sayfa2!$B$1,
 IF(COUNTIF(Sayfa2!$C$2:$C$8, "*"&amp;D132&amp;"*")&gt;0, Sayfa2!$C$1,
 IF(COUNTIF(Sayfa2!$D$2:$D$8,"*"&amp;D132&amp;"*")&gt;0, Sayfa2!$D$1,
 IF(COUNTIF(Sayfa2!$E$2:$E$8, "*"&amp;D132&amp;"*")&gt;0, Sayfa2!$E$1, "Bulunamadı")))))</f>
        <v>Bulunamadı</v>
      </c>
    </row>
    <row r="133" spans="1:5" hidden="1" x14ac:dyDescent="0.25">
      <c r="A133" t="s">
        <v>1649</v>
      </c>
      <c r="B133" t="s">
        <v>177</v>
      </c>
      <c r="C133" t="s">
        <v>1639</v>
      </c>
      <c r="D133" s="4" t="s">
        <v>3058</v>
      </c>
      <c r="E133" t="str">
        <f>IF(COUNTIF(Sayfa2!$A$2:$A$8,"*"&amp;D133&amp;"*")&gt;0, Sayfa2!$A$1,
 IF(COUNTIF(Sayfa2!$B$2:$B$8, "*"&amp;D133&amp;"*")&gt;0, Sayfa2!$B$1,
 IF(COUNTIF(Sayfa2!$C$2:$C$8, "*"&amp;D133&amp;"*")&gt;0, Sayfa2!$C$1,
 IF(COUNTIF(Sayfa2!$D$2:$D$8,"*"&amp;D133&amp;"*")&gt;0, Sayfa2!$D$1,
 IF(COUNTIF(Sayfa2!$E$2:$E$8, "*"&amp;D133&amp;"*")&gt;0, Sayfa2!$E$1, "Bulunamadı")))))</f>
        <v>PAZARTESİ</v>
      </c>
    </row>
    <row r="134" spans="1:5" x14ac:dyDescent="0.25">
      <c r="A134" t="s">
        <v>1650</v>
      </c>
      <c r="B134" t="s">
        <v>178</v>
      </c>
      <c r="C134" t="s">
        <v>1642</v>
      </c>
      <c r="D134" s="4" t="s">
        <v>3104</v>
      </c>
      <c r="E134" t="str">
        <f>IF(COUNTIF(Sayfa2!$A$2:$A$8,"*"&amp;D134&amp;"*")&gt;0, Sayfa2!$A$1,
 IF(COUNTIF(Sayfa2!$B$2:$B$8, "*"&amp;D134&amp;"*")&gt;0, Sayfa2!$B$1,
 IF(COUNTIF(Sayfa2!$C$2:$C$8, "*"&amp;D134&amp;"*")&gt;0, Sayfa2!$C$1,
 IF(COUNTIF(Sayfa2!$D$2:$D$8,"*"&amp;D134&amp;"*")&gt;0, Sayfa2!$D$1,
 IF(COUNTIF(Sayfa2!$E$2:$E$8, "*"&amp;D134&amp;"*")&gt;0, Sayfa2!$E$1, "Bulunamadı")))))</f>
        <v>Bulunamadı</v>
      </c>
    </row>
    <row r="135" spans="1:5" hidden="1" x14ac:dyDescent="0.25">
      <c r="A135" t="s">
        <v>1651</v>
      </c>
      <c r="B135" t="s">
        <v>179</v>
      </c>
      <c r="C135" t="s">
        <v>1639</v>
      </c>
      <c r="D135" s="4" t="s">
        <v>3058</v>
      </c>
      <c r="E135" t="str">
        <f>IF(COUNTIF(Sayfa2!$A$2:$A$8,"*"&amp;D135&amp;"*")&gt;0, Sayfa2!$A$1,
 IF(COUNTIF(Sayfa2!$B$2:$B$8, "*"&amp;D135&amp;"*")&gt;0, Sayfa2!$B$1,
 IF(COUNTIF(Sayfa2!$C$2:$C$8, "*"&amp;D135&amp;"*")&gt;0, Sayfa2!$C$1,
 IF(COUNTIF(Sayfa2!$D$2:$D$8,"*"&amp;D135&amp;"*")&gt;0, Sayfa2!$D$1,
 IF(COUNTIF(Sayfa2!$E$2:$E$8, "*"&amp;D135&amp;"*")&gt;0, Sayfa2!$E$1, "Bulunamadı")))))</f>
        <v>PAZARTESİ</v>
      </c>
    </row>
    <row r="136" spans="1:5" hidden="1" x14ac:dyDescent="0.25">
      <c r="A136" t="s">
        <v>1652</v>
      </c>
      <c r="B136" t="s">
        <v>180</v>
      </c>
      <c r="C136" t="s">
        <v>1639</v>
      </c>
      <c r="D136" s="4" t="s">
        <v>3058</v>
      </c>
      <c r="E136" t="str">
        <f>IF(COUNTIF(Sayfa2!$A$2:$A$8,"*"&amp;D136&amp;"*")&gt;0, Sayfa2!$A$1,
 IF(COUNTIF(Sayfa2!$B$2:$B$8, "*"&amp;D136&amp;"*")&gt;0, Sayfa2!$B$1,
 IF(COUNTIF(Sayfa2!$C$2:$C$8, "*"&amp;D136&amp;"*")&gt;0, Sayfa2!$C$1,
 IF(COUNTIF(Sayfa2!$D$2:$D$8,"*"&amp;D136&amp;"*")&gt;0, Sayfa2!$D$1,
 IF(COUNTIF(Sayfa2!$E$2:$E$8, "*"&amp;D136&amp;"*")&gt;0, Sayfa2!$E$1, "Bulunamadı")))))</f>
        <v>PAZARTESİ</v>
      </c>
    </row>
    <row r="137" spans="1:5" hidden="1" x14ac:dyDescent="0.25">
      <c r="A137" t="s">
        <v>1653</v>
      </c>
      <c r="B137" t="s">
        <v>181</v>
      </c>
      <c r="C137" t="s">
        <v>1639</v>
      </c>
      <c r="D137" s="4" t="s">
        <v>3058</v>
      </c>
      <c r="E137" t="str">
        <f>IF(COUNTIF(Sayfa2!$A$2:$A$8,"*"&amp;D137&amp;"*")&gt;0, Sayfa2!$A$1,
 IF(COUNTIF(Sayfa2!$B$2:$B$8, "*"&amp;D137&amp;"*")&gt;0, Sayfa2!$B$1,
 IF(COUNTIF(Sayfa2!$C$2:$C$8, "*"&amp;D137&amp;"*")&gt;0, Sayfa2!$C$1,
 IF(COUNTIF(Sayfa2!$D$2:$D$8,"*"&amp;D137&amp;"*")&gt;0, Sayfa2!$D$1,
 IF(COUNTIF(Sayfa2!$E$2:$E$8, "*"&amp;D137&amp;"*")&gt;0, Sayfa2!$E$1, "Bulunamadı")))))</f>
        <v>PAZARTESİ</v>
      </c>
    </row>
    <row r="138" spans="1:5" x14ac:dyDescent="0.25">
      <c r="A138" t="s">
        <v>1654</v>
      </c>
      <c r="B138" t="s">
        <v>182</v>
      </c>
      <c r="C138" t="s">
        <v>1642</v>
      </c>
      <c r="D138" s="4" t="s">
        <v>3104</v>
      </c>
      <c r="E138" t="str">
        <f>IF(COUNTIF(Sayfa2!$A$2:$A$8,"*"&amp;D138&amp;"*")&gt;0, Sayfa2!$A$1,
 IF(COUNTIF(Sayfa2!$B$2:$B$8, "*"&amp;D138&amp;"*")&gt;0, Sayfa2!$B$1,
 IF(COUNTIF(Sayfa2!$C$2:$C$8, "*"&amp;D138&amp;"*")&gt;0, Sayfa2!$C$1,
 IF(COUNTIF(Sayfa2!$D$2:$D$8,"*"&amp;D138&amp;"*")&gt;0, Sayfa2!$D$1,
 IF(COUNTIF(Sayfa2!$E$2:$E$8, "*"&amp;D138&amp;"*")&gt;0, Sayfa2!$E$1, "Bulunamadı")))))</f>
        <v>Bulunamadı</v>
      </c>
    </row>
    <row r="139" spans="1:5" hidden="1" x14ac:dyDescent="0.25">
      <c r="A139" t="s">
        <v>1655</v>
      </c>
      <c r="B139" t="s">
        <v>183</v>
      </c>
      <c r="C139" t="s">
        <v>1639</v>
      </c>
      <c r="D139" s="4" t="s">
        <v>3058</v>
      </c>
      <c r="E139" t="str">
        <f>IF(COUNTIF(Sayfa2!$A$2:$A$8,"*"&amp;D139&amp;"*")&gt;0, Sayfa2!$A$1,
 IF(COUNTIF(Sayfa2!$B$2:$B$8, "*"&amp;D139&amp;"*")&gt;0, Sayfa2!$B$1,
 IF(COUNTIF(Sayfa2!$C$2:$C$8, "*"&amp;D139&amp;"*")&gt;0, Sayfa2!$C$1,
 IF(COUNTIF(Sayfa2!$D$2:$D$8,"*"&amp;D139&amp;"*")&gt;0, Sayfa2!$D$1,
 IF(COUNTIF(Sayfa2!$E$2:$E$8, "*"&amp;D139&amp;"*")&gt;0, Sayfa2!$E$1, "Bulunamadı")))))</f>
        <v>PAZARTESİ</v>
      </c>
    </row>
    <row r="140" spans="1:5" hidden="1" x14ac:dyDescent="0.25">
      <c r="A140" t="s">
        <v>1656</v>
      </c>
      <c r="B140" t="s">
        <v>184</v>
      </c>
      <c r="C140" t="s">
        <v>1639</v>
      </c>
      <c r="D140" s="4" t="s">
        <v>3058</v>
      </c>
      <c r="E140" t="str">
        <f>IF(COUNTIF(Sayfa2!$A$2:$A$8,"*"&amp;D140&amp;"*")&gt;0, Sayfa2!$A$1,
 IF(COUNTIF(Sayfa2!$B$2:$B$8, "*"&amp;D140&amp;"*")&gt;0, Sayfa2!$B$1,
 IF(COUNTIF(Sayfa2!$C$2:$C$8, "*"&amp;D140&amp;"*")&gt;0, Sayfa2!$C$1,
 IF(COUNTIF(Sayfa2!$D$2:$D$8,"*"&amp;D140&amp;"*")&gt;0, Sayfa2!$D$1,
 IF(COUNTIF(Sayfa2!$E$2:$E$8, "*"&amp;D140&amp;"*")&gt;0, Sayfa2!$E$1, "Bulunamadı")))))</f>
        <v>PAZARTESİ</v>
      </c>
    </row>
    <row r="141" spans="1:5" hidden="1" x14ac:dyDescent="0.25">
      <c r="A141" t="s">
        <v>1657</v>
      </c>
      <c r="B141" t="s">
        <v>185</v>
      </c>
      <c r="C141" t="s">
        <v>1639</v>
      </c>
      <c r="D141" s="4" t="s">
        <v>3058</v>
      </c>
      <c r="E141" t="str">
        <f>IF(COUNTIF(Sayfa2!$A$2:$A$8,"*"&amp;D141&amp;"*")&gt;0, Sayfa2!$A$1,
 IF(COUNTIF(Sayfa2!$B$2:$B$8, "*"&amp;D141&amp;"*")&gt;0, Sayfa2!$B$1,
 IF(COUNTIF(Sayfa2!$C$2:$C$8, "*"&amp;D141&amp;"*")&gt;0, Sayfa2!$C$1,
 IF(COUNTIF(Sayfa2!$D$2:$D$8,"*"&amp;D141&amp;"*")&gt;0, Sayfa2!$D$1,
 IF(COUNTIF(Sayfa2!$E$2:$E$8, "*"&amp;D141&amp;"*")&gt;0, Sayfa2!$E$1, "Bulunamadı")))))</f>
        <v>PAZARTESİ</v>
      </c>
    </row>
    <row r="142" spans="1:5" x14ac:dyDescent="0.25">
      <c r="A142" t="s">
        <v>1658</v>
      </c>
      <c r="B142" t="s">
        <v>186</v>
      </c>
      <c r="C142" t="s">
        <v>1642</v>
      </c>
      <c r="D142" s="4" t="s">
        <v>3104</v>
      </c>
      <c r="E142" t="str">
        <f>IF(COUNTIF(Sayfa2!$A$2:$A$8,"*"&amp;D142&amp;"*")&gt;0, Sayfa2!$A$1,
 IF(COUNTIF(Sayfa2!$B$2:$B$8, "*"&amp;D142&amp;"*")&gt;0, Sayfa2!$B$1,
 IF(COUNTIF(Sayfa2!$C$2:$C$8, "*"&amp;D142&amp;"*")&gt;0, Sayfa2!$C$1,
 IF(COUNTIF(Sayfa2!$D$2:$D$8,"*"&amp;D142&amp;"*")&gt;0, Sayfa2!$D$1,
 IF(COUNTIF(Sayfa2!$E$2:$E$8, "*"&amp;D142&amp;"*")&gt;0, Sayfa2!$E$1, "Bulunamadı")))))</f>
        <v>Bulunamadı</v>
      </c>
    </row>
    <row r="143" spans="1:5" hidden="1" x14ac:dyDescent="0.25">
      <c r="A143" t="s">
        <v>1659</v>
      </c>
      <c r="B143" t="s">
        <v>187</v>
      </c>
      <c r="C143" t="s">
        <v>1639</v>
      </c>
      <c r="D143" s="4" t="s">
        <v>3058</v>
      </c>
      <c r="E143" t="str">
        <f>IF(COUNTIF(Sayfa2!$A$2:$A$8,"*"&amp;D143&amp;"*")&gt;0, Sayfa2!$A$1,
 IF(COUNTIF(Sayfa2!$B$2:$B$8, "*"&amp;D143&amp;"*")&gt;0, Sayfa2!$B$1,
 IF(COUNTIF(Sayfa2!$C$2:$C$8, "*"&amp;D143&amp;"*")&gt;0, Sayfa2!$C$1,
 IF(COUNTIF(Sayfa2!$D$2:$D$8,"*"&amp;D143&amp;"*")&gt;0, Sayfa2!$D$1,
 IF(COUNTIF(Sayfa2!$E$2:$E$8, "*"&amp;D143&amp;"*")&gt;0, Sayfa2!$E$1, "Bulunamadı")))))</f>
        <v>PAZARTESİ</v>
      </c>
    </row>
    <row r="144" spans="1:5" x14ac:dyDescent="0.25">
      <c r="A144" t="s">
        <v>1660</v>
      </c>
      <c r="B144" t="s">
        <v>188</v>
      </c>
      <c r="C144" t="s">
        <v>1642</v>
      </c>
      <c r="D144" s="4" t="s">
        <v>3104</v>
      </c>
      <c r="E144" t="str">
        <f>IF(COUNTIF(Sayfa2!$A$2:$A$8,"*"&amp;D144&amp;"*")&gt;0, Sayfa2!$A$1,
 IF(COUNTIF(Sayfa2!$B$2:$B$8, "*"&amp;D144&amp;"*")&gt;0, Sayfa2!$B$1,
 IF(COUNTIF(Sayfa2!$C$2:$C$8, "*"&amp;D144&amp;"*")&gt;0, Sayfa2!$C$1,
 IF(COUNTIF(Sayfa2!$D$2:$D$8,"*"&amp;D144&amp;"*")&gt;0, Sayfa2!$D$1,
 IF(COUNTIF(Sayfa2!$E$2:$E$8, "*"&amp;D144&amp;"*")&gt;0, Sayfa2!$E$1, "Bulunamadı")))))</f>
        <v>Bulunamadı</v>
      </c>
    </row>
    <row r="145" spans="1:5" x14ac:dyDescent="0.25">
      <c r="A145" t="s">
        <v>1661</v>
      </c>
      <c r="B145" t="s">
        <v>189</v>
      </c>
      <c r="C145" t="s">
        <v>1662</v>
      </c>
      <c r="D145" s="4" t="s">
        <v>3111</v>
      </c>
      <c r="E145" t="str">
        <f>IF(COUNTIF(Sayfa2!$A$2:$A$8,"*"&amp;D145&amp;"*")&gt;0, Sayfa2!$A$1,
 IF(COUNTIF(Sayfa2!$B$2:$B$8, "*"&amp;D145&amp;"*")&gt;0, Sayfa2!$B$1,
 IF(COUNTIF(Sayfa2!$C$2:$C$8, "*"&amp;D145&amp;"*")&gt;0, Sayfa2!$C$1,
 IF(COUNTIF(Sayfa2!$D$2:$D$8,"*"&amp;D145&amp;"*")&gt;0, Sayfa2!$D$1,
 IF(COUNTIF(Sayfa2!$E$2:$E$8, "*"&amp;D145&amp;"*")&gt;0, Sayfa2!$E$1, "Bulunamadı")))))</f>
        <v>Bulunamadı</v>
      </c>
    </row>
    <row r="146" spans="1:5" hidden="1" x14ac:dyDescent="0.25">
      <c r="A146" t="s">
        <v>1663</v>
      </c>
      <c r="B146" t="s">
        <v>190</v>
      </c>
      <c r="C146" t="s">
        <v>1639</v>
      </c>
      <c r="D146" s="4" t="s">
        <v>3058</v>
      </c>
      <c r="E146" t="str">
        <f>IF(COUNTIF(Sayfa2!$A$2:$A$8,"*"&amp;D146&amp;"*")&gt;0, Sayfa2!$A$1,
 IF(COUNTIF(Sayfa2!$B$2:$B$8, "*"&amp;D146&amp;"*")&gt;0, Sayfa2!$B$1,
 IF(COUNTIF(Sayfa2!$C$2:$C$8, "*"&amp;D146&amp;"*")&gt;0, Sayfa2!$C$1,
 IF(COUNTIF(Sayfa2!$D$2:$D$8,"*"&amp;D146&amp;"*")&gt;0, Sayfa2!$D$1,
 IF(COUNTIF(Sayfa2!$E$2:$E$8, "*"&amp;D146&amp;"*")&gt;0, Sayfa2!$E$1, "Bulunamadı")))))</f>
        <v>PAZARTESİ</v>
      </c>
    </row>
    <row r="147" spans="1:5" x14ac:dyDescent="0.25">
      <c r="A147" t="s">
        <v>1664</v>
      </c>
      <c r="B147" t="s">
        <v>191</v>
      </c>
      <c r="C147" t="s">
        <v>1642</v>
      </c>
      <c r="D147" s="4" t="s">
        <v>3104</v>
      </c>
      <c r="E147" t="str">
        <f>IF(COUNTIF(Sayfa2!$A$2:$A$8,"*"&amp;D147&amp;"*")&gt;0, Sayfa2!$A$1,
 IF(COUNTIF(Sayfa2!$B$2:$B$8, "*"&amp;D147&amp;"*")&gt;0, Sayfa2!$B$1,
 IF(COUNTIF(Sayfa2!$C$2:$C$8, "*"&amp;D147&amp;"*")&gt;0, Sayfa2!$C$1,
 IF(COUNTIF(Sayfa2!$D$2:$D$8,"*"&amp;D147&amp;"*")&gt;0, Sayfa2!$D$1,
 IF(COUNTIF(Sayfa2!$E$2:$E$8, "*"&amp;D147&amp;"*")&gt;0, Sayfa2!$E$1, "Bulunamadı")))))</f>
        <v>Bulunamadı</v>
      </c>
    </row>
    <row r="148" spans="1:5" hidden="1" x14ac:dyDescent="0.25">
      <c r="A148" t="s">
        <v>1665</v>
      </c>
      <c r="B148" t="s">
        <v>192</v>
      </c>
      <c r="C148" t="s">
        <v>1639</v>
      </c>
      <c r="D148" s="4" t="s">
        <v>3058</v>
      </c>
      <c r="E148" t="str">
        <f>IF(COUNTIF(Sayfa2!$A$2:$A$8,"*"&amp;D148&amp;"*")&gt;0, Sayfa2!$A$1,
 IF(COUNTIF(Sayfa2!$B$2:$B$8, "*"&amp;D148&amp;"*")&gt;0, Sayfa2!$B$1,
 IF(COUNTIF(Sayfa2!$C$2:$C$8, "*"&amp;D148&amp;"*")&gt;0, Sayfa2!$C$1,
 IF(COUNTIF(Sayfa2!$D$2:$D$8,"*"&amp;D148&amp;"*")&gt;0, Sayfa2!$D$1,
 IF(COUNTIF(Sayfa2!$E$2:$E$8, "*"&amp;D148&amp;"*")&gt;0, Sayfa2!$E$1, "Bulunamadı")))))</f>
        <v>PAZARTESİ</v>
      </c>
    </row>
    <row r="149" spans="1:5" hidden="1" x14ac:dyDescent="0.25">
      <c r="A149" t="s">
        <v>1666</v>
      </c>
      <c r="B149" t="s">
        <v>193</v>
      </c>
      <c r="C149" t="s">
        <v>1639</v>
      </c>
      <c r="D149" s="4" t="s">
        <v>3058</v>
      </c>
      <c r="E149" t="str">
        <f>IF(COUNTIF(Sayfa2!$A$2:$A$8,"*"&amp;D149&amp;"*")&gt;0, Sayfa2!$A$1,
 IF(COUNTIF(Sayfa2!$B$2:$B$8, "*"&amp;D149&amp;"*")&gt;0, Sayfa2!$B$1,
 IF(COUNTIF(Sayfa2!$C$2:$C$8, "*"&amp;D149&amp;"*")&gt;0, Sayfa2!$C$1,
 IF(COUNTIF(Sayfa2!$D$2:$D$8,"*"&amp;D149&amp;"*")&gt;0, Sayfa2!$D$1,
 IF(COUNTIF(Sayfa2!$E$2:$E$8, "*"&amp;D149&amp;"*")&gt;0, Sayfa2!$E$1, "Bulunamadı")))))</f>
        <v>PAZARTESİ</v>
      </c>
    </row>
    <row r="150" spans="1:5" x14ac:dyDescent="0.25">
      <c r="A150" t="s">
        <v>1667</v>
      </c>
      <c r="B150" t="s">
        <v>194</v>
      </c>
      <c r="C150" t="s">
        <v>1642</v>
      </c>
      <c r="D150" s="4" t="s">
        <v>3104</v>
      </c>
      <c r="E150" t="str">
        <f>IF(COUNTIF(Sayfa2!$A$2:$A$8,"*"&amp;D150&amp;"*")&gt;0, Sayfa2!$A$1,
 IF(COUNTIF(Sayfa2!$B$2:$B$8, "*"&amp;D150&amp;"*")&gt;0, Sayfa2!$B$1,
 IF(COUNTIF(Sayfa2!$C$2:$C$8, "*"&amp;D150&amp;"*")&gt;0, Sayfa2!$C$1,
 IF(COUNTIF(Sayfa2!$D$2:$D$8,"*"&amp;D150&amp;"*")&gt;0, Sayfa2!$D$1,
 IF(COUNTIF(Sayfa2!$E$2:$E$8, "*"&amp;D150&amp;"*")&gt;0, Sayfa2!$E$1, "Bulunamadı")))))</f>
        <v>Bulunamadı</v>
      </c>
    </row>
    <row r="151" spans="1:5" x14ac:dyDescent="0.25">
      <c r="A151" t="s">
        <v>1668</v>
      </c>
      <c r="B151" t="s">
        <v>195</v>
      </c>
      <c r="C151" t="s">
        <v>1642</v>
      </c>
      <c r="D151" s="4" t="s">
        <v>3104</v>
      </c>
      <c r="E151" t="str">
        <f>IF(COUNTIF(Sayfa2!$A$2:$A$8,"*"&amp;D151&amp;"*")&gt;0, Sayfa2!$A$1,
 IF(COUNTIF(Sayfa2!$B$2:$B$8, "*"&amp;D151&amp;"*")&gt;0, Sayfa2!$B$1,
 IF(COUNTIF(Sayfa2!$C$2:$C$8, "*"&amp;D151&amp;"*")&gt;0, Sayfa2!$C$1,
 IF(COUNTIF(Sayfa2!$D$2:$D$8,"*"&amp;D151&amp;"*")&gt;0, Sayfa2!$D$1,
 IF(COUNTIF(Sayfa2!$E$2:$E$8, "*"&amp;D151&amp;"*")&gt;0, Sayfa2!$E$1, "Bulunamadı")))))</f>
        <v>Bulunamadı</v>
      </c>
    </row>
    <row r="152" spans="1:5" x14ac:dyDescent="0.25">
      <c r="A152" t="s">
        <v>1669</v>
      </c>
      <c r="B152" t="s">
        <v>196</v>
      </c>
      <c r="C152" t="s">
        <v>1642</v>
      </c>
      <c r="D152" s="4" t="s">
        <v>3104</v>
      </c>
      <c r="E152" t="str">
        <f>IF(COUNTIF(Sayfa2!$A$2:$A$8,"*"&amp;D152&amp;"*")&gt;0, Sayfa2!$A$1,
 IF(COUNTIF(Sayfa2!$B$2:$B$8, "*"&amp;D152&amp;"*")&gt;0, Sayfa2!$B$1,
 IF(COUNTIF(Sayfa2!$C$2:$C$8, "*"&amp;D152&amp;"*")&gt;0, Sayfa2!$C$1,
 IF(COUNTIF(Sayfa2!$D$2:$D$8,"*"&amp;D152&amp;"*")&gt;0, Sayfa2!$D$1,
 IF(COUNTIF(Sayfa2!$E$2:$E$8, "*"&amp;D152&amp;"*")&gt;0, Sayfa2!$E$1, "Bulunamadı")))))</f>
        <v>Bulunamadı</v>
      </c>
    </row>
    <row r="153" spans="1:5" hidden="1" x14ac:dyDescent="0.25">
      <c r="A153" t="s">
        <v>1670</v>
      </c>
      <c r="B153" t="s">
        <v>197</v>
      </c>
      <c r="C153" t="s">
        <v>1639</v>
      </c>
      <c r="D153" s="4" t="s">
        <v>3058</v>
      </c>
      <c r="E153" t="str">
        <f>IF(COUNTIF(Sayfa2!$A$2:$A$8,"*"&amp;D153&amp;"*")&gt;0, Sayfa2!$A$1,
 IF(COUNTIF(Sayfa2!$B$2:$B$8, "*"&amp;D153&amp;"*")&gt;0, Sayfa2!$B$1,
 IF(COUNTIF(Sayfa2!$C$2:$C$8, "*"&amp;D153&amp;"*")&gt;0, Sayfa2!$C$1,
 IF(COUNTIF(Sayfa2!$D$2:$D$8,"*"&amp;D153&amp;"*")&gt;0, Sayfa2!$D$1,
 IF(COUNTIF(Sayfa2!$E$2:$E$8, "*"&amp;D153&amp;"*")&gt;0, Sayfa2!$E$1, "Bulunamadı")))))</f>
        <v>PAZARTESİ</v>
      </c>
    </row>
    <row r="154" spans="1:5" hidden="1" x14ac:dyDescent="0.25">
      <c r="A154" t="s">
        <v>1671</v>
      </c>
      <c r="B154" t="s">
        <v>198</v>
      </c>
      <c r="C154" t="s">
        <v>1639</v>
      </c>
      <c r="D154" s="4" t="s">
        <v>3058</v>
      </c>
      <c r="E154" t="str">
        <f>IF(COUNTIF(Sayfa2!$A$2:$A$8,"*"&amp;D154&amp;"*")&gt;0, Sayfa2!$A$1,
 IF(COUNTIF(Sayfa2!$B$2:$B$8, "*"&amp;D154&amp;"*")&gt;0, Sayfa2!$B$1,
 IF(COUNTIF(Sayfa2!$C$2:$C$8, "*"&amp;D154&amp;"*")&gt;0, Sayfa2!$C$1,
 IF(COUNTIF(Sayfa2!$D$2:$D$8,"*"&amp;D154&amp;"*")&gt;0, Sayfa2!$D$1,
 IF(COUNTIF(Sayfa2!$E$2:$E$8, "*"&amp;D154&amp;"*")&gt;0, Sayfa2!$E$1, "Bulunamadı")))))</f>
        <v>PAZARTESİ</v>
      </c>
    </row>
    <row r="155" spans="1:5" x14ac:dyDescent="0.25">
      <c r="A155" t="s">
        <v>1672</v>
      </c>
      <c r="B155" t="s">
        <v>199</v>
      </c>
      <c r="C155" t="s">
        <v>1642</v>
      </c>
      <c r="D155" s="4" t="s">
        <v>3104</v>
      </c>
      <c r="E155" t="str">
        <f>IF(COUNTIF(Sayfa2!$A$2:$A$8,"*"&amp;D155&amp;"*")&gt;0, Sayfa2!$A$1,
 IF(COUNTIF(Sayfa2!$B$2:$B$8, "*"&amp;D155&amp;"*")&gt;0, Sayfa2!$B$1,
 IF(COUNTIF(Sayfa2!$C$2:$C$8, "*"&amp;D155&amp;"*")&gt;0, Sayfa2!$C$1,
 IF(COUNTIF(Sayfa2!$D$2:$D$8,"*"&amp;D155&amp;"*")&gt;0, Sayfa2!$D$1,
 IF(COUNTIF(Sayfa2!$E$2:$E$8, "*"&amp;D155&amp;"*")&gt;0, Sayfa2!$E$1, "Bulunamadı")))))</f>
        <v>Bulunamadı</v>
      </c>
    </row>
    <row r="156" spans="1:5" x14ac:dyDescent="0.25">
      <c r="A156" t="s">
        <v>1673</v>
      </c>
      <c r="B156" t="s">
        <v>200</v>
      </c>
      <c r="C156" t="s">
        <v>1642</v>
      </c>
      <c r="D156" s="4" t="s">
        <v>3104</v>
      </c>
      <c r="E156" t="str">
        <f>IF(COUNTIF(Sayfa2!$A$2:$A$8,"*"&amp;D156&amp;"*")&gt;0, Sayfa2!$A$1,
 IF(COUNTIF(Sayfa2!$B$2:$B$8, "*"&amp;D156&amp;"*")&gt;0, Sayfa2!$B$1,
 IF(COUNTIF(Sayfa2!$C$2:$C$8, "*"&amp;D156&amp;"*")&gt;0, Sayfa2!$C$1,
 IF(COUNTIF(Sayfa2!$D$2:$D$8,"*"&amp;D156&amp;"*")&gt;0, Sayfa2!$D$1,
 IF(COUNTIF(Sayfa2!$E$2:$E$8, "*"&amp;D156&amp;"*")&gt;0, Sayfa2!$E$1, "Bulunamadı")))))</f>
        <v>Bulunamadı</v>
      </c>
    </row>
    <row r="157" spans="1:5" hidden="1" x14ac:dyDescent="0.25">
      <c r="A157" t="s">
        <v>1674</v>
      </c>
      <c r="B157" t="s">
        <v>201</v>
      </c>
      <c r="C157" t="s">
        <v>1639</v>
      </c>
      <c r="D157" s="4" t="s">
        <v>3058</v>
      </c>
      <c r="E157" t="str">
        <f>IF(COUNTIF(Sayfa2!$A$2:$A$8,"*"&amp;D157&amp;"*")&gt;0, Sayfa2!$A$1,
 IF(COUNTIF(Sayfa2!$B$2:$B$8, "*"&amp;D157&amp;"*")&gt;0, Sayfa2!$B$1,
 IF(COUNTIF(Sayfa2!$C$2:$C$8, "*"&amp;D157&amp;"*")&gt;0, Sayfa2!$C$1,
 IF(COUNTIF(Sayfa2!$D$2:$D$8,"*"&amp;D157&amp;"*")&gt;0, Sayfa2!$D$1,
 IF(COUNTIF(Sayfa2!$E$2:$E$8, "*"&amp;D157&amp;"*")&gt;0, Sayfa2!$E$1, "Bulunamadı")))))</f>
        <v>PAZARTESİ</v>
      </c>
    </row>
    <row r="158" spans="1:5" x14ac:dyDescent="0.25">
      <c r="A158" t="s">
        <v>1675</v>
      </c>
      <c r="B158" t="s">
        <v>202</v>
      </c>
      <c r="C158" t="s">
        <v>1642</v>
      </c>
      <c r="D158" s="4" t="s">
        <v>3104</v>
      </c>
      <c r="E158" t="str">
        <f>IF(COUNTIF(Sayfa2!$A$2:$A$8,"*"&amp;D158&amp;"*")&gt;0, Sayfa2!$A$1,
 IF(COUNTIF(Sayfa2!$B$2:$B$8, "*"&amp;D158&amp;"*")&gt;0, Sayfa2!$B$1,
 IF(COUNTIF(Sayfa2!$C$2:$C$8, "*"&amp;D158&amp;"*")&gt;0, Sayfa2!$C$1,
 IF(COUNTIF(Sayfa2!$D$2:$D$8,"*"&amp;D158&amp;"*")&gt;0, Sayfa2!$D$1,
 IF(COUNTIF(Sayfa2!$E$2:$E$8, "*"&amp;D158&amp;"*")&gt;0, Sayfa2!$E$1, "Bulunamadı")))))</f>
        <v>Bulunamadı</v>
      </c>
    </row>
    <row r="159" spans="1:5" hidden="1" x14ac:dyDescent="0.25">
      <c r="A159" t="s">
        <v>1676</v>
      </c>
      <c r="B159" t="s">
        <v>203</v>
      </c>
      <c r="C159" t="s">
        <v>1677</v>
      </c>
      <c r="D159" s="4" t="s">
        <v>3095</v>
      </c>
      <c r="E159" t="str">
        <f>IF(COUNTIF(Sayfa2!$A$2:$A$8,"*"&amp;D159&amp;"*")&gt;0, Sayfa2!$A$1,
 IF(COUNTIF(Sayfa2!$B$2:$B$8, "*"&amp;D159&amp;"*")&gt;0, Sayfa2!$B$1,
 IF(COUNTIF(Sayfa2!$C$2:$C$8, "*"&amp;D159&amp;"*")&gt;0, Sayfa2!$C$1,
 IF(COUNTIF(Sayfa2!$D$2:$D$8,"*"&amp;D159&amp;"*")&gt;0, Sayfa2!$D$1,
 IF(COUNTIF(Sayfa2!$E$2:$E$8, "*"&amp;D159&amp;"*")&gt;0, Sayfa2!$E$1, "Bulunamadı")))))</f>
        <v>PAZARTESİ</v>
      </c>
    </row>
    <row r="160" spans="1:5" x14ac:dyDescent="0.25">
      <c r="A160" t="s">
        <v>1678</v>
      </c>
      <c r="B160" t="s">
        <v>205</v>
      </c>
      <c r="C160" t="s">
        <v>1679</v>
      </c>
      <c r="D160" s="4" t="s">
        <v>3092</v>
      </c>
      <c r="E160" t="str">
        <f>IF(COUNTIF(Sayfa2!$A$2:$A$8,"*"&amp;D160&amp;"*")&gt;0, Sayfa2!$A$1,
 IF(COUNTIF(Sayfa2!$B$2:$B$8, "*"&amp;D160&amp;"*")&gt;0, Sayfa2!$B$1,
 IF(COUNTIF(Sayfa2!$C$2:$C$8, "*"&amp;D160&amp;"*")&gt;0, Sayfa2!$C$1,
 IF(COUNTIF(Sayfa2!$D$2:$D$8,"*"&amp;D160&amp;"*")&gt;0, Sayfa2!$D$1,
 IF(COUNTIF(Sayfa2!$E$2:$E$8, "*"&amp;D160&amp;"*")&gt;0, Sayfa2!$E$1, "Bulunamadı")))))</f>
        <v>Bulunamadı</v>
      </c>
    </row>
    <row r="161" spans="1:5" hidden="1" x14ac:dyDescent="0.25">
      <c r="A161" t="s">
        <v>1680</v>
      </c>
      <c r="B161" t="s">
        <v>207</v>
      </c>
      <c r="C161" t="s">
        <v>1681</v>
      </c>
      <c r="D161" s="4" t="s">
        <v>3098</v>
      </c>
      <c r="E161" t="str">
        <f>IF(COUNTIF(Sayfa2!$A$2:$A$8,"*"&amp;D161&amp;"*")&gt;0, Sayfa2!$A$1,
 IF(COUNTIF(Sayfa2!$B$2:$B$8, "*"&amp;D161&amp;"*")&gt;0, Sayfa2!$B$1,
 IF(COUNTIF(Sayfa2!$C$2:$C$8, "*"&amp;D161&amp;"*")&gt;0, Sayfa2!$C$1,
 IF(COUNTIF(Sayfa2!$D$2:$D$8,"*"&amp;D161&amp;"*")&gt;0, Sayfa2!$D$1,
 IF(COUNTIF(Sayfa2!$E$2:$E$8, "*"&amp;D161&amp;"*")&gt;0, Sayfa2!$E$1, "Bulunamadı")))))</f>
        <v>PERŞEMBE</v>
      </c>
    </row>
    <row r="162" spans="1:5" hidden="1" x14ac:dyDescent="0.25">
      <c r="A162" t="s">
        <v>1682</v>
      </c>
      <c r="B162" t="s">
        <v>210</v>
      </c>
      <c r="C162" t="s">
        <v>1681</v>
      </c>
      <c r="D162" s="4" t="s">
        <v>3098</v>
      </c>
      <c r="E162" t="str">
        <f>IF(COUNTIF(Sayfa2!$A$2:$A$8,"*"&amp;D162&amp;"*")&gt;0, Sayfa2!$A$1,
 IF(COUNTIF(Sayfa2!$B$2:$B$8, "*"&amp;D162&amp;"*")&gt;0, Sayfa2!$B$1,
 IF(COUNTIF(Sayfa2!$C$2:$C$8, "*"&amp;D162&amp;"*")&gt;0, Sayfa2!$C$1,
 IF(COUNTIF(Sayfa2!$D$2:$D$8,"*"&amp;D162&amp;"*")&gt;0, Sayfa2!$D$1,
 IF(COUNTIF(Sayfa2!$E$2:$E$8, "*"&amp;D162&amp;"*")&gt;0, Sayfa2!$E$1, "Bulunamadı")))))</f>
        <v>PERŞEMBE</v>
      </c>
    </row>
    <row r="163" spans="1:5" hidden="1" x14ac:dyDescent="0.25">
      <c r="A163" t="s">
        <v>1683</v>
      </c>
      <c r="B163" t="s">
        <v>211</v>
      </c>
      <c r="C163" t="s">
        <v>1684</v>
      </c>
      <c r="D163" s="4" t="s">
        <v>3094</v>
      </c>
      <c r="E163" t="str">
        <f>IF(COUNTIF(Sayfa2!$A$2:$A$8,"*"&amp;D163&amp;"*")&gt;0, Sayfa2!$A$1,
 IF(COUNTIF(Sayfa2!$B$2:$B$8, "*"&amp;D163&amp;"*")&gt;0, Sayfa2!$B$1,
 IF(COUNTIF(Sayfa2!$C$2:$C$8, "*"&amp;D163&amp;"*")&gt;0, Sayfa2!$C$1,
 IF(COUNTIF(Sayfa2!$D$2:$D$8,"*"&amp;D163&amp;"*")&gt;0, Sayfa2!$D$1,
 IF(COUNTIF(Sayfa2!$E$2:$E$8, "*"&amp;D163&amp;"*")&gt;0, Sayfa2!$E$1, "Bulunamadı")))))</f>
        <v>CUMA</v>
      </c>
    </row>
    <row r="164" spans="1:5" hidden="1" x14ac:dyDescent="0.25">
      <c r="A164" t="s">
        <v>1685</v>
      </c>
      <c r="B164" t="s">
        <v>213</v>
      </c>
      <c r="C164" t="s">
        <v>1684</v>
      </c>
      <c r="D164" s="4" t="s">
        <v>3094</v>
      </c>
      <c r="E164" t="str">
        <f>IF(COUNTIF(Sayfa2!$A$2:$A$8,"*"&amp;D164&amp;"*")&gt;0, Sayfa2!$A$1,
 IF(COUNTIF(Sayfa2!$B$2:$B$8, "*"&amp;D164&amp;"*")&gt;0, Sayfa2!$B$1,
 IF(COUNTIF(Sayfa2!$C$2:$C$8, "*"&amp;D164&amp;"*")&gt;0, Sayfa2!$C$1,
 IF(COUNTIF(Sayfa2!$D$2:$D$8,"*"&amp;D164&amp;"*")&gt;0, Sayfa2!$D$1,
 IF(COUNTIF(Sayfa2!$E$2:$E$8, "*"&amp;D164&amp;"*")&gt;0, Sayfa2!$E$1, "Bulunamadı")))))</f>
        <v>CUMA</v>
      </c>
    </row>
    <row r="165" spans="1:5" hidden="1" x14ac:dyDescent="0.25">
      <c r="A165" t="s">
        <v>1686</v>
      </c>
      <c r="B165" t="s">
        <v>214</v>
      </c>
      <c r="C165" t="s">
        <v>1684</v>
      </c>
      <c r="D165" s="4" t="s">
        <v>3094</v>
      </c>
      <c r="E165" t="str">
        <f>IF(COUNTIF(Sayfa2!$A$2:$A$8,"*"&amp;D165&amp;"*")&gt;0, Sayfa2!$A$1,
 IF(COUNTIF(Sayfa2!$B$2:$B$8, "*"&amp;D165&amp;"*")&gt;0, Sayfa2!$B$1,
 IF(COUNTIF(Sayfa2!$C$2:$C$8, "*"&amp;D165&amp;"*")&gt;0, Sayfa2!$C$1,
 IF(COUNTIF(Sayfa2!$D$2:$D$8,"*"&amp;D165&amp;"*")&gt;0, Sayfa2!$D$1,
 IF(COUNTIF(Sayfa2!$E$2:$E$8, "*"&amp;D165&amp;"*")&gt;0, Sayfa2!$E$1, "Bulunamadı")))))</f>
        <v>CUMA</v>
      </c>
    </row>
    <row r="166" spans="1:5" hidden="1" x14ac:dyDescent="0.25">
      <c r="A166" t="s">
        <v>1687</v>
      </c>
      <c r="B166" t="s">
        <v>215</v>
      </c>
      <c r="C166" t="s">
        <v>1688</v>
      </c>
      <c r="D166" s="4" t="s">
        <v>3098</v>
      </c>
      <c r="E166" t="str">
        <f>IF(COUNTIF(Sayfa2!$A$2:$A$8,"*"&amp;D166&amp;"*")&gt;0, Sayfa2!$A$1,
 IF(COUNTIF(Sayfa2!$B$2:$B$8, "*"&amp;D166&amp;"*")&gt;0, Sayfa2!$B$1,
 IF(COUNTIF(Sayfa2!$C$2:$C$8, "*"&amp;D166&amp;"*")&gt;0, Sayfa2!$C$1,
 IF(COUNTIF(Sayfa2!$D$2:$D$8,"*"&amp;D166&amp;"*")&gt;0, Sayfa2!$D$1,
 IF(COUNTIF(Sayfa2!$E$2:$E$8, "*"&amp;D166&amp;"*")&gt;0, Sayfa2!$E$1, "Bulunamadı")))))</f>
        <v>PERŞEMBE</v>
      </c>
    </row>
    <row r="167" spans="1:5" hidden="1" x14ac:dyDescent="0.25">
      <c r="A167" t="s">
        <v>1689</v>
      </c>
      <c r="B167" t="s">
        <v>217</v>
      </c>
      <c r="C167" t="s">
        <v>1690</v>
      </c>
      <c r="D167" s="4" t="s">
        <v>3099</v>
      </c>
      <c r="E167" t="str">
        <f>IF(COUNTIF(Sayfa2!$A$2:$A$8,"*"&amp;D167&amp;"*")&gt;0, Sayfa2!$A$1,
 IF(COUNTIF(Sayfa2!$B$2:$B$8, "*"&amp;D167&amp;"*")&gt;0, Sayfa2!$B$1,
 IF(COUNTIF(Sayfa2!$C$2:$C$8, "*"&amp;D167&amp;"*")&gt;0, Sayfa2!$C$1,
 IF(COUNTIF(Sayfa2!$D$2:$D$8,"*"&amp;D167&amp;"*")&gt;0, Sayfa2!$D$1,
 IF(COUNTIF(Sayfa2!$E$2:$E$8, "*"&amp;D167&amp;"*")&gt;0, Sayfa2!$E$1, "Bulunamadı")))))</f>
        <v>PAZARTESİ</v>
      </c>
    </row>
    <row r="168" spans="1:5" hidden="1" x14ac:dyDescent="0.25">
      <c r="A168" t="s">
        <v>1691</v>
      </c>
      <c r="B168" t="s">
        <v>220</v>
      </c>
      <c r="C168" t="s">
        <v>1690</v>
      </c>
      <c r="D168" s="4" t="s">
        <v>3099</v>
      </c>
      <c r="E168" t="str">
        <f>IF(COUNTIF(Sayfa2!$A$2:$A$8,"*"&amp;D168&amp;"*")&gt;0, Sayfa2!$A$1,
 IF(COUNTIF(Sayfa2!$B$2:$B$8, "*"&amp;D168&amp;"*")&gt;0, Sayfa2!$B$1,
 IF(COUNTIF(Sayfa2!$C$2:$C$8, "*"&amp;D168&amp;"*")&gt;0, Sayfa2!$C$1,
 IF(COUNTIF(Sayfa2!$D$2:$D$8,"*"&amp;D168&amp;"*")&gt;0, Sayfa2!$D$1,
 IF(COUNTIF(Sayfa2!$E$2:$E$8, "*"&amp;D168&amp;"*")&gt;0, Sayfa2!$E$1, "Bulunamadı")))))</f>
        <v>PAZARTESİ</v>
      </c>
    </row>
    <row r="169" spans="1:5" hidden="1" x14ac:dyDescent="0.25">
      <c r="A169" t="s">
        <v>1692</v>
      </c>
      <c r="B169" t="s">
        <v>221</v>
      </c>
      <c r="C169" t="s">
        <v>1690</v>
      </c>
      <c r="D169" s="4" t="s">
        <v>3099</v>
      </c>
      <c r="E169" t="str">
        <f>IF(COUNTIF(Sayfa2!$A$2:$A$8,"*"&amp;D169&amp;"*")&gt;0, Sayfa2!$A$1,
 IF(COUNTIF(Sayfa2!$B$2:$B$8, "*"&amp;D169&amp;"*")&gt;0, Sayfa2!$B$1,
 IF(COUNTIF(Sayfa2!$C$2:$C$8, "*"&amp;D169&amp;"*")&gt;0, Sayfa2!$C$1,
 IF(COUNTIF(Sayfa2!$D$2:$D$8,"*"&amp;D169&amp;"*")&gt;0, Sayfa2!$D$1,
 IF(COUNTIF(Sayfa2!$E$2:$E$8, "*"&amp;D169&amp;"*")&gt;0, Sayfa2!$E$1, "Bulunamadı")))))</f>
        <v>PAZARTESİ</v>
      </c>
    </row>
    <row r="170" spans="1:5" hidden="1" x14ac:dyDescent="0.25">
      <c r="A170" t="s">
        <v>1693</v>
      </c>
      <c r="B170" t="s">
        <v>222</v>
      </c>
      <c r="C170" t="s">
        <v>1690</v>
      </c>
      <c r="D170" s="4" t="s">
        <v>3099</v>
      </c>
      <c r="E170" t="str">
        <f>IF(COUNTIF(Sayfa2!$A$2:$A$8,"*"&amp;D170&amp;"*")&gt;0, Sayfa2!$A$1,
 IF(COUNTIF(Sayfa2!$B$2:$B$8, "*"&amp;D170&amp;"*")&gt;0, Sayfa2!$B$1,
 IF(COUNTIF(Sayfa2!$C$2:$C$8, "*"&amp;D170&amp;"*")&gt;0, Sayfa2!$C$1,
 IF(COUNTIF(Sayfa2!$D$2:$D$8,"*"&amp;D170&amp;"*")&gt;0, Sayfa2!$D$1,
 IF(COUNTIF(Sayfa2!$E$2:$E$8, "*"&amp;D170&amp;"*")&gt;0, Sayfa2!$E$1, "Bulunamadı")))))</f>
        <v>PAZARTESİ</v>
      </c>
    </row>
    <row r="171" spans="1:5" hidden="1" x14ac:dyDescent="0.25">
      <c r="A171" t="s">
        <v>1694</v>
      </c>
      <c r="B171" t="s">
        <v>223</v>
      </c>
      <c r="C171" t="s">
        <v>1695</v>
      </c>
      <c r="D171" s="4" t="s">
        <v>3097</v>
      </c>
      <c r="E171" t="str">
        <f>IF(COUNTIF(Sayfa2!$A$2:$A$8,"*"&amp;D171&amp;"*")&gt;0, Sayfa2!$A$1,
 IF(COUNTIF(Sayfa2!$B$2:$B$8, "*"&amp;D171&amp;"*")&gt;0, Sayfa2!$B$1,
 IF(COUNTIF(Sayfa2!$C$2:$C$8, "*"&amp;D171&amp;"*")&gt;0, Sayfa2!$C$1,
 IF(COUNTIF(Sayfa2!$D$2:$D$8,"*"&amp;D171&amp;"*")&gt;0, Sayfa2!$D$1,
 IF(COUNTIF(Sayfa2!$E$2:$E$8, "*"&amp;D171&amp;"*")&gt;0, Sayfa2!$E$1, "Bulunamadı")))))</f>
        <v>PERŞEMBE</v>
      </c>
    </row>
    <row r="172" spans="1:5" hidden="1" x14ac:dyDescent="0.25">
      <c r="A172" t="s">
        <v>1696</v>
      </c>
      <c r="B172" t="s">
        <v>225</v>
      </c>
      <c r="C172" t="s">
        <v>1697</v>
      </c>
      <c r="D172" s="4" t="s">
        <v>3060</v>
      </c>
      <c r="E172" t="str">
        <f>IF(COUNTIF(Sayfa2!$A$2:$A$8,"*"&amp;D172&amp;"*")&gt;0, Sayfa2!$A$1,
 IF(COUNTIF(Sayfa2!$B$2:$B$8, "*"&amp;D172&amp;"*")&gt;0, Sayfa2!$B$1,
 IF(COUNTIF(Sayfa2!$C$2:$C$8, "*"&amp;D172&amp;"*")&gt;0, Sayfa2!$C$1,
 IF(COUNTIF(Sayfa2!$D$2:$D$8,"*"&amp;D172&amp;"*")&gt;0, Sayfa2!$D$1,
 IF(COUNTIF(Sayfa2!$E$2:$E$8, "*"&amp;D172&amp;"*")&gt;0, Sayfa2!$E$1, "Bulunamadı")))))</f>
        <v>ÇARŞAMBA</v>
      </c>
    </row>
    <row r="173" spans="1:5" hidden="1" x14ac:dyDescent="0.25">
      <c r="A173" t="s">
        <v>1698</v>
      </c>
      <c r="B173" t="s">
        <v>227</v>
      </c>
      <c r="C173" t="s">
        <v>1697</v>
      </c>
      <c r="D173" s="4" t="s">
        <v>3060</v>
      </c>
      <c r="E173" t="str">
        <f>IF(COUNTIF(Sayfa2!$A$2:$A$8,"*"&amp;D173&amp;"*")&gt;0, Sayfa2!$A$1,
 IF(COUNTIF(Sayfa2!$B$2:$B$8, "*"&amp;D173&amp;"*")&gt;0, Sayfa2!$B$1,
 IF(COUNTIF(Sayfa2!$C$2:$C$8, "*"&amp;D173&amp;"*")&gt;0, Sayfa2!$C$1,
 IF(COUNTIF(Sayfa2!$D$2:$D$8,"*"&amp;D173&amp;"*")&gt;0, Sayfa2!$D$1,
 IF(COUNTIF(Sayfa2!$E$2:$E$8, "*"&amp;D173&amp;"*")&gt;0, Sayfa2!$E$1, "Bulunamadı")))))</f>
        <v>ÇARŞAMBA</v>
      </c>
    </row>
    <row r="174" spans="1:5" hidden="1" x14ac:dyDescent="0.25">
      <c r="A174" t="s">
        <v>1699</v>
      </c>
      <c r="B174" t="s">
        <v>228</v>
      </c>
      <c r="C174" t="s">
        <v>1700</v>
      </c>
      <c r="D174" s="4" t="s">
        <v>3090</v>
      </c>
      <c r="E174" t="str">
        <f>IF(COUNTIF(Sayfa2!$A$2:$A$8,"*"&amp;D174&amp;"*")&gt;0, Sayfa2!$A$1,
 IF(COUNTIF(Sayfa2!$B$2:$B$8, "*"&amp;D174&amp;"*")&gt;0, Sayfa2!$B$1,
 IF(COUNTIF(Sayfa2!$C$2:$C$8, "*"&amp;D174&amp;"*")&gt;0, Sayfa2!$C$1,
 IF(COUNTIF(Sayfa2!$D$2:$D$8,"*"&amp;D174&amp;"*")&gt;0, Sayfa2!$D$1,
 IF(COUNTIF(Sayfa2!$E$2:$E$8, "*"&amp;D174&amp;"*")&gt;0, Sayfa2!$E$1, "Bulunamadı")))))</f>
        <v>ÇARŞAMBA</v>
      </c>
    </row>
    <row r="175" spans="1:5" hidden="1" x14ac:dyDescent="0.25">
      <c r="A175" t="s">
        <v>1701</v>
      </c>
      <c r="B175" t="s">
        <v>229</v>
      </c>
      <c r="C175" t="s">
        <v>1702</v>
      </c>
      <c r="D175" s="4" t="s">
        <v>3059</v>
      </c>
      <c r="E175" t="str">
        <f>IF(COUNTIF(Sayfa2!$A$2:$A$8,"*"&amp;D175&amp;"*")&gt;0, Sayfa2!$A$1,
 IF(COUNTIF(Sayfa2!$B$2:$B$8, "*"&amp;D175&amp;"*")&gt;0, Sayfa2!$B$1,
 IF(COUNTIF(Sayfa2!$C$2:$C$8, "*"&amp;D175&amp;"*")&gt;0, Sayfa2!$C$1,
 IF(COUNTIF(Sayfa2!$D$2:$D$8,"*"&amp;D175&amp;"*")&gt;0, Sayfa2!$D$1,
 IF(COUNTIF(Sayfa2!$E$2:$E$8, "*"&amp;D175&amp;"*")&gt;0, Sayfa2!$E$1, "Bulunamadı")))))</f>
        <v>SALI</v>
      </c>
    </row>
    <row r="176" spans="1:5" hidden="1" x14ac:dyDescent="0.25">
      <c r="A176" t="s">
        <v>1703</v>
      </c>
      <c r="B176" t="s">
        <v>230</v>
      </c>
      <c r="C176" t="s">
        <v>1704</v>
      </c>
      <c r="D176" s="4" t="s">
        <v>3090</v>
      </c>
      <c r="E176" t="str">
        <f>IF(COUNTIF(Sayfa2!$A$2:$A$8,"*"&amp;D176&amp;"*")&gt;0, Sayfa2!$A$1,
 IF(COUNTIF(Sayfa2!$B$2:$B$8, "*"&amp;D176&amp;"*")&gt;0, Sayfa2!$B$1,
 IF(COUNTIF(Sayfa2!$C$2:$C$8, "*"&amp;D176&amp;"*")&gt;0, Sayfa2!$C$1,
 IF(COUNTIF(Sayfa2!$D$2:$D$8,"*"&amp;D176&amp;"*")&gt;0, Sayfa2!$D$1,
 IF(COUNTIF(Sayfa2!$E$2:$E$8, "*"&amp;D176&amp;"*")&gt;0, Sayfa2!$E$1, "Bulunamadı")))))</f>
        <v>ÇARŞAMBA</v>
      </c>
    </row>
    <row r="177" spans="1:5" hidden="1" x14ac:dyDescent="0.25">
      <c r="A177" t="s">
        <v>1705</v>
      </c>
      <c r="B177" t="s">
        <v>232</v>
      </c>
      <c r="C177" t="s">
        <v>1706</v>
      </c>
      <c r="D177" s="4" t="s">
        <v>3060</v>
      </c>
      <c r="E177" t="str">
        <f>IF(COUNTIF(Sayfa2!$A$2:$A$8,"*"&amp;D177&amp;"*")&gt;0, Sayfa2!$A$1,
 IF(COUNTIF(Sayfa2!$B$2:$B$8, "*"&amp;D177&amp;"*")&gt;0, Sayfa2!$B$1,
 IF(COUNTIF(Sayfa2!$C$2:$C$8, "*"&amp;D177&amp;"*")&gt;0, Sayfa2!$C$1,
 IF(COUNTIF(Sayfa2!$D$2:$D$8,"*"&amp;D177&amp;"*")&gt;0, Sayfa2!$D$1,
 IF(COUNTIF(Sayfa2!$E$2:$E$8, "*"&amp;D177&amp;"*")&gt;0, Sayfa2!$E$1, "Bulunamadı")))))</f>
        <v>ÇARŞAMBA</v>
      </c>
    </row>
    <row r="178" spans="1:5" hidden="1" x14ac:dyDescent="0.25">
      <c r="A178" t="s">
        <v>1707</v>
      </c>
      <c r="B178" t="s">
        <v>233</v>
      </c>
      <c r="C178" t="s">
        <v>1706</v>
      </c>
      <c r="D178" s="4" t="s">
        <v>3060</v>
      </c>
      <c r="E178" t="str">
        <f>IF(COUNTIF(Sayfa2!$A$2:$A$8,"*"&amp;D178&amp;"*")&gt;0, Sayfa2!$A$1,
 IF(COUNTIF(Sayfa2!$B$2:$B$8, "*"&amp;D178&amp;"*")&gt;0, Sayfa2!$B$1,
 IF(COUNTIF(Sayfa2!$C$2:$C$8, "*"&amp;D178&amp;"*")&gt;0, Sayfa2!$C$1,
 IF(COUNTIF(Sayfa2!$D$2:$D$8,"*"&amp;D178&amp;"*")&gt;0, Sayfa2!$D$1,
 IF(COUNTIF(Sayfa2!$E$2:$E$8, "*"&amp;D178&amp;"*")&gt;0, Sayfa2!$E$1, "Bulunamadı")))))</f>
        <v>ÇARŞAMBA</v>
      </c>
    </row>
    <row r="179" spans="1:5" hidden="1" x14ac:dyDescent="0.25">
      <c r="A179" t="s">
        <v>1708</v>
      </c>
      <c r="B179" t="s">
        <v>234</v>
      </c>
      <c r="C179" t="s">
        <v>1706</v>
      </c>
      <c r="D179" s="4" t="s">
        <v>3060</v>
      </c>
      <c r="E179" t="str">
        <f>IF(COUNTIF(Sayfa2!$A$2:$A$8,"*"&amp;D179&amp;"*")&gt;0, Sayfa2!$A$1,
 IF(COUNTIF(Sayfa2!$B$2:$B$8, "*"&amp;D179&amp;"*")&gt;0, Sayfa2!$B$1,
 IF(COUNTIF(Sayfa2!$C$2:$C$8, "*"&amp;D179&amp;"*")&gt;0, Sayfa2!$C$1,
 IF(COUNTIF(Sayfa2!$D$2:$D$8,"*"&amp;D179&amp;"*")&gt;0, Sayfa2!$D$1,
 IF(COUNTIF(Sayfa2!$E$2:$E$8, "*"&amp;D179&amp;"*")&gt;0, Sayfa2!$E$1, "Bulunamadı")))))</f>
        <v>ÇARŞAMBA</v>
      </c>
    </row>
    <row r="180" spans="1:5" hidden="1" x14ac:dyDescent="0.25">
      <c r="A180" t="s">
        <v>1709</v>
      </c>
      <c r="B180" t="s">
        <v>235</v>
      </c>
      <c r="C180" t="s">
        <v>1704</v>
      </c>
      <c r="D180" s="4" t="s">
        <v>3090</v>
      </c>
      <c r="E180" t="str">
        <f>IF(COUNTIF(Sayfa2!$A$2:$A$8,"*"&amp;D180&amp;"*")&gt;0, Sayfa2!$A$1,
 IF(COUNTIF(Sayfa2!$B$2:$B$8, "*"&amp;D180&amp;"*")&gt;0, Sayfa2!$B$1,
 IF(COUNTIF(Sayfa2!$C$2:$C$8, "*"&amp;D180&amp;"*")&gt;0, Sayfa2!$C$1,
 IF(COUNTIF(Sayfa2!$D$2:$D$8,"*"&amp;D180&amp;"*")&gt;0, Sayfa2!$D$1,
 IF(COUNTIF(Sayfa2!$E$2:$E$8, "*"&amp;D180&amp;"*")&gt;0, Sayfa2!$E$1, "Bulunamadı")))))</f>
        <v>ÇARŞAMBA</v>
      </c>
    </row>
    <row r="181" spans="1:5" hidden="1" x14ac:dyDescent="0.25">
      <c r="A181" t="s">
        <v>1710</v>
      </c>
      <c r="B181" t="s">
        <v>236</v>
      </c>
      <c r="C181" t="s">
        <v>1706</v>
      </c>
      <c r="D181" s="4" t="s">
        <v>3060</v>
      </c>
      <c r="E181" t="str">
        <f>IF(COUNTIF(Sayfa2!$A$2:$A$8,"*"&amp;D181&amp;"*")&gt;0, Sayfa2!$A$1,
 IF(COUNTIF(Sayfa2!$B$2:$B$8, "*"&amp;D181&amp;"*")&gt;0, Sayfa2!$B$1,
 IF(COUNTIF(Sayfa2!$C$2:$C$8, "*"&amp;D181&amp;"*")&gt;0, Sayfa2!$C$1,
 IF(COUNTIF(Sayfa2!$D$2:$D$8,"*"&amp;D181&amp;"*")&gt;0, Sayfa2!$D$1,
 IF(COUNTIF(Sayfa2!$E$2:$E$8, "*"&amp;D181&amp;"*")&gt;0, Sayfa2!$E$1, "Bulunamadı")))))</f>
        <v>ÇARŞAMBA</v>
      </c>
    </row>
    <row r="182" spans="1:5" hidden="1" x14ac:dyDescent="0.25">
      <c r="A182" t="s">
        <v>1711</v>
      </c>
      <c r="B182" t="s">
        <v>237</v>
      </c>
      <c r="C182" t="s">
        <v>1712</v>
      </c>
      <c r="D182" s="4" t="s">
        <v>3059</v>
      </c>
      <c r="E182" t="str">
        <f>IF(COUNTIF(Sayfa2!$A$2:$A$8,"*"&amp;D182&amp;"*")&gt;0, Sayfa2!$A$1,
 IF(COUNTIF(Sayfa2!$B$2:$B$8, "*"&amp;D182&amp;"*")&gt;0, Sayfa2!$B$1,
 IF(COUNTIF(Sayfa2!$C$2:$C$8, "*"&amp;D182&amp;"*")&gt;0, Sayfa2!$C$1,
 IF(COUNTIF(Sayfa2!$D$2:$D$8,"*"&amp;D182&amp;"*")&gt;0, Sayfa2!$D$1,
 IF(COUNTIF(Sayfa2!$E$2:$E$8, "*"&amp;D182&amp;"*")&gt;0, Sayfa2!$E$1, "Bulunamadı")))))</f>
        <v>SALI</v>
      </c>
    </row>
    <row r="183" spans="1:5" hidden="1" x14ac:dyDescent="0.25">
      <c r="A183" t="s">
        <v>1713</v>
      </c>
      <c r="B183" t="s">
        <v>238</v>
      </c>
      <c r="C183" t="s">
        <v>1704</v>
      </c>
      <c r="D183" s="4" t="s">
        <v>3090</v>
      </c>
      <c r="E183" t="str">
        <f>IF(COUNTIF(Sayfa2!$A$2:$A$8,"*"&amp;D183&amp;"*")&gt;0, Sayfa2!$A$1,
 IF(COUNTIF(Sayfa2!$B$2:$B$8, "*"&amp;D183&amp;"*")&gt;0, Sayfa2!$B$1,
 IF(COUNTIF(Sayfa2!$C$2:$C$8, "*"&amp;D183&amp;"*")&gt;0, Sayfa2!$C$1,
 IF(COUNTIF(Sayfa2!$D$2:$D$8,"*"&amp;D183&amp;"*")&gt;0, Sayfa2!$D$1,
 IF(COUNTIF(Sayfa2!$E$2:$E$8, "*"&amp;D183&amp;"*")&gt;0, Sayfa2!$E$1, "Bulunamadı")))))</f>
        <v>ÇARŞAMBA</v>
      </c>
    </row>
    <row r="184" spans="1:5" hidden="1" x14ac:dyDescent="0.25">
      <c r="A184" t="s">
        <v>1714</v>
      </c>
      <c r="B184" t="s">
        <v>239</v>
      </c>
      <c r="C184" t="s">
        <v>1715</v>
      </c>
      <c r="D184" s="4" t="s">
        <v>3060</v>
      </c>
      <c r="E184" t="str">
        <f>IF(COUNTIF(Sayfa2!$A$2:$A$8,"*"&amp;D184&amp;"*")&gt;0, Sayfa2!$A$1,
 IF(COUNTIF(Sayfa2!$B$2:$B$8, "*"&amp;D184&amp;"*")&gt;0, Sayfa2!$B$1,
 IF(COUNTIF(Sayfa2!$C$2:$C$8, "*"&amp;D184&amp;"*")&gt;0, Sayfa2!$C$1,
 IF(COUNTIF(Sayfa2!$D$2:$D$8,"*"&amp;D184&amp;"*")&gt;0, Sayfa2!$D$1,
 IF(COUNTIF(Sayfa2!$E$2:$E$8, "*"&amp;D184&amp;"*")&gt;0, Sayfa2!$E$1, "Bulunamadı")))))</f>
        <v>ÇARŞAMBA</v>
      </c>
    </row>
    <row r="185" spans="1:5" hidden="1" x14ac:dyDescent="0.25">
      <c r="A185" t="s">
        <v>1716</v>
      </c>
      <c r="B185" t="s">
        <v>241</v>
      </c>
      <c r="C185" t="s">
        <v>1717</v>
      </c>
      <c r="D185" s="4" t="s">
        <v>3059</v>
      </c>
      <c r="E185" t="str">
        <f>IF(COUNTIF(Sayfa2!$A$2:$A$8,"*"&amp;D185&amp;"*")&gt;0, Sayfa2!$A$1,
 IF(COUNTIF(Sayfa2!$B$2:$B$8, "*"&amp;D185&amp;"*")&gt;0, Sayfa2!$B$1,
 IF(COUNTIF(Sayfa2!$C$2:$C$8, "*"&amp;D185&amp;"*")&gt;0, Sayfa2!$C$1,
 IF(COUNTIF(Sayfa2!$D$2:$D$8,"*"&amp;D185&amp;"*")&gt;0, Sayfa2!$D$1,
 IF(COUNTIF(Sayfa2!$E$2:$E$8, "*"&amp;D185&amp;"*")&gt;0, Sayfa2!$E$1, "Bulunamadı")))))</f>
        <v>SALI</v>
      </c>
    </row>
    <row r="186" spans="1:5" hidden="1" x14ac:dyDescent="0.25">
      <c r="A186" t="s">
        <v>1718</v>
      </c>
      <c r="B186" t="s">
        <v>242</v>
      </c>
      <c r="C186" t="s">
        <v>1719</v>
      </c>
      <c r="D186" s="4" t="s">
        <v>3090</v>
      </c>
      <c r="E186" t="str">
        <f>IF(COUNTIF(Sayfa2!$A$2:$A$8,"*"&amp;D186&amp;"*")&gt;0, Sayfa2!$A$1,
 IF(COUNTIF(Sayfa2!$B$2:$B$8, "*"&amp;D186&amp;"*")&gt;0, Sayfa2!$B$1,
 IF(COUNTIF(Sayfa2!$C$2:$C$8, "*"&amp;D186&amp;"*")&gt;0, Sayfa2!$C$1,
 IF(COUNTIF(Sayfa2!$D$2:$D$8,"*"&amp;D186&amp;"*")&gt;0, Sayfa2!$D$1,
 IF(COUNTIF(Sayfa2!$E$2:$E$8, "*"&amp;D186&amp;"*")&gt;0, Sayfa2!$E$1, "Bulunamadı")))))</f>
        <v>ÇARŞAMBA</v>
      </c>
    </row>
    <row r="187" spans="1:5" hidden="1" x14ac:dyDescent="0.25">
      <c r="A187" t="s">
        <v>1720</v>
      </c>
      <c r="B187" t="s">
        <v>243</v>
      </c>
      <c r="C187" t="s">
        <v>1717</v>
      </c>
      <c r="D187" s="4" t="s">
        <v>3059</v>
      </c>
      <c r="E187" t="str">
        <f>IF(COUNTIF(Sayfa2!$A$2:$A$8,"*"&amp;D187&amp;"*")&gt;0, Sayfa2!$A$1,
 IF(COUNTIF(Sayfa2!$B$2:$B$8, "*"&amp;D187&amp;"*")&gt;0, Sayfa2!$B$1,
 IF(COUNTIF(Sayfa2!$C$2:$C$8, "*"&amp;D187&amp;"*")&gt;0, Sayfa2!$C$1,
 IF(COUNTIF(Sayfa2!$D$2:$D$8,"*"&amp;D187&amp;"*")&gt;0, Sayfa2!$D$1,
 IF(COUNTIF(Sayfa2!$E$2:$E$8, "*"&amp;D187&amp;"*")&gt;0, Sayfa2!$E$1, "Bulunamadı")))))</f>
        <v>SALI</v>
      </c>
    </row>
    <row r="188" spans="1:5" hidden="1" x14ac:dyDescent="0.25">
      <c r="A188" t="s">
        <v>1721</v>
      </c>
      <c r="B188" t="s">
        <v>244</v>
      </c>
      <c r="C188" t="s">
        <v>1715</v>
      </c>
      <c r="D188" s="4" t="s">
        <v>3060</v>
      </c>
      <c r="E188" t="str">
        <f>IF(COUNTIF(Sayfa2!$A$2:$A$8,"*"&amp;D188&amp;"*")&gt;0, Sayfa2!$A$1,
 IF(COUNTIF(Sayfa2!$B$2:$B$8, "*"&amp;D188&amp;"*")&gt;0, Sayfa2!$B$1,
 IF(COUNTIF(Sayfa2!$C$2:$C$8, "*"&amp;D188&amp;"*")&gt;0, Sayfa2!$C$1,
 IF(COUNTIF(Sayfa2!$D$2:$D$8,"*"&amp;D188&amp;"*")&gt;0, Sayfa2!$D$1,
 IF(COUNTIF(Sayfa2!$E$2:$E$8, "*"&amp;D188&amp;"*")&gt;0, Sayfa2!$E$1, "Bulunamadı")))))</f>
        <v>ÇARŞAMBA</v>
      </c>
    </row>
    <row r="189" spans="1:5" hidden="1" x14ac:dyDescent="0.25">
      <c r="A189" t="s">
        <v>1722</v>
      </c>
      <c r="B189" t="s">
        <v>245</v>
      </c>
      <c r="C189" t="s">
        <v>1719</v>
      </c>
      <c r="D189" s="4" t="s">
        <v>3090</v>
      </c>
      <c r="E189" t="str">
        <f>IF(COUNTIF(Sayfa2!$A$2:$A$8,"*"&amp;D189&amp;"*")&gt;0, Sayfa2!$A$1,
 IF(COUNTIF(Sayfa2!$B$2:$B$8, "*"&amp;D189&amp;"*")&gt;0, Sayfa2!$B$1,
 IF(COUNTIF(Sayfa2!$C$2:$C$8, "*"&amp;D189&amp;"*")&gt;0, Sayfa2!$C$1,
 IF(COUNTIF(Sayfa2!$D$2:$D$8,"*"&amp;D189&amp;"*")&gt;0, Sayfa2!$D$1,
 IF(COUNTIF(Sayfa2!$E$2:$E$8, "*"&amp;D189&amp;"*")&gt;0, Sayfa2!$E$1, "Bulunamadı")))))</f>
        <v>ÇARŞAMBA</v>
      </c>
    </row>
    <row r="190" spans="1:5" hidden="1" x14ac:dyDescent="0.25">
      <c r="A190" t="s">
        <v>1723</v>
      </c>
      <c r="B190" t="s">
        <v>246</v>
      </c>
      <c r="C190" t="s">
        <v>1719</v>
      </c>
      <c r="D190" s="4" t="s">
        <v>3090</v>
      </c>
      <c r="E190" t="str">
        <f>IF(COUNTIF(Sayfa2!$A$2:$A$8,"*"&amp;D190&amp;"*")&gt;0, Sayfa2!$A$1,
 IF(COUNTIF(Sayfa2!$B$2:$B$8, "*"&amp;D190&amp;"*")&gt;0, Sayfa2!$B$1,
 IF(COUNTIF(Sayfa2!$C$2:$C$8, "*"&amp;D190&amp;"*")&gt;0, Sayfa2!$C$1,
 IF(COUNTIF(Sayfa2!$D$2:$D$8,"*"&amp;D190&amp;"*")&gt;0, Sayfa2!$D$1,
 IF(COUNTIF(Sayfa2!$E$2:$E$8, "*"&amp;D190&amp;"*")&gt;0, Sayfa2!$E$1, "Bulunamadı")))))</f>
        <v>ÇARŞAMBA</v>
      </c>
    </row>
    <row r="191" spans="1:5" hidden="1" x14ac:dyDescent="0.25">
      <c r="A191" t="s">
        <v>1724</v>
      </c>
      <c r="B191" t="s">
        <v>247</v>
      </c>
      <c r="C191" t="s">
        <v>1715</v>
      </c>
      <c r="D191" s="4" t="s">
        <v>3060</v>
      </c>
      <c r="E191" t="str">
        <f>IF(COUNTIF(Sayfa2!$A$2:$A$8,"*"&amp;D191&amp;"*")&gt;0, Sayfa2!$A$1,
 IF(COUNTIF(Sayfa2!$B$2:$B$8, "*"&amp;D191&amp;"*")&gt;0, Sayfa2!$B$1,
 IF(COUNTIF(Sayfa2!$C$2:$C$8, "*"&amp;D191&amp;"*")&gt;0, Sayfa2!$C$1,
 IF(COUNTIF(Sayfa2!$D$2:$D$8,"*"&amp;D191&amp;"*")&gt;0, Sayfa2!$D$1,
 IF(COUNTIF(Sayfa2!$E$2:$E$8, "*"&amp;D191&amp;"*")&gt;0, Sayfa2!$E$1, "Bulunamadı")))))</f>
        <v>ÇARŞAMBA</v>
      </c>
    </row>
    <row r="192" spans="1:5" hidden="1" x14ac:dyDescent="0.25">
      <c r="A192" t="s">
        <v>1725</v>
      </c>
      <c r="B192" t="s">
        <v>248</v>
      </c>
      <c r="C192" t="s">
        <v>1715</v>
      </c>
      <c r="D192" s="4" t="s">
        <v>3060</v>
      </c>
      <c r="E192" t="str">
        <f>IF(COUNTIF(Sayfa2!$A$2:$A$8,"*"&amp;D192&amp;"*")&gt;0, Sayfa2!$A$1,
 IF(COUNTIF(Sayfa2!$B$2:$B$8, "*"&amp;D192&amp;"*")&gt;0, Sayfa2!$B$1,
 IF(COUNTIF(Sayfa2!$C$2:$C$8, "*"&amp;D192&amp;"*")&gt;0, Sayfa2!$C$1,
 IF(COUNTIF(Sayfa2!$D$2:$D$8,"*"&amp;D192&amp;"*")&gt;0, Sayfa2!$D$1,
 IF(COUNTIF(Sayfa2!$E$2:$E$8, "*"&amp;D192&amp;"*")&gt;0, Sayfa2!$E$1, "Bulunamadı")))))</f>
        <v>ÇARŞAMBA</v>
      </c>
    </row>
    <row r="193" spans="1:5" hidden="1" x14ac:dyDescent="0.25">
      <c r="A193" t="s">
        <v>1726</v>
      </c>
      <c r="B193" t="s">
        <v>249</v>
      </c>
      <c r="C193" t="s">
        <v>1717</v>
      </c>
      <c r="D193" s="4" t="s">
        <v>3059</v>
      </c>
      <c r="E193" t="str">
        <f>IF(COUNTIF(Sayfa2!$A$2:$A$8,"*"&amp;D193&amp;"*")&gt;0, Sayfa2!$A$1,
 IF(COUNTIF(Sayfa2!$B$2:$B$8, "*"&amp;D193&amp;"*")&gt;0, Sayfa2!$B$1,
 IF(COUNTIF(Sayfa2!$C$2:$C$8, "*"&amp;D193&amp;"*")&gt;0, Sayfa2!$C$1,
 IF(COUNTIF(Sayfa2!$D$2:$D$8,"*"&amp;D193&amp;"*")&gt;0, Sayfa2!$D$1,
 IF(COUNTIF(Sayfa2!$E$2:$E$8, "*"&amp;D193&amp;"*")&gt;0, Sayfa2!$E$1, "Bulunamadı")))))</f>
        <v>SALI</v>
      </c>
    </row>
    <row r="194" spans="1:5" hidden="1" x14ac:dyDescent="0.25">
      <c r="A194" t="s">
        <v>1727</v>
      </c>
      <c r="B194" t="s">
        <v>250</v>
      </c>
      <c r="C194" t="s">
        <v>1719</v>
      </c>
      <c r="D194" s="4" t="s">
        <v>3090</v>
      </c>
      <c r="E194" t="str">
        <f>IF(COUNTIF(Sayfa2!$A$2:$A$8,"*"&amp;D194&amp;"*")&gt;0, Sayfa2!$A$1,
 IF(COUNTIF(Sayfa2!$B$2:$B$8, "*"&amp;D194&amp;"*")&gt;0, Sayfa2!$B$1,
 IF(COUNTIF(Sayfa2!$C$2:$C$8, "*"&amp;D194&amp;"*")&gt;0, Sayfa2!$C$1,
 IF(COUNTIF(Sayfa2!$D$2:$D$8,"*"&amp;D194&amp;"*")&gt;0, Sayfa2!$D$1,
 IF(COUNTIF(Sayfa2!$E$2:$E$8, "*"&amp;D194&amp;"*")&gt;0, Sayfa2!$E$1, "Bulunamadı")))))</f>
        <v>ÇARŞAMBA</v>
      </c>
    </row>
    <row r="195" spans="1:5" hidden="1" x14ac:dyDescent="0.25">
      <c r="A195" t="s">
        <v>1728</v>
      </c>
      <c r="B195" t="s">
        <v>251</v>
      </c>
      <c r="C195" t="s">
        <v>1717</v>
      </c>
      <c r="D195" s="4" t="s">
        <v>3059</v>
      </c>
      <c r="E195" t="str">
        <f>IF(COUNTIF(Sayfa2!$A$2:$A$8,"*"&amp;D195&amp;"*")&gt;0, Sayfa2!$A$1,
 IF(COUNTIF(Sayfa2!$B$2:$B$8, "*"&amp;D195&amp;"*")&gt;0, Sayfa2!$B$1,
 IF(COUNTIF(Sayfa2!$C$2:$C$8, "*"&amp;D195&amp;"*")&gt;0, Sayfa2!$C$1,
 IF(COUNTIF(Sayfa2!$D$2:$D$8,"*"&amp;D195&amp;"*")&gt;0, Sayfa2!$D$1,
 IF(COUNTIF(Sayfa2!$E$2:$E$8, "*"&amp;D195&amp;"*")&gt;0, Sayfa2!$E$1, "Bulunamadı")))))</f>
        <v>SALI</v>
      </c>
    </row>
    <row r="196" spans="1:5" hidden="1" x14ac:dyDescent="0.25">
      <c r="A196" t="s">
        <v>1729</v>
      </c>
      <c r="B196" t="s">
        <v>252</v>
      </c>
      <c r="C196" t="s">
        <v>1715</v>
      </c>
      <c r="D196" s="4" t="s">
        <v>3060</v>
      </c>
      <c r="E196" t="str">
        <f>IF(COUNTIF(Sayfa2!$A$2:$A$8,"*"&amp;D196&amp;"*")&gt;0, Sayfa2!$A$1,
 IF(COUNTIF(Sayfa2!$B$2:$B$8, "*"&amp;D196&amp;"*")&gt;0, Sayfa2!$B$1,
 IF(COUNTIF(Sayfa2!$C$2:$C$8, "*"&amp;D196&amp;"*")&gt;0, Sayfa2!$C$1,
 IF(COUNTIF(Sayfa2!$D$2:$D$8,"*"&amp;D196&amp;"*")&gt;0, Sayfa2!$D$1,
 IF(COUNTIF(Sayfa2!$E$2:$E$8, "*"&amp;D196&amp;"*")&gt;0, Sayfa2!$E$1, "Bulunamadı")))))</f>
        <v>ÇARŞAMBA</v>
      </c>
    </row>
    <row r="197" spans="1:5" hidden="1" x14ac:dyDescent="0.25">
      <c r="A197" t="s">
        <v>1730</v>
      </c>
      <c r="B197" t="s">
        <v>253</v>
      </c>
      <c r="C197" t="s">
        <v>1717</v>
      </c>
      <c r="D197" s="4" t="s">
        <v>3059</v>
      </c>
      <c r="E197" t="str">
        <f>IF(COUNTIF(Sayfa2!$A$2:$A$8,"*"&amp;D197&amp;"*")&gt;0, Sayfa2!$A$1,
 IF(COUNTIF(Sayfa2!$B$2:$B$8, "*"&amp;D197&amp;"*")&gt;0, Sayfa2!$B$1,
 IF(COUNTIF(Sayfa2!$C$2:$C$8, "*"&amp;D197&amp;"*")&gt;0, Sayfa2!$C$1,
 IF(COUNTIF(Sayfa2!$D$2:$D$8,"*"&amp;D197&amp;"*")&gt;0, Sayfa2!$D$1,
 IF(COUNTIF(Sayfa2!$E$2:$E$8, "*"&amp;D197&amp;"*")&gt;0, Sayfa2!$E$1, "Bulunamadı")))))</f>
        <v>SALI</v>
      </c>
    </row>
    <row r="198" spans="1:5" hidden="1" x14ac:dyDescent="0.25">
      <c r="A198" t="s">
        <v>1731</v>
      </c>
      <c r="B198" t="s">
        <v>254</v>
      </c>
      <c r="C198" t="s">
        <v>1719</v>
      </c>
      <c r="D198" s="4" t="s">
        <v>3090</v>
      </c>
      <c r="E198" t="str">
        <f>IF(COUNTIF(Sayfa2!$A$2:$A$8,"*"&amp;D198&amp;"*")&gt;0, Sayfa2!$A$1,
 IF(COUNTIF(Sayfa2!$B$2:$B$8, "*"&amp;D198&amp;"*")&gt;0, Sayfa2!$B$1,
 IF(COUNTIF(Sayfa2!$C$2:$C$8, "*"&amp;D198&amp;"*")&gt;0, Sayfa2!$C$1,
 IF(COUNTIF(Sayfa2!$D$2:$D$8,"*"&amp;D198&amp;"*")&gt;0, Sayfa2!$D$1,
 IF(COUNTIF(Sayfa2!$E$2:$E$8, "*"&amp;D198&amp;"*")&gt;0, Sayfa2!$E$1, "Bulunamadı")))))</f>
        <v>ÇARŞAMBA</v>
      </c>
    </row>
    <row r="199" spans="1:5" hidden="1" x14ac:dyDescent="0.25">
      <c r="A199" t="s">
        <v>1732</v>
      </c>
      <c r="B199" t="s">
        <v>255</v>
      </c>
      <c r="C199" t="s">
        <v>1717</v>
      </c>
      <c r="D199" s="4" t="s">
        <v>3059</v>
      </c>
      <c r="E199" t="str">
        <f>IF(COUNTIF(Sayfa2!$A$2:$A$8,"*"&amp;D199&amp;"*")&gt;0, Sayfa2!$A$1,
 IF(COUNTIF(Sayfa2!$B$2:$B$8, "*"&amp;D199&amp;"*")&gt;0, Sayfa2!$B$1,
 IF(COUNTIF(Sayfa2!$C$2:$C$8, "*"&amp;D199&amp;"*")&gt;0, Sayfa2!$C$1,
 IF(COUNTIF(Sayfa2!$D$2:$D$8,"*"&amp;D199&amp;"*")&gt;0, Sayfa2!$D$1,
 IF(COUNTIF(Sayfa2!$E$2:$E$8, "*"&amp;D199&amp;"*")&gt;0, Sayfa2!$E$1, "Bulunamadı")))))</f>
        <v>SALI</v>
      </c>
    </row>
    <row r="200" spans="1:5" hidden="1" x14ac:dyDescent="0.25">
      <c r="A200" t="s">
        <v>1733</v>
      </c>
      <c r="B200" t="s">
        <v>256</v>
      </c>
      <c r="C200" t="s">
        <v>1719</v>
      </c>
      <c r="D200" s="4" t="s">
        <v>3090</v>
      </c>
      <c r="E200" t="str">
        <f>IF(COUNTIF(Sayfa2!$A$2:$A$8,"*"&amp;D200&amp;"*")&gt;0, Sayfa2!$A$1,
 IF(COUNTIF(Sayfa2!$B$2:$B$8, "*"&amp;D200&amp;"*")&gt;0, Sayfa2!$B$1,
 IF(COUNTIF(Sayfa2!$C$2:$C$8, "*"&amp;D200&amp;"*")&gt;0, Sayfa2!$C$1,
 IF(COUNTIF(Sayfa2!$D$2:$D$8,"*"&amp;D200&amp;"*")&gt;0, Sayfa2!$D$1,
 IF(COUNTIF(Sayfa2!$E$2:$E$8, "*"&amp;D200&amp;"*")&gt;0, Sayfa2!$E$1, "Bulunamadı")))))</f>
        <v>ÇARŞAMBA</v>
      </c>
    </row>
    <row r="201" spans="1:5" hidden="1" x14ac:dyDescent="0.25">
      <c r="A201" t="s">
        <v>1734</v>
      </c>
      <c r="B201" t="s">
        <v>257</v>
      </c>
      <c r="C201" t="s">
        <v>1717</v>
      </c>
      <c r="D201" s="4" t="s">
        <v>3059</v>
      </c>
      <c r="E201" t="str">
        <f>IF(COUNTIF(Sayfa2!$A$2:$A$8,"*"&amp;D201&amp;"*")&gt;0, Sayfa2!$A$1,
 IF(COUNTIF(Sayfa2!$B$2:$B$8, "*"&amp;D201&amp;"*")&gt;0, Sayfa2!$B$1,
 IF(COUNTIF(Sayfa2!$C$2:$C$8, "*"&amp;D201&amp;"*")&gt;0, Sayfa2!$C$1,
 IF(COUNTIF(Sayfa2!$D$2:$D$8,"*"&amp;D201&amp;"*")&gt;0, Sayfa2!$D$1,
 IF(COUNTIF(Sayfa2!$E$2:$E$8, "*"&amp;D201&amp;"*")&gt;0, Sayfa2!$E$1, "Bulunamadı")))))</f>
        <v>SALI</v>
      </c>
    </row>
    <row r="202" spans="1:5" hidden="1" x14ac:dyDescent="0.25">
      <c r="A202" t="s">
        <v>1735</v>
      </c>
      <c r="B202" t="s">
        <v>258</v>
      </c>
      <c r="C202" t="s">
        <v>1715</v>
      </c>
      <c r="D202" s="4" t="s">
        <v>3060</v>
      </c>
      <c r="E202" t="str">
        <f>IF(COUNTIF(Sayfa2!$A$2:$A$8,"*"&amp;D202&amp;"*")&gt;0, Sayfa2!$A$1,
 IF(COUNTIF(Sayfa2!$B$2:$B$8, "*"&amp;D202&amp;"*")&gt;0, Sayfa2!$B$1,
 IF(COUNTIF(Sayfa2!$C$2:$C$8, "*"&amp;D202&amp;"*")&gt;0, Sayfa2!$C$1,
 IF(COUNTIF(Sayfa2!$D$2:$D$8,"*"&amp;D202&amp;"*")&gt;0, Sayfa2!$D$1,
 IF(COUNTIF(Sayfa2!$E$2:$E$8, "*"&amp;D202&amp;"*")&gt;0, Sayfa2!$E$1, "Bulunamadı")))))</f>
        <v>ÇARŞAMBA</v>
      </c>
    </row>
    <row r="203" spans="1:5" hidden="1" x14ac:dyDescent="0.25">
      <c r="A203" t="s">
        <v>1736</v>
      </c>
      <c r="B203" t="s">
        <v>259</v>
      </c>
      <c r="C203" t="s">
        <v>1719</v>
      </c>
      <c r="D203" s="4" t="s">
        <v>3090</v>
      </c>
      <c r="E203" t="str">
        <f>IF(COUNTIF(Sayfa2!$A$2:$A$8,"*"&amp;D203&amp;"*")&gt;0, Sayfa2!$A$1,
 IF(COUNTIF(Sayfa2!$B$2:$B$8, "*"&amp;D203&amp;"*")&gt;0, Sayfa2!$B$1,
 IF(COUNTIF(Sayfa2!$C$2:$C$8, "*"&amp;D203&amp;"*")&gt;0, Sayfa2!$C$1,
 IF(COUNTIF(Sayfa2!$D$2:$D$8,"*"&amp;D203&amp;"*")&gt;0, Sayfa2!$D$1,
 IF(COUNTIF(Sayfa2!$E$2:$E$8, "*"&amp;D203&amp;"*")&gt;0, Sayfa2!$E$1, "Bulunamadı")))))</f>
        <v>ÇARŞAMBA</v>
      </c>
    </row>
    <row r="204" spans="1:5" hidden="1" x14ac:dyDescent="0.25">
      <c r="A204" t="s">
        <v>1737</v>
      </c>
      <c r="B204" t="s">
        <v>260</v>
      </c>
      <c r="C204" t="s">
        <v>1715</v>
      </c>
      <c r="D204" s="4" t="s">
        <v>3060</v>
      </c>
      <c r="E204" t="str">
        <f>IF(COUNTIF(Sayfa2!$A$2:$A$8,"*"&amp;D204&amp;"*")&gt;0, Sayfa2!$A$1,
 IF(COUNTIF(Sayfa2!$B$2:$B$8, "*"&amp;D204&amp;"*")&gt;0, Sayfa2!$B$1,
 IF(COUNTIF(Sayfa2!$C$2:$C$8, "*"&amp;D204&amp;"*")&gt;0, Sayfa2!$C$1,
 IF(COUNTIF(Sayfa2!$D$2:$D$8,"*"&amp;D204&amp;"*")&gt;0, Sayfa2!$D$1,
 IF(COUNTIF(Sayfa2!$E$2:$E$8, "*"&amp;D204&amp;"*")&gt;0, Sayfa2!$E$1, "Bulunamadı")))))</f>
        <v>ÇARŞAMBA</v>
      </c>
    </row>
    <row r="205" spans="1:5" hidden="1" x14ac:dyDescent="0.25">
      <c r="A205" t="s">
        <v>1738</v>
      </c>
      <c r="B205" t="s">
        <v>261</v>
      </c>
      <c r="C205" t="s">
        <v>1717</v>
      </c>
      <c r="D205" s="4" t="s">
        <v>3059</v>
      </c>
      <c r="E205" t="str">
        <f>IF(COUNTIF(Sayfa2!$A$2:$A$8,"*"&amp;D205&amp;"*")&gt;0, Sayfa2!$A$1,
 IF(COUNTIF(Sayfa2!$B$2:$B$8, "*"&amp;D205&amp;"*")&gt;0, Sayfa2!$B$1,
 IF(COUNTIF(Sayfa2!$C$2:$C$8, "*"&amp;D205&amp;"*")&gt;0, Sayfa2!$C$1,
 IF(COUNTIF(Sayfa2!$D$2:$D$8,"*"&amp;D205&amp;"*")&gt;0, Sayfa2!$D$1,
 IF(COUNTIF(Sayfa2!$E$2:$E$8, "*"&amp;D205&amp;"*")&gt;0, Sayfa2!$E$1, "Bulunamadı")))))</f>
        <v>SALI</v>
      </c>
    </row>
    <row r="206" spans="1:5" hidden="1" x14ac:dyDescent="0.25">
      <c r="A206" t="s">
        <v>1739</v>
      </c>
      <c r="B206" t="s">
        <v>262</v>
      </c>
      <c r="C206" t="s">
        <v>1719</v>
      </c>
      <c r="D206" s="4" t="s">
        <v>3090</v>
      </c>
      <c r="E206" t="str">
        <f>IF(COUNTIF(Sayfa2!$A$2:$A$8,"*"&amp;D206&amp;"*")&gt;0, Sayfa2!$A$1,
 IF(COUNTIF(Sayfa2!$B$2:$B$8, "*"&amp;D206&amp;"*")&gt;0, Sayfa2!$B$1,
 IF(COUNTIF(Sayfa2!$C$2:$C$8, "*"&amp;D206&amp;"*")&gt;0, Sayfa2!$C$1,
 IF(COUNTIF(Sayfa2!$D$2:$D$8,"*"&amp;D206&amp;"*")&gt;0, Sayfa2!$D$1,
 IF(COUNTIF(Sayfa2!$E$2:$E$8, "*"&amp;D206&amp;"*")&gt;0, Sayfa2!$E$1, "Bulunamadı")))))</f>
        <v>ÇARŞAMBA</v>
      </c>
    </row>
    <row r="207" spans="1:5" hidden="1" x14ac:dyDescent="0.25">
      <c r="A207" t="s">
        <v>1740</v>
      </c>
      <c r="B207" t="s">
        <v>263</v>
      </c>
      <c r="C207" t="s">
        <v>1715</v>
      </c>
      <c r="D207" s="4" t="s">
        <v>3060</v>
      </c>
      <c r="E207" t="str">
        <f>IF(COUNTIF(Sayfa2!$A$2:$A$8,"*"&amp;D207&amp;"*")&gt;0, Sayfa2!$A$1,
 IF(COUNTIF(Sayfa2!$B$2:$B$8, "*"&amp;D207&amp;"*")&gt;0, Sayfa2!$B$1,
 IF(COUNTIF(Sayfa2!$C$2:$C$8, "*"&amp;D207&amp;"*")&gt;0, Sayfa2!$C$1,
 IF(COUNTIF(Sayfa2!$D$2:$D$8,"*"&amp;D207&amp;"*")&gt;0, Sayfa2!$D$1,
 IF(COUNTIF(Sayfa2!$E$2:$E$8, "*"&amp;D207&amp;"*")&gt;0, Sayfa2!$E$1, "Bulunamadı")))))</f>
        <v>ÇARŞAMBA</v>
      </c>
    </row>
    <row r="208" spans="1:5" hidden="1" x14ac:dyDescent="0.25">
      <c r="A208" t="s">
        <v>1741</v>
      </c>
      <c r="B208" t="s">
        <v>264</v>
      </c>
      <c r="C208" t="s">
        <v>1717</v>
      </c>
      <c r="D208" s="4" t="s">
        <v>3059</v>
      </c>
      <c r="E208" t="str">
        <f>IF(COUNTIF(Sayfa2!$A$2:$A$8,"*"&amp;D208&amp;"*")&gt;0, Sayfa2!$A$1,
 IF(COUNTIF(Sayfa2!$B$2:$B$8, "*"&amp;D208&amp;"*")&gt;0, Sayfa2!$B$1,
 IF(COUNTIF(Sayfa2!$C$2:$C$8, "*"&amp;D208&amp;"*")&gt;0, Sayfa2!$C$1,
 IF(COUNTIF(Sayfa2!$D$2:$D$8,"*"&amp;D208&amp;"*")&gt;0, Sayfa2!$D$1,
 IF(COUNTIF(Sayfa2!$E$2:$E$8, "*"&amp;D208&amp;"*")&gt;0, Sayfa2!$E$1, "Bulunamadı")))))</f>
        <v>SALI</v>
      </c>
    </row>
    <row r="209" spans="1:5" hidden="1" x14ac:dyDescent="0.25">
      <c r="A209" t="s">
        <v>1742</v>
      </c>
      <c r="B209" t="s">
        <v>265</v>
      </c>
      <c r="C209" t="s">
        <v>1715</v>
      </c>
      <c r="D209" s="4" t="s">
        <v>3060</v>
      </c>
      <c r="E209" t="str">
        <f>IF(COUNTIF(Sayfa2!$A$2:$A$8,"*"&amp;D209&amp;"*")&gt;0, Sayfa2!$A$1,
 IF(COUNTIF(Sayfa2!$B$2:$B$8, "*"&amp;D209&amp;"*")&gt;0, Sayfa2!$B$1,
 IF(COUNTIF(Sayfa2!$C$2:$C$8, "*"&amp;D209&amp;"*")&gt;0, Sayfa2!$C$1,
 IF(COUNTIF(Sayfa2!$D$2:$D$8,"*"&amp;D209&amp;"*")&gt;0, Sayfa2!$D$1,
 IF(COUNTIF(Sayfa2!$E$2:$E$8, "*"&amp;D209&amp;"*")&gt;0, Sayfa2!$E$1, "Bulunamadı")))))</f>
        <v>ÇARŞAMBA</v>
      </c>
    </row>
    <row r="210" spans="1:5" hidden="1" x14ac:dyDescent="0.25">
      <c r="A210" t="s">
        <v>1743</v>
      </c>
      <c r="B210" t="s">
        <v>266</v>
      </c>
      <c r="C210" t="s">
        <v>1719</v>
      </c>
      <c r="D210" s="4" t="s">
        <v>3090</v>
      </c>
      <c r="E210" t="str">
        <f>IF(COUNTIF(Sayfa2!$A$2:$A$8,"*"&amp;D210&amp;"*")&gt;0, Sayfa2!$A$1,
 IF(COUNTIF(Sayfa2!$B$2:$B$8, "*"&amp;D210&amp;"*")&gt;0, Sayfa2!$B$1,
 IF(COUNTIF(Sayfa2!$C$2:$C$8, "*"&amp;D210&amp;"*")&gt;0, Sayfa2!$C$1,
 IF(COUNTIF(Sayfa2!$D$2:$D$8,"*"&amp;D210&amp;"*")&gt;0, Sayfa2!$D$1,
 IF(COUNTIF(Sayfa2!$E$2:$E$8, "*"&amp;D210&amp;"*")&gt;0, Sayfa2!$E$1, "Bulunamadı")))))</f>
        <v>ÇARŞAMBA</v>
      </c>
    </row>
    <row r="211" spans="1:5" hidden="1" x14ac:dyDescent="0.25">
      <c r="A211" t="s">
        <v>1744</v>
      </c>
      <c r="B211" t="s">
        <v>267</v>
      </c>
      <c r="C211" t="s">
        <v>1719</v>
      </c>
      <c r="D211" s="4" t="s">
        <v>3090</v>
      </c>
      <c r="E211" t="str">
        <f>IF(COUNTIF(Sayfa2!$A$2:$A$8,"*"&amp;D211&amp;"*")&gt;0, Sayfa2!$A$1,
 IF(COUNTIF(Sayfa2!$B$2:$B$8, "*"&amp;D211&amp;"*")&gt;0, Sayfa2!$B$1,
 IF(COUNTIF(Sayfa2!$C$2:$C$8, "*"&amp;D211&amp;"*")&gt;0, Sayfa2!$C$1,
 IF(COUNTIF(Sayfa2!$D$2:$D$8,"*"&amp;D211&amp;"*")&gt;0, Sayfa2!$D$1,
 IF(COUNTIF(Sayfa2!$E$2:$E$8, "*"&amp;D211&amp;"*")&gt;0, Sayfa2!$E$1, "Bulunamadı")))))</f>
        <v>ÇARŞAMBA</v>
      </c>
    </row>
    <row r="212" spans="1:5" hidden="1" x14ac:dyDescent="0.25">
      <c r="A212" t="s">
        <v>1745</v>
      </c>
      <c r="B212" t="s">
        <v>268</v>
      </c>
      <c r="C212" t="s">
        <v>1717</v>
      </c>
      <c r="D212" s="4" t="s">
        <v>3059</v>
      </c>
      <c r="E212" t="str">
        <f>IF(COUNTIF(Sayfa2!$A$2:$A$8,"*"&amp;D212&amp;"*")&gt;0, Sayfa2!$A$1,
 IF(COUNTIF(Sayfa2!$B$2:$B$8, "*"&amp;D212&amp;"*")&gt;0, Sayfa2!$B$1,
 IF(COUNTIF(Sayfa2!$C$2:$C$8, "*"&amp;D212&amp;"*")&gt;0, Sayfa2!$C$1,
 IF(COUNTIF(Sayfa2!$D$2:$D$8,"*"&amp;D212&amp;"*")&gt;0, Sayfa2!$D$1,
 IF(COUNTIF(Sayfa2!$E$2:$E$8, "*"&amp;D212&amp;"*")&gt;0, Sayfa2!$E$1, "Bulunamadı")))))</f>
        <v>SALI</v>
      </c>
    </row>
    <row r="213" spans="1:5" hidden="1" x14ac:dyDescent="0.25">
      <c r="A213" t="s">
        <v>1746</v>
      </c>
      <c r="B213" t="s">
        <v>269</v>
      </c>
      <c r="C213" t="s">
        <v>1717</v>
      </c>
      <c r="D213" s="4" t="s">
        <v>3059</v>
      </c>
      <c r="E213" t="str">
        <f>IF(COUNTIF(Sayfa2!$A$2:$A$8,"*"&amp;D213&amp;"*")&gt;0, Sayfa2!$A$1,
 IF(COUNTIF(Sayfa2!$B$2:$B$8, "*"&amp;D213&amp;"*")&gt;0, Sayfa2!$B$1,
 IF(COUNTIF(Sayfa2!$C$2:$C$8, "*"&amp;D213&amp;"*")&gt;0, Sayfa2!$C$1,
 IF(COUNTIF(Sayfa2!$D$2:$D$8,"*"&amp;D213&amp;"*")&gt;0, Sayfa2!$D$1,
 IF(COUNTIF(Sayfa2!$E$2:$E$8, "*"&amp;D213&amp;"*")&gt;0, Sayfa2!$E$1, "Bulunamadı")))))</f>
        <v>SALI</v>
      </c>
    </row>
    <row r="214" spans="1:5" hidden="1" x14ac:dyDescent="0.25">
      <c r="A214" t="s">
        <v>1747</v>
      </c>
      <c r="B214" t="s">
        <v>270</v>
      </c>
      <c r="C214" t="s">
        <v>1719</v>
      </c>
      <c r="D214" s="4" t="s">
        <v>3090</v>
      </c>
      <c r="E214" t="str">
        <f>IF(COUNTIF(Sayfa2!$A$2:$A$8,"*"&amp;D214&amp;"*")&gt;0, Sayfa2!$A$1,
 IF(COUNTIF(Sayfa2!$B$2:$B$8, "*"&amp;D214&amp;"*")&gt;0, Sayfa2!$B$1,
 IF(COUNTIF(Sayfa2!$C$2:$C$8, "*"&amp;D214&amp;"*")&gt;0, Sayfa2!$C$1,
 IF(COUNTIF(Sayfa2!$D$2:$D$8,"*"&amp;D214&amp;"*")&gt;0, Sayfa2!$D$1,
 IF(COUNTIF(Sayfa2!$E$2:$E$8, "*"&amp;D214&amp;"*")&gt;0, Sayfa2!$E$1, "Bulunamadı")))))</f>
        <v>ÇARŞAMBA</v>
      </c>
    </row>
    <row r="215" spans="1:5" hidden="1" x14ac:dyDescent="0.25">
      <c r="A215" t="s">
        <v>1748</v>
      </c>
      <c r="B215" t="s">
        <v>271</v>
      </c>
      <c r="C215" t="s">
        <v>1717</v>
      </c>
      <c r="D215" s="4" t="s">
        <v>3059</v>
      </c>
      <c r="E215" t="str">
        <f>IF(COUNTIF(Sayfa2!$A$2:$A$8,"*"&amp;D215&amp;"*")&gt;0, Sayfa2!$A$1,
 IF(COUNTIF(Sayfa2!$B$2:$B$8, "*"&amp;D215&amp;"*")&gt;0, Sayfa2!$B$1,
 IF(COUNTIF(Sayfa2!$C$2:$C$8, "*"&amp;D215&amp;"*")&gt;0, Sayfa2!$C$1,
 IF(COUNTIF(Sayfa2!$D$2:$D$8,"*"&amp;D215&amp;"*")&gt;0, Sayfa2!$D$1,
 IF(COUNTIF(Sayfa2!$E$2:$E$8, "*"&amp;D215&amp;"*")&gt;0, Sayfa2!$E$1, "Bulunamadı")))))</f>
        <v>SALI</v>
      </c>
    </row>
    <row r="216" spans="1:5" hidden="1" x14ac:dyDescent="0.25">
      <c r="A216" t="s">
        <v>1749</v>
      </c>
      <c r="B216" t="s">
        <v>272</v>
      </c>
      <c r="C216" t="s">
        <v>1719</v>
      </c>
      <c r="D216" s="4" t="s">
        <v>3090</v>
      </c>
      <c r="E216" t="str">
        <f>IF(COUNTIF(Sayfa2!$A$2:$A$8,"*"&amp;D216&amp;"*")&gt;0, Sayfa2!$A$1,
 IF(COUNTIF(Sayfa2!$B$2:$B$8, "*"&amp;D216&amp;"*")&gt;0, Sayfa2!$B$1,
 IF(COUNTIF(Sayfa2!$C$2:$C$8, "*"&amp;D216&amp;"*")&gt;0, Sayfa2!$C$1,
 IF(COUNTIF(Sayfa2!$D$2:$D$8,"*"&amp;D216&amp;"*")&gt;0, Sayfa2!$D$1,
 IF(COUNTIF(Sayfa2!$E$2:$E$8, "*"&amp;D216&amp;"*")&gt;0, Sayfa2!$E$1, "Bulunamadı")))))</f>
        <v>ÇARŞAMBA</v>
      </c>
    </row>
    <row r="217" spans="1:5" x14ac:dyDescent="0.25">
      <c r="A217" t="s">
        <v>1750</v>
      </c>
      <c r="B217" t="s">
        <v>273</v>
      </c>
      <c r="C217" t="s">
        <v>1751</v>
      </c>
      <c r="D217" s="4" t="s">
        <v>3112</v>
      </c>
      <c r="E217" t="str">
        <f>IF(COUNTIF(Sayfa2!$A$2:$A$8,"*"&amp;D217&amp;"*")&gt;0, Sayfa2!$A$1,
 IF(COUNTIF(Sayfa2!$B$2:$B$8, "*"&amp;D217&amp;"*")&gt;0, Sayfa2!$B$1,
 IF(COUNTIF(Sayfa2!$C$2:$C$8, "*"&amp;D217&amp;"*")&gt;0, Sayfa2!$C$1,
 IF(COUNTIF(Sayfa2!$D$2:$D$8,"*"&amp;D217&amp;"*")&gt;0, Sayfa2!$D$1,
 IF(COUNTIF(Sayfa2!$E$2:$E$8, "*"&amp;D217&amp;"*")&gt;0, Sayfa2!$E$1, "Bulunamadı")))))</f>
        <v>Bulunamadı</v>
      </c>
    </row>
    <row r="218" spans="1:5" hidden="1" x14ac:dyDescent="0.25">
      <c r="A218" t="s">
        <v>1752</v>
      </c>
      <c r="B218" t="s">
        <v>274</v>
      </c>
      <c r="C218" t="s">
        <v>1719</v>
      </c>
      <c r="D218" s="4" t="s">
        <v>3090</v>
      </c>
      <c r="E218" t="str">
        <f>IF(COUNTIF(Sayfa2!$A$2:$A$8,"*"&amp;D218&amp;"*")&gt;0, Sayfa2!$A$1,
 IF(COUNTIF(Sayfa2!$B$2:$B$8, "*"&amp;D218&amp;"*")&gt;0, Sayfa2!$B$1,
 IF(COUNTIF(Sayfa2!$C$2:$C$8, "*"&amp;D218&amp;"*")&gt;0, Sayfa2!$C$1,
 IF(COUNTIF(Sayfa2!$D$2:$D$8,"*"&amp;D218&amp;"*")&gt;0, Sayfa2!$D$1,
 IF(COUNTIF(Sayfa2!$E$2:$E$8, "*"&amp;D218&amp;"*")&gt;0, Sayfa2!$E$1, "Bulunamadı")))))</f>
        <v>ÇARŞAMBA</v>
      </c>
    </row>
    <row r="219" spans="1:5" hidden="1" x14ac:dyDescent="0.25">
      <c r="A219" t="s">
        <v>1753</v>
      </c>
      <c r="B219" t="s">
        <v>275</v>
      </c>
      <c r="C219" t="s">
        <v>1715</v>
      </c>
      <c r="D219" s="4" t="s">
        <v>3060</v>
      </c>
      <c r="E219" t="str">
        <f>IF(COUNTIF(Sayfa2!$A$2:$A$8,"*"&amp;D219&amp;"*")&gt;0, Sayfa2!$A$1,
 IF(COUNTIF(Sayfa2!$B$2:$B$8, "*"&amp;D219&amp;"*")&gt;0, Sayfa2!$B$1,
 IF(COUNTIF(Sayfa2!$C$2:$C$8, "*"&amp;D219&amp;"*")&gt;0, Sayfa2!$C$1,
 IF(COUNTIF(Sayfa2!$D$2:$D$8,"*"&amp;D219&amp;"*")&gt;0, Sayfa2!$D$1,
 IF(COUNTIF(Sayfa2!$E$2:$E$8, "*"&amp;D219&amp;"*")&gt;0, Sayfa2!$E$1, "Bulunamadı")))))</f>
        <v>ÇARŞAMBA</v>
      </c>
    </row>
    <row r="220" spans="1:5" hidden="1" x14ac:dyDescent="0.25">
      <c r="A220" t="s">
        <v>1754</v>
      </c>
      <c r="B220" t="s">
        <v>276</v>
      </c>
      <c r="C220" t="s">
        <v>1715</v>
      </c>
      <c r="D220" s="4" t="s">
        <v>3060</v>
      </c>
      <c r="E220" t="str">
        <f>IF(COUNTIF(Sayfa2!$A$2:$A$8,"*"&amp;D220&amp;"*")&gt;0, Sayfa2!$A$1,
 IF(COUNTIF(Sayfa2!$B$2:$B$8, "*"&amp;D220&amp;"*")&gt;0, Sayfa2!$B$1,
 IF(COUNTIF(Sayfa2!$C$2:$C$8, "*"&amp;D220&amp;"*")&gt;0, Sayfa2!$C$1,
 IF(COUNTIF(Sayfa2!$D$2:$D$8,"*"&amp;D220&amp;"*")&gt;0, Sayfa2!$D$1,
 IF(COUNTIF(Sayfa2!$E$2:$E$8, "*"&amp;D220&amp;"*")&gt;0, Sayfa2!$E$1, "Bulunamadı")))))</f>
        <v>ÇARŞAMBA</v>
      </c>
    </row>
    <row r="221" spans="1:5" hidden="1" x14ac:dyDescent="0.25">
      <c r="A221" t="s">
        <v>1755</v>
      </c>
      <c r="B221" t="s">
        <v>277</v>
      </c>
      <c r="C221" t="s">
        <v>1717</v>
      </c>
      <c r="D221" s="4" t="s">
        <v>3059</v>
      </c>
      <c r="E221" t="str">
        <f>IF(COUNTIF(Sayfa2!$A$2:$A$8,"*"&amp;D221&amp;"*")&gt;0, Sayfa2!$A$1,
 IF(COUNTIF(Sayfa2!$B$2:$B$8, "*"&amp;D221&amp;"*")&gt;0, Sayfa2!$B$1,
 IF(COUNTIF(Sayfa2!$C$2:$C$8, "*"&amp;D221&amp;"*")&gt;0, Sayfa2!$C$1,
 IF(COUNTIF(Sayfa2!$D$2:$D$8,"*"&amp;D221&amp;"*")&gt;0, Sayfa2!$D$1,
 IF(COUNTIF(Sayfa2!$E$2:$E$8, "*"&amp;D221&amp;"*")&gt;0, Sayfa2!$E$1, "Bulunamadı")))))</f>
        <v>SALI</v>
      </c>
    </row>
    <row r="222" spans="1:5" hidden="1" x14ac:dyDescent="0.25">
      <c r="A222" t="s">
        <v>1756</v>
      </c>
      <c r="B222" t="s">
        <v>278</v>
      </c>
      <c r="C222" t="s">
        <v>1715</v>
      </c>
      <c r="D222" s="4" t="s">
        <v>3060</v>
      </c>
      <c r="E222" t="str">
        <f>IF(COUNTIF(Sayfa2!$A$2:$A$8,"*"&amp;D222&amp;"*")&gt;0, Sayfa2!$A$1,
 IF(COUNTIF(Sayfa2!$B$2:$B$8, "*"&amp;D222&amp;"*")&gt;0, Sayfa2!$B$1,
 IF(COUNTIF(Sayfa2!$C$2:$C$8, "*"&amp;D222&amp;"*")&gt;0, Sayfa2!$C$1,
 IF(COUNTIF(Sayfa2!$D$2:$D$8,"*"&amp;D222&amp;"*")&gt;0, Sayfa2!$D$1,
 IF(COUNTIF(Sayfa2!$E$2:$E$8, "*"&amp;D222&amp;"*")&gt;0, Sayfa2!$E$1, "Bulunamadı")))))</f>
        <v>ÇARŞAMBA</v>
      </c>
    </row>
    <row r="223" spans="1:5" hidden="1" x14ac:dyDescent="0.25">
      <c r="A223" t="s">
        <v>1757</v>
      </c>
      <c r="B223" t="s">
        <v>279</v>
      </c>
      <c r="C223" t="s">
        <v>1717</v>
      </c>
      <c r="D223" s="4" t="s">
        <v>3059</v>
      </c>
      <c r="E223" t="str">
        <f>IF(COUNTIF(Sayfa2!$A$2:$A$8,"*"&amp;D223&amp;"*")&gt;0, Sayfa2!$A$1,
 IF(COUNTIF(Sayfa2!$B$2:$B$8, "*"&amp;D223&amp;"*")&gt;0, Sayfa2!$B$1,
 IF(COUNTIF(Sayfa2!$C$2:$C$8, "*"&amp;D223&amp;"*")&gt;0, Sayfa2!$C$1,
 IF(COUNTIF(Sayfa2!$D$2:$D$8,"*"&amp;D223&amp;"*")&gt;0, Sayfa2!$D$1,
 IF(COUNTIF(Sayfa2!$E$2:$E$8, "*"&amp;D223&amp;"*")&gt;0, Sayfa2!$E$1, "Bulunamadı")))))</f>
        <v>SALI</v>
      </c>
    </row>
    <row r="224" spans="1:5" hidden="1" x14ac:dyDescent="0.25">
      <c r="A224" t="s">
        <v>1758</v>
      </c>
      <c r="B224" t="s">
        <v>280</v>
      </c>
      <c r="C224" t="s">
        <v>1717</v>
      </c>
      <c r="D224" s="4" t="s">
        <v>3059</v>
      </c>
      <c r="E224" t="str">
        <f>IF(COUNTIF(Sayfa2!$A$2:$A$8,"*"&amp;D224&amp;"*")&gt;0, Sayfa2!$A$1,
 IF(COUNTIF(Sayfa2!$B$2:$B$8, "*"&amp;D224&amp;"*")&gt;0, Sayfa2!$B$1,
 IF(COUNTIF(Sayfa2!$C$2:$C$8, "*"&amp;D224&amp;"*")&gt;0, Sayfa2!$C$1,
 IF(COUNTIF(Sayfa2!$D$2:$D$8,"*"&amp;D224&amp;"*")&gt;0, Sayfa2!$D$1,
 IF(COUNTIF(Sayfa2!$E$2:$E$8, "*"&amp;D224&amp;"*")&gt;0, Sayfa2!$E$1, "Bulunamadı")))))</f>
        <v>SALI</v>
      </c>
    </row>
    <row r="225" spans="1:5" hidden="1" x14ac:dyDescent="0.25">
      <c r="A225" t="s">
        <v>1759</v>
      </c>
      <c r="B225" t="s">
        <v>281</v>
      </c>
      <c r="C225" t="s">
        <v>1717</v>
      </c>
      <c r="D225" s="4" t="s">
        <v>3059</v>
      </c>
      <c r="E225" t="str">
        <f>IF(COUNTIF(Sayfa2!$A$2:$A$8,"*"&amp;D225&amp;"*")&gt;0, Sayfa2!$A$1,
 IF(COUNTIF(Sayfa2!$B$2:$B$8, "*"&amp;D225&amp;"*")&gt;0, Sayfa2!$B$1,
 IF(COUNTIF(Sayfa2!$C$2:$C$8, "*"&amp;D225&amp;"*")&gt;0, Sayfa2!$C$1,
 IF(COUNTIF(Sayfa2!$D$2:$D$8,"*"&amp;D225&amp;"*")&gt;0, Sayfa2!$D$1,
 IF(COUNTIF(Sayfa2!$E$2:$E$8, "*"&amp;D225&amp;"*")&gt;0, Sayfa2!$E$1, "Bulunamadı")))))</f>
        <v>SALI</v>
      </c>
    </row>
    <row r="226" spans="1:5" hidden="1" x14ac:dyDescent="0.25">
      <c r="A226" t="s">
        <v>1760</v>
      </c>
      <c r="B226" t="s">
        <v>282</v>
      </c>
      <c r="C226" t="s">
        <v>1717</v>
      </c>
      <c r="D226" s="4" t="s">
        <v>3059</v>
      </c>
      <c r="E226" t="str">
        <f>IF(COUNTIF(Sayfa2!$A$2:$A$8,"*"&amp;D226&amp;"*")&gt;0, Sayfa2!$A$1,
 IF(COUNTIF(Sayfa2!$B$2:$B$8, "*"&amp;D226&amp;"*")&gt;0, Sayfa2!$B$1,
 IF(COUNTIF(Sayfa2!$C$2:$C$8, "*"&amp;D226&amp;"*")&gt;0, Sayfa2!$C$1,
 IF(COUNTIF(Sayfa2!$D$2:$D$8,"*"&amp;D226&amp;"*")&gt;0, Sayfa2!$D$1,
 IF(COUNTIF(Sayfa2!$E$2:$E$8, "*"&amp;D226&amp;"*")&gt;0, Sayfa2!$E$1, "Bulunamadı")))))</f>
        <v>SALI</v>
      </c>
    </row>
    <row r="227" spans="1:5" hidden="1" x14ac:dyDescent="0.25">
      <c r="A227" t="s">
        <v>1761</v>
      </c>
      <c r="B227" t="s">
        <v>283</v>
      </c>
      <c r="C227" t="s">
        <v>1715</v>
      </c>
      <c r="D227" s="4" t="s">
        <v>3060</v>
      </c>
      <c r="E227" t="str">
        <f>IF(COUNTIF(Sayfa2!$A$2:$A$8,"*"&amp;D227&amp;"*")&gt;0, Sayfa2!$A$1,
 IF(COUNTIF(Sayfa2!$B$2:$B$8, "*"&amp;D227&amp;"*")&gt;0, Sayfa2!$B$1,
 IF(COUNTIF(Sayfa2!$C$2:$C$8, "*"&amp;D227&amp;"*")&gt;0, Sayfa2!$C$1,
 IF(COUNTIF(Sayfa2!$D$2:$D$8,"*"&amp;D227&amp;"*")&gt;0, Sayfa2!$D$1,
 IF(COUNTIF(Sayfa2!$E$2:$E$8, "*"&amp;D227&amp;"*")&gt;0, Sayfa2!$E$1, "Bulunamadı")))))</f>
        <v>ÇARŞAMBA</v>
      </c>
    </row>
    <row r="228" spans="1:5" hidden="1" x14ac:dyDescent="0.25">
      <c r="A228" t="s">
        <v>1762</v>
      </c>
      <c r="B228" t="s">
        <v>284</v>
      </c>
      <c r="C228" t="s">
        <v>1717</v>
      </c>
      <c r="D228" s="4" t="s">
        <v>3059</v>
      </c>
      <c r="E228" t="str">
        <f>IF(COUNTIF(Sayfa2!$A$2:$A$8,"*"&amp;D228&amp;"*")&gt;0, Sayfa2!$A$1,
 IF(COUNTIF(Sayfa2!$B$2:$B$8, "*"&amp;D228&amp;"*")&gt;0, Sayfa2!$B$1,
 IF(COUNTIF(Sayfa2!$C$2:$C$8, "*"&amp;D228&amp;"*")&gt;0, Sayfa2!$C$1,
 IF(COUNTIF(Sayfa2!$D$2:$D$8,"*"&amp;D228&amp;"*")&gt;0, Sayfa2!$D$1,
 IF(COUNTIF(Sayfa2!$E$2:$E$8, "*"&amp;D228&amp;"*")&gt;0, Sayfa2!$E$1, "Bulunamadı")))))</f>
        <v>SALI</v>
      </c>
    </row>
    <row r="229" spans="1:5" hidden="1" x14ac:dyDescent="0.25">
      <c r="A229" t="s">
        <v>1763</v>
      </c>
      <c r="B229" t="s">
        <v>285</v>
      </c>
      <c r="C229" t="s">
        <v>1719</v>
      </c>
      <c r="D229" s="4" t="s">
        <v>3090</v>
      </c>
      <c r="E229" t="str">
        <f>IF(COUNTIF(Sayfa2!$A$2:$A$8,"*"&amp;D229&amp;"*")&gt;0, Sayfa2!$A$1,
 IF(COUNTIF(Sayfa2!$B$2:$B$8, "*"&amp;D229&amp;"*")&gt;0, Sayfa2!$B$1,
 IF(COUNTIF(Sayfa2!$C$2:$C$8, "*"&amp;D229&amp;"*")&gt;0, Sayfa2!$C$1,
 IF(COUNTIF(Sayfa2!$D$2:$D$8,"*"&amp;D229&amp;"*")&gt;0, Sayfa2!$D$1,
 IF(COUNTIF(Sayfa2!$E$2:$E$8, "*"&amp;D229&amp;"*")&gt;0, Sayfa2!$E$1, "Bulunamadı")))))</f>
        <v>ÇARŞAMBA</v>
      </c>
    </row>
    <row r="230" spans="1:5" hidden="1" x14ac:dyDescent="0.25">
      <c r="A230" t="s">
        <v>1764</v>
      </c>
      <c r="B230" t="s">
        <v>286</v>
      </c>
      <c r="C230" t="s">
        <v>1719</v>
      </c>
      <c r="D230" s="4" t="s">
        <v>3090</v>
      </c>
      <c r="E230" t="str">
        <f>IF(COUNTIF(Sayfa2!$A$2:$A$8,"*"&amp;D230&amp;"*")&gt;0, Sayfa2!$A$1,
 IF(COUNTIF(Sayfa2!$B$2:$B$8, "*"&amp;D230&amp;"*")&gt;0, Sayfa2!$B$1,
 IF(COUNTIF(Sayfa2!$C$2:$C$8, "*"&amp;D230&amp;"*")&gt;0, Sayfa2!$C$1,
 IF(COUNTIF(Sayfa2!$D$2:$D$8,"*"&amp;D230&amp;"*")&gt;0, Sayfa2!$D$1,
 IF(COUNTIF(Sayfa2!$E$2:$E$8, "*"&amp;D230&amp;"*")&gt;0, Sayfa2!$E$1, "Bulunamadı")))))</f>
        <v>ÇARŞAMBA</v>
      </c>
    </row>
    <row r="231" spans="1:5" hidden="1" x14ac:dyDescent="0.25">
      <c r="A231" t="s">
        <v>1765</v>
      </c>
      <c r="B231" t="s">
        <v>287</v>
      </c>
      <c r="C231" t="s">
        <v>1719</v>
      </c>
      <c r="D231" s="4" t="s">
        <v>3090</v>
      </c>
      <c r="E231" t="str">
        <f>IF(COUNTIF(Sayfa2!$A$2:$A$8,"*"&amp;D231&amp;"*")&gt;0, Sayfa2!$A$1,
 IF(COUNTIF(Sayfa2!$B$2:$B$8, "*"&amp;D231&amp;"*")&gt;0, Sayfa2!$B$1,
 IF(COUNTIF(Sayfa2!$C$2:$C$8, "*"&amp;D231&amp;"*")&gt;0, Sayfa2!$C$1,
 IF(COUNTIF(Sayfa2!$D$2:$D$8,"*"&amp;D231&amp;"*")&gt;0, Sayfa2!$D$1,
 IF(COUNTIF(Sayfa2!$E$2:$E$8, "*"&amp;D231&amp;"*")&gt;0, Sayfa2!$E$1, "Bulunamadı")))))</f>
        <v>ÇARŞAMBA</v>
      </c>
    </row>
    <row r="232" spans="1:5" hidden="1" x14ac:dyDescent="0.25">
      <c r="A232" t="s">
        <v>1766</v>
      </c>
      <c r="B232" t="s">
        <v>288</v>
      </c>
      <c r="C232" t="s">
        <v>1717</v>
      </c>
      <c r="D232" s="4" t="s">
        <v>3059</v>
      </c>
      <c r="E232" t="str">
        <f>IF(COUNTIF(Sayfa2!$A$2:$A$8,"*"&amp;D232&amp;"*")&gt;0, Sayfa2!$A$1,
 IF(COUNTIF(Sayfa2!$B$2:$B$8, "*"&amp;D232&amp;"*")&gt;0, Sayfa2!$B$1,
 IF(COUNTIF(Sayfa2!$C$2:$C$8, "*"&amp;D232&amp;"*")&gt;0, Sayfa2!$C$1,
 IF(COUNTIF(Sayfa2!$D$2:$D$8,"*"&amp;D232&amp;"*")&gt;0, Sayfa2!$D$1,
 IF(COUNTIF(Sayfa2!$E$2:$E$8, "*"&amp;D232&amp;"*")&gt;0, Sayfa2!$E$1, "Bulunamadı")))))</f>
        <v>SALI</v>
      </c>
    </row>
    <row r="233" spans="1:5" hidden="1" x14ac:dyDescent="0.25">
      <c r="A233" t="s">
        <v>1767</v>
      </c>
      <c r="B233" t="s">
        <v>289</v>
      </c>
      <c r="C233" t="s">
        <v>1719</v>
      </c>
      <c r="D233" s="4" t="s">
        <v>3090</v>
      </c>
      <c r="E233" t="str">
        <f>IF(COUNTIF(Sayfa2!$A$2:$A$8,"*"&amp;D233&amp;"*")&gt;0, Sayfa2!$A$1,
 IF(COUNTIF(Sayfa2!$B$2:$B$8, "*"&amp;D233&amp;"*")&gt;0, Sayfa2!$B$1,
 IF(COUNTIF(Sayfa2!$C$2:$C$8, "*"&amp;D233&amp;"*")&gt;0, Sayfa2!$C$1,
 IF(COUNTIF(Sayfa2!$D$2:$D$8,"*"&amp;D233&amp;"*")&gt;0, Sayfa2!$D$1,
 IF(COUNTIF(Sayfa2!$E$2:$E$8, "*"&amp;D233&amp;"*")&gt;0, Sayfa2!$E$1, "Bulunamadı")))))</f>
        <v>ÇARŞAMBA</v>
      </c>
    </row>
    <row r="234" spans="1:5" hidden="1" x14ac:dyDescent="0.25">
      <c r="A234" t="s">
        <v>1768</v>
      </c>
      <c r="B234" t="s">
        <v>290</v>
      </c>
      <c r="C234" t="s">
        <v>1715</v>
      </c>
      <c r="D234" s="4" t="s">
        <v>3060</v>
      </c>
      <c r="E234" t="str">
        <f>IF(COUNTIF(Sayfa2!$A$2:$A$8,"*"&amp;D234&amp;"*")&gt;0, Sayfa2!$A$1,
 IF(COUNTIF(Sayfa2!$B$2:$B$8, "*"&amp;D234&amp;"*")&gt;0, Sayfa2!$B$1,
 IF(COUNTIF(Sayfa2!$C$2:$C$8, "*"&amp;D234&amp;"*")&gt;0, Sayfa2!$C$1,
 IF(COUNTIF(Sayfa2!$D$2:$D$8,"*"&amp;D234&amp;"*")&gt;0, Sayfa2!$D$1,
 IF(COUNTIF(Sayfa2!$E$2:$E$8, "*"&amp;D234&amp;"*")&gt;0, Sayfa2!$E$1, "Bulunamadı")))))</f>
        <v>ÇARŞAMBA</v>
      </c>
    </row>
    <row r="235" spans="1:5" hidden="1" x14ac:dyDescent="0.25">
      <c r="A235" t="s">
        <v>1769</v>
      </c>
      <c r="B235" t="s">
        <v>291</v>
      </c>
      <c r="C235" t="s">
        <v>1717</v>
      </c>
      <c r="D235" s="4" t="s">
        <v>3059</v>
      </c>
      <c r="E235" t="str">
        <f>IF(COUNTIF(Sayfa2!$A$2:$A$8,"*"&amp;D235&amp;"*")&gt;0, Sayfa2!$A$1,
 IF(COUNTIF(Sayfa2!$B$2:$B$8, "*"&amp;D235&amp;"*")&gt;0, Sayfa2!$B$1,
 IF(COUNTIF(Sayfa2!$C$2:$C$8, "*"&amp;D235&amp;"*")&gt;0, Sayfa2!$C$1,
 IF(COUNTIF(Sayfa2!$D$2:$D$8,"*"&amp;D235&amp;"*")&gt;0, Sayfa2!$D$1,
 IF(COUNTIF(Sayfa2!$E$2:$E$8, "*"&amp;D235&amp;"*")&gt;0, Sayfa2!$E$1, "Bulunamadı")))))</f>
        <v>SALI</v>
      </c>
    </row>
    <row r="236" spans="1:5" hidden="1" x14ac:dyDescent="0.25">
      <c r="A236" t="s">
        <v>1770</v>
      </c>
      <c r="B236" t="s">
        <v>292</v>
      </c>
      <c r="C236" t="s">
        <v>1719</v>
      </c>
      <c r="D236" s="4" t="s">
        <v>3090</v>
      </c>
      <c r="E236" t="str">
        <f>IF(COUNTIF(Sayfa2!$A$2:$A$8,"*"&amp;D236&amp;"*")&gt;0, Sayfa2!$A$1,
 IF(COUNTIF(Sayfa2!$B$2:$B$8, "*"&amp;D236&amp;"*")&gt;0, Sayfa2!$B$1,
 IF(COUNTIF(Sayfa2!$C$2:$C$8, "*"&amp;D236&amp;"*")&gt;0, Sayfa2!$C$1,
 IF(COUNTIF(Sayfa2!$D$2:$D$8,"*"&amp;D236&amp;"*")&gt;0, Sayfa2!$D$1,
 IF(COUNTIF(Sayfa2!$E$2:$E$8, "*"&amp;D236&amp;"*")&gt;0, Sayfa2!$E$1, "Bulunamadı")))))</f>
        <v>ÇARŞAMBA</v>
      </c>
    </row>
    <row r="237" spans="1:5" hidden="1" x14ac:dyDescent="0.25">
      <c r="A237" t="s">
        <v>1771</v>
      </c>
      <c r="B237" t="s">
        <v>293</v>
      </c>
      <c r="C237" t="s">
        <v>1717</v>
      </c>
      <c r="D237" s="4" t="s">
        <v>3059</v>
      </c>
      <c r="E237" t="str">
        <f>IF(COUNTIF(Sayfa2!$A$2:$A$8,"*"&amp;D237&amp;"*")&gt;0, Sayfa2!$A$1,
 IF(COUNTIF(Sayfa2!$B$2:$B$8, "*"&amp;D237&amp;"*")&gt;0, Sayfa2!$B$1,
 IF(COUNTIF(Sayfa2!$C$2:$C$8, "*"&amp;D237&amp;"*")&gt;0, Sayfa2!$C$1,
 IF(COUNTIF(Sayfa2!$D$2:$D$8,"*"&amp;D237&amp;"*")&gt;0, Sayfa2!$D$1,
 IF(COUNTIF(Sayfa2!$E$2:$E$8, "*"&amp;D237&amp;"*")&gt;0, Sayfa2!$E$1, "Bulunamadı")))))</f>
        <v>SALI</v>
      </c>
    </row>
    <row r="238" spans="1:5" hidden="1" x14ac:dyDescent="0.25">
      <c r="A238" t="s">
        <v>1626</v>
      </c>
      <c r="B238" t="s">
        <v>294</v>
      </c>
      <c r="C238" t="s">
        <v>1717</v>
      </c>
      <c r="D238" s="4" t="s">
        <v>3059</v>
      </c>
      <c r="E238" t="str">
        <f>IF(COUNTIF(Sayfa2!$A$2:$A$8,"*"&amp;D238&amp;"*")&gt;0, Sayfa2!$A$1,
 IF(COUNTIF(Sayfa2!$B$2:$B$8, "*"&amp;D238&amp;"*")&gt;0, Sayfa2!$B$1,
 IF(COUNTIF(Sayfa2!$C$2:$C$8, "*"&amp;D238&amp;"*")&gt;0, Sayfa2!$C$1,
 IF(COUNTIF(Sayfa2!$D$2:$D$8,"*"&amp;D238&amp;"*")&gt;0, Sayfa2!$D$1,
 IF(COUNTIF(Sayfa2!$E$2:$E$8, "*"&amp;D238&amp;"*")&gt;0, Sayfa2!$E$1, "Bulunamadı")))))</f>
        <v>SALI</v>
      </c>
    </row>
    <row r="239" spans="1:5" hidden="1" x14ac:dyDescent="0.25">
      <c r="A239" t="s">
        <v>1592</v>
      </c>
      <c r="B239" t="s">
        <v>295</v>
      </c>
      <c r="C239" t="s">
        <v>1715</v>
      </c>
      <c r="D239" s="4" t="s">
        <v>3060</v>
      </c>
      <c r="E239" t="str">
        <f>IF(COUNTIF(Sayfa2!$A$2:$A$8,"*"&amp;D239&amp;"*")&gt;0, Sayfa2!$A$1,
 IF(COUNTIF(Sayfa2!$B$2:$B$8, "*"&amp;D239&amp;"*")&gt;0, Sayfa2!$B$1,
 IF(COUNTIF(Sayfa2!$C$2:$C$8, "*"&amp;D239&amp;"*")&gt;0, Sayfa2!$C$1,
 IF(COUNTIF(Sayfa2!$D$2:$D$8,"*"&amp;D239&amp;"*")&gt;0, Sayfa2!$D$1,
 IF(COUNTIF(Sayfa2!$E$2:$E$8, "*"&amp;D239&amp;"*")&gt;0, Sayfa2!$E$1, "Bulunamadı")))))</f>
        <v>ÇARŞAMBA</v>
      </c>
    </row>
    <row r="240" spans="1:5" hidden="1" x14ac:dyDescent="0.25">
      <c r="A240" t="s">
        <v>1772</v>
      </c>
      <c r="B240" t="s">
        <v>296</v>
      </c>
      <c r="C240" t="s">
        <v>1715</v>
      </c>
      <c r="D240" s="4" t="s">
        <v>3060</v>
      </c>
      <c r="E240" t="str">
        <f>IF(COUNTIF(Sayfa2!$A$2:$A$8,"*"&amp;D240&amp;"*")&gt;0, Sayfa2!$A$1,
 IF(COUNTIF(Sayfa2!$B$2:$B$8, "*"&amp;D240&amp;"*")&gt;0, Sayfa2!$B$1,
 IF(COUNTIF(Sayfa2!$C$2:$C$8, "*"&amp;D240&amp;"*")&gt;0, Sayfa2!$C$1,
 IF(COUNTIF(Sayfa2!$D$2:$D$8,"*"&amp;D240&amp;"*")&gt;0, Sayfa2!$D$1,
 IF(COUNTIF(Sayfa2!$E$2:$E$8, "*"&amp;D240&amp;"*")&gt;0, Sayfa2!$E$1, "Bulunamadı")))))</f>
        <v>ÇARŞAMBA</v>
      </c>
    </row>
    <row r="241" spans="1:5" hidden="1" x14ac:dyDescent="0.25">
      <c r="A241" t="s">
        <v>1773</v>
      </c>
      <c r="B241" t="s">
        <v>297</v>
      </c>
      <c r="C241" t="s">
        <v>1717</v>
      </c>
      <c r="D241" s="4" t="s">
        <v>3059</v>
      </c>
      <c r="E241" t="str">
        <f>IF(COUNTIF(Sayfa2!$A$2:$A$8,"*"&amp;D241&amp;"*")&gt;0, Sayfa2!$A$1,
 IF(COUNTIF(Sayfa2!$B$2:$B$8, "*"&amp;D241&amp;"*")&gt;0, Sayfa2!$B$1,
 IF(COUNTIF(Sayfa2!$C$2:$C$8, "*"&amp;D241&amp;"*")&gt;0, Sayfa2!$C$1,
 IF(COUNTIF(Sayfa2!$D$2:$D$8,"*"&amp;D241&amp;"*")&gt;0, Sayfa2!$D$1,
 IF(COUNTIF(Sayfa2!$E$2:$E$8, "*"&amp;D241&amp;"*")&gt;0, Sayfa2!$E$1, "Bulunamadı")))))</f>
        <v>SALI</v>
      </c>
    </row>
    <row r="242" spans="1:5" hidden="1" x14ac:dyDescent="0.25">
      <c r="A242" t="s">
        <v>1774</v>
      </c>
      <c r="B242" t="s">
        <v>298</v>
      </c>
      <c r="C242" t="s">
        <v>1719</v>
      </c>
      <c r="D242" s="4" t="s">
        <v>3090</v>
      </c>
      <c r="E242" t="str">
        <f>IF(COUNTIF(Sayfa2!$A$2:$A$8,"*"&amp;D242&amp;"*")&gt;0, Sayfa2!$A$1,
 IF(COUNTIF(Sayfa2!$B$2:$B$8, "*"&amp;D242&amp;"*")&gt;0, Sayfa2!$B$1,
 IF(COUNTIF(Sayfa2!$C$2:$C$8, "*"&amp;D242&amp;"*")&gt;0, Sayfa2!$C$1,
 IF(COUNTIF(Sayfa2!$D$2:$D$8,"*"&amp;D242&amp;"*")&gt;0, Sayfa2!$D$1,
 IF(COUNTIF(Sayfa2!$E$2:$E$8, "*"&amp;D242&amp;"*")&gt;0, Sayfa2!$E$1, "Bulunamadı")))))</f>
        <v>ÇARŞAMBA</v>
      </c>
    </row>
    <row r="243" spans="1:5" hidden="1" x14ac:dyDescent="0.25">
      <c r="A243" t="s">
        <v>1775</v>
      </c>
      <c r="B243" t="s">
        <v>299</v>
      </c>
      <c r="C243" t="s">
        <v>1719</v>
      </c>
      <c r="D243" s="4" t="s">
        <v>3090</v>
      </c>
      <c r="E243" t="str">
        <f>IF(COUNTIF(Sayfa2!$A$2:$A$8,"*"&amp;D243&amp;"*")&gt;0, Sayfa2!$A$1,
 IF(COUNTIF(Sayfa2!$B$2:$B$8, "*"&amp;D243&amp;"*")&gt;0, Sayfa2!$B$1,
 IF(COUNTIF(Sayfa2!$C$2:$C$8, "*"&amp;D243&amp;"*")&gt;0, Sayfa2!$C$1,
 IF(COUNTIF(Sayfa2!$D$2:$D$8,"*"&amp;D243&amp;"*")&gt;0, Sayfa2!$D$1,
 IF(COUNTIF(Sayfa2!$E$2:$E$8, "*"&amp;D243&amp;"*")&gt;0, Sayfa2!$E$1, "Bulunamadı")))))</f>
        <v>ÇARŞAMBA</v>
      </c>
    </row>
    <row r="244" spans="1:5" hidden="1" x14ac:dyDescent="0.25">
      <c r="A244" t="s">
        <v>1776</v>
      </c>
      <c r="B244" t="s">
        <v>300</v>
      </c>
      <c r="C244" t="s">
        <v>1715</v>
      </c>
      <c r="D244" s="4" t="s">
        <v>3060</v>
      </c>
      <c r="E244" t="str">
        <f>IF(COUNTIF(Sayfa2!$A$2:$A$8,"*"&amp;D244&amp;"*")&gt;0, Sayfa2!$A$1,
 IF(COUNTIF(Sayfa2!$B$2:$B$8, "*"&amp;D244&amp;"*")&gt;0, Sayfa2!$B$1,
 IF(COUNTIF(Sayfa2!$C$2:$C$8, "*"&amp;D244&amp;"*")&gt;0, Sayfa2!$C$1,
 IF(COUNTIF(Sayfa2!$D$2:$D$8,"*"&amp;D244&amp;"*")&gt;0, Sayfa2!$D$1,
 IF(COUNTIF(Sayfa2!$E$2:$E$8, "*"&amp;D244&amp;"*")&gt;0, Sayfa2!$E$1, "Bulunamadı")))))</f>
        <v>ÇARŞAMBA</v>
      </c>
    </row>
    <row r="245" spans="1:5" hidden="1" x14ac:dyDescent="0.25">
      <c r="A245" t="s">
        <v>1777</v>
      </c>
      <c r="B245" t="s">
        <v>301</v>
      </c>
      <c r="C245" t="s">
        <v>1717</v>
      </c>
      <c r="D245" s="4" t="s">
        <v>3059</v>
      </c>
      <c r="E245" t="str">
        <f>IF(COUNTIF(Sayfa2!$A$2:$A$8,"*"&amp;D245&amp;"*")&gt;0, Sayfa2!$A$1,
 IF(COUNTIF(Sayfa2!$B$2:$B$8, "*"&amp;D245&amp;"*")&gt;0, Sayfa2!$B$1,
 IF(COUNTIF(Sayfa2!$C$2:$C$8, "*"&amp;D245&amp;"*")&gt;0, Sayfa2!$C$1,
 IF(COUNTIF(Sayfa2!$D$2:$D$8,"*"&amp;D245&amp;"*")&gt;0, Sayfa2!$D$1,
 IF(COUNTIF(Sayfa2!$E$2:$E$8, "*"&amp;D245&amp;"*")&gt;0, Sayfa2!$E$1, "Bulunamadı")))))</f>
        <v>SALI</v>
      </c>
    </row>
    <row r="246" spans="1:5" hidden="1" x14ac:dyDescent="0.25">
      <c r="A246" t="s">
        <v>1778</v>
      </c>
      <c r="B246" t="s">
        <v>302</v>
      </c>
      <c r="C246" t="s">
        <v>1717</v>
      </c>
      <c r="D246" s="4" t="s">
        <v>3059</v>
      </c>
      <c r="E246" t="str">
        <f>IF(COUNTIF(Sayfa2!$A$2:$A$8,"*"&amp;D246&amp;"*")&gt;0, Sayfa2!$A$1,
 IF(COUNTIF(Sayfa2!$B$2:$B$8, "*"&amp;D246&amp;"*")&gt;0, Sayfa2!$B$1,
 IF(COUNTIF(Sayfa2!$C$2:$C$8, "*"&amp;D246&amp;"*")&gt;0, Sayfa2!$C$1,
 IF(COUNTIF(Sayfa2!$D$2:$D$8,"*"&amp;D246&amp;"*")&gt;0, Sayfa2!$D$1,
 IF(COUNTIF(Sayfa2!$E$2:$E$8, "*"&amp;D246&amp;"*")&gt;0, Sayfa2!$E$1, "Bulunamadı")))))</f>
        <v>SALI</v>
      </c>
    </row>
    <row r="247" spans="1:5" hidden="1" x14ac:dyDescent="0.25">
      <c r="A247" t="s">
        <v>1779</v>
      </c>
      <c r="B247" t="s">
        <v>303</v>
      </c>
      <c r="C247" t="s">
        <v>1780</v>
      </c>
      <c r="D247" s="4" t="s">
        <v>3060</v>
      </c>
      <c r="E247" t="str">
        <f>IF(COUNTIF(Sayfa2!$A$2:$A$8,"*"&amp;D247&amp;"*")&gt;0, Sayfa2!$A$1,
 IF(COUNTIF(Sayfa2!$B$2:$B$8, "*"&amp;D247&amp;"*")&gt;0, Sayfa2!$B$1,
 IF(COUNTIF(Sayfa2!$C$2:$C$8, "*"&amp;D247&amp;"*")&gt;0, Sayfa2!$C$1,
 IF(COUNTIF(Sayfa2!$D$2:$D$8,"*"&amp;D247&amp;"*")&gt;0, Sayfa2!$D$1,
 IF(COUNTIF(Sayfa2!$E$2:$E$8, "*"&amp;D247&amp;"*")&gt;0, Sayfa2!$E$1, "Bulunamadı")))))</f>
        <v>ÇARŞAMBA</v>
      </c>
    </row>
    <row r="248" spans="1:5" hidden="1" x14ac:dyDescent="0.25">
      <c r="A248" t="s">
        <v>1781</v>
      </c>
      <c r="B248" t="s">
        <v>305</v>
      </c>
      <c r="C248" t="s">
        <v>1782</v>
      </c>
      <c r="D248" s="4" t="s">
        <v>3090</v>
      </c>
      <c r="E248" t="str">
        <f>IF(COUNTIF(Sayfa2!$A$2:$A$8,"*"&amp;D248&amp;"*")&gt;0, Sayfa2!$A$1,
 IF(COUNTIF(Sayfa2!$B$2:$B$8, "*"&amp;D248&amp;"*")&gt;0, Sayfa2!$B$1,
 IF(COUNTIF(Sayfa2!$C$2:$C$8, "*"&amp;D248&amp;"*")&gt;0, Sayfa2!$C$1,
 IF(COUNTIF(Sayfa2!$D$2:$D$8,"*"&amp;D248&amp;"*")&gt;0, Sayfa2!$D$1,
 IF(COUNTIF(Sayfa2!$E$2:$E$8, "*"&amp;D248&amp;"*")&gt;0, Sayfa2!$E$1, "Bulunamadı")))))</f>
        <v>ÇARŞAMBA</v>
      </c>
    </row>
    <row r="249" spans="1:5" hidden="1" x14ac:dyDescent="0.25">
      <c r="A249" t="s">
        <v>1783</v>
      </c>
      <c r="B249" t="s">
        <v>306</v>
      </c>
      <c r="C249" t="s">
        <v>1782</v>
      </c>
      <c r="D249" s="4" t="s">
        <v>3090</v>
      </c>
      <c r="E249" t="str">
        <f>IF(COUNTIF(Sayfa2!$A$2:$A$8,"*"&amp;D249&amp;"*")&gt;0, Sayfa2!$A$1,
 IF(COUNTIF(Sayfa2!$B$2:$B$8, "*"&amp;D249&amp;"*")&gt;0, Sayfa2!$B$1,
 IF(COUNTIF(Sayfa2!$C$2:$C$8, "*"&amp;D249&amp;"*")&gt;0, Sayfa2!$C$1,
 IF(COUNTIF(Sayfa2!$D$2:$D$8,"*"&amp;D249&amp;"*")&gt;0, Sayfa2!$D$1,
 IF(COUNTIF(Sayfa2!$E$2:$E$8, "*"&amp;D249&amp;"*")&gt;0, Sayfa2!$E$1, "Bulunamadı")))))</f>
        <v>ÇARŞAMBA</v>
      </c>
    </row>
    <row r="250" spans="1:5" hidden="1" x14ac:dyDescent="0.25">
      <c r="A250" t="s">
        <v>1784</v>
      </c>
      <c r="B250" t="s">
        <v>307</v>
      </c>
      <c r="C250" t="s">
        <v>1782</v>
      </c>
      <c r="D250" s="4" t="s">
        <v>3090</v>
      </c>
      <c r="E250" t="str">
        <f>IF(COUNTIF(Sayfa2!$A$2:$A$8,"*"&amp;D250&amp;"*")&gt;0, Sayfa2!$A$1,
 IF(COUNTIF(Sayfa2!$B$2:$B$8, "*"&amp;D250&amp;"*")&gt;0, Sayfa2!$B$1,
 IF(COUNTIF(Sayfa2!$C$2:$C$8, "*"&amp;D250&amp;"*")&gt;0, Sayfa2!$C$1,
 IF(COUNTIF(Sayfa2!$D$2:$D$8,"*"&amp;D250&amp;"*")&gt;0, Sayfa2!$D$1,
 IF(COUNTIF(Sayfa2!$E$2:$E$8, "*"&amp;D250&amp;"*")&gt;0, Sayfa2!$E$1, "Bulunamadı")))))</f>
        <v>ÇARŞAMBA</v>
      </c>
    </row>
    <row r="251" spans="1:5" hidden="1" x14ac:dyDescent="0.25">
      <c r="A251" t="s">
        <v>1785</v>
      </c>
      <c r="B251" t="s">
        <v>308</v>
      </c>
      <c r="C251" t="s">
        <v>1782</v>
      </c>
      <c r="D251" s="4" t="s">
        <v>3090</v>
      </c>
      <c r="E251" t="str">
        <f>IF(COUNTIF(Sayfa2!$A$2:$A$8,"*"&amp;D251&amp;"*")&gt;0, Sayfa2!$A$1,
 IF(COUNTIF(Sayfa2!$B$2:$B$8, "*"&amp;D251&amp;"*")&gt;0, Sayfa2!$B$1,
 IF(COUNTIF(Sayfa2!$C$2:$C$8, "*"&amp;D251&amp;"*")&gt;0, Sayfa2!$C$1,
 IF(COUNTIF(Sayfa2!$D$2:$D$8,"*"&amp;D251&amp;"*")&gt;0, Sayfa2!$D$1,
 IF(COUNTIF(Sayfa2!$E$2:$E$8, "*"&amp;D251&amp;"*")&gt;0, Sayfa2!$E$1, "Bulunamadı")))))</f>
        <v>ÇARŞAMBA</v>
      </c>
    </row>
    <row r="252" spans="1:5" hidden="1" x14ac:dyDescent="0.25">
      <c r="A252" t="s">
        <v>1786</v>
      </c>
      <c r="B252" t="s">
        <v>309</v>
      </c>
      <c r="C252" t="s">
        <v>1782</v>
      </c>
      <c r="D252" s="4" t="s">
        <v>3090</v>
      </c>
      <c r="E252" t="str">
        <f>IF(COUNTIF(Sayfa2!$A$2:$A$8,"*"&amp;D252&amp;"*")&gt;0, Sayfa2!$A$1,
 IF(COUNTIF(Sayfa2!$B$2:$B$8, "*"&amp;D252&amp;"*")&gt;0, Sayfa2!$B$1,
 IF(COUNTIF(Sayfa2!$C$2:$C$8, "*"&amp;D252&amp;"*")&gt;0, Sayfa2!$C$1,
 IF(COUNTIF(Sayfa2!$D$2:$D$8,"*"&amp;D252&amp;"*")&gt;0, Sayfa2!$D$1,
 IF(COUNTIF(Sayfa2!$E$2:$E$8, "*"&amp;D252&amp;"*")&gt;0, Sayfa2!$E$1, "Bulunamadı")))))</f>
        <v>ÇARŞAMBA</v>
      </c>
    </row>
    <row r="253" spans="1:5" hidden="1" x14ac:dyDescent="0.25">
      <c r="A253" t="s">
        <v>1787</v>
      </c>
      <c r="B253" t="s">
        <v>310</v>
      </c>
      <c r="C253" t="s">
        <v>1782</v>
      </c>
      <c r="D253" s="4" t="s">
        <v>3090</v>
      </c>
      <c r="E253" t="str">
        <f>IF(COUNTIF(Sayfa2!$A$2:$A$8,"*"&amp;D253&amp;"*")&gt;0, Sayfa2!$A$1,
 IF(COUNTIF(Sayfa2!$B$2:$B$8, "*"&amp;D253&amp;"*")&gt;0, Sayfa2!$B$1,
 IF(COUNTIF(Sayfa2!$C$2:$C$8, "*"&amp;D253&amp;"*")&gt;0, Sayfa2!$C$1,
 IF(COUNTIF(Sayfa2!$D$2:$D$8,"*"&amp;D253&amp;"*")&gt;0, Sayfa2!$D$1,
 IF(COUNTIF(Sayfa2!$E$2:$E$8, "*"&amp;D253&amp;"*")&gt;0, Sayfa2!$E$1, "Bulunamadı")))))</f>
        <v>ÇARŞAMBA</v>
      </c>
    </row>
    <row r="254" spans="1:5" hidden="1" x14ac:dyDescent="0.25">
      <c r="A254" t="s">
        <v>1788</v>
      </c>
      <c r="B254" t="s">
        <v>311</v>
      </c>
      <c r="C254" t="s">
        <v>1782</v>
      </c>
      <c r="D254" s="4" t="s">
        <v>3090</v>
      </c>
      <c r="E254" t="str">
        <f>IF(COUNTIF(Sayfa2!$A$2:$A$8,"*"&amp;D254&amp;"*")&gt;0, Sayfa2!$A$1,
 IF(COUNTIF(Sayfa2!$B$2:$B$8, "*"&amp;D254&amp;"*")&gt;0, Sayfa2!$B$1,
 IF(COUNTIF(Sayfa2!$C$2:$C$8, "*"&amp;D254&amp;"*")&gt;0, Sayfa2!$C$1,
 IF(COUNTIF(Sayfa2!$D$2:$D$8,"*"&amp;D254&amp;"*")&gt;0, Sayfa2!$D$1,
 IF(COUNTIF(Sayfa2!$E$2:$E$8, "*"&amp;D254&amp;"*")&gt;0, Sayfa2!$E$1, "Bulunamadı")))))</f>
        <v>ÇARŞAMBA</v>
      </c>
    </row>
    <row r="255" spans="1:5" hidden="1" x14ac:dyDescent="0.25">
      <c r="A255" t="s">
        <v>1789</v>
      </c>
      <c r="B255" t="s">
        <v>312</v>
      </c>
      <c r="C255" t="s">
        <v>1780</v>
      </c>
      <c r="D255" s="4" t="s">
        <v>3060</v>
      </c>
      <c r="E255" t="str">
        <f>IF(COUNTIF(Sayfa2!$A$2:$A$8,"*"&amp;D255&amp;"*")&gt;0, Sayfa2!$A$1,
 IF(COUNTIF(Sayfa2!$B$2:$B$8, "*"&amp;D255&amp;"*")&gt;0, Sayfa2!$B$1,
 IF(COUNTIF(Sayfa2!$C$2:$C$8, "*"&amp;D255&amp;"*")&gt;0, Sayfa2!$C$1,
 IF(COUNTIF(Sayfa2!$D$2:$D$8,"*"&amp;D255&amp;"*")&gt;0, Sayfa2!$D$1,
 IF(COUNTIF(Sayfa2!$E$2:$E$8, "*"&amp;D255&amp;"*")&gt;0, Sayfa2!$E$1, "Bulunamadı")))))</f>
        <v>ÇARŞAMBA</v>
      </c>
    </row>
    <row r="256" spans="1:5" hidden="1" x14ac:dyDescent="0.25">
      <c r="A256" t="s">
        <v>1790</v>
      </c>
      <c r="B256" t="s">
        <v>313</v>
      </c>
      <c r="C256" t="s">
        <v>1791</v>
      </c>
      <c r="D256" s="4" t="s">
        <v>3090</v>
      </c>
      <c r="E256" t="str">
        <f>IF(COUNTIF(Sayfa2!$A$2:$A$8,"*"&amp;D256&amp;"*")&gt;0, Sayfa2!$A$1,
 IF(COUNTIF(Sayfa2!$B$2:$B$8, "*"&amp;D256&amp;"*")&gt;0, Sayfa2!$B$1,
 IF(COUNTIF(Sayfa2!$C$2:$C$8, "*"&amp;D256&amp;"*")&gt;0, Sayfa2!$C$1,
 IF(COUNTIF(Sayfa2!$D$2:$D$8,"*"&amp;D256&amp;"*")&gt;0, Sayfa2!$D$1,
 IF(COUNTIF(Sayfa2!$E$2:$E$8, "*"&amp;D256&amp;"*")&gt;0, Sayfa2!$E$1, "Bulunamadı")))))</f>
        <v>ÇARŞAMBA</v>
      </c>
    </row>
    <row r="257" spans="1:5" hidden="1" x14ac:dyDescent="0.25">
      <c r="A257" t="s">
        <v>1792</v>
      </c>
      <c r="B257" t="s">
        <v>315</v>
      </c>
      <c r="C257" t="s">
        <v>1793</v>
      </c>
      <c r="D257" s="4" t="s">
        <v>3060</v>
      </c>
      <c r="E257" t="str">
        <f>IF(COUNTIF(Sayfa2!$A$2:$A$8,"*"&amp;D257&amp;"*")&gt;0, Sayfa2!$A$1,
 IF(COUNTIF(Sayfa2!$B$2:$B$8, "*"&amp;D257&amp;"*")&gt;0, Sayfa2!$B$1,
 IF(COUNTIF(Sayfa2!$C$2:$C$8, "*"&amp;D257&amp;"*")&gt;0, Sayfa2!$C$1,
 IF(COUNTIF(Sayfa2!$D$2:$D$8,"*"&amp;D257&amp;"*")&gt;0, Sayfa2!$D$1,
 IF(COUNTIF(Sayfa2!$E$2:$E$8, "*"&amp;D257&amp;"*")&gt;0, Sayfa2!$E$1, "Bulunamadı")))))</f>
        <v>ÇARŞAMBA</v>
      </c>
    </row>
    <row r="258" spans="1:5" hidden="1" x14ac:dyDescent="0.25">
      <c r="A258" t="s">
        <v>1794</v>
      </c>
      <c r="B258" t="s">
        <v>316</v>
      </c>
      <c r="C258" t="s">
        <v>1793</v>
      </c>
      <c r="D258" s="4" t="s">
        <v>3060</v>
      </c>
      <c r="E258" t="str">
        <f>IF(COUNTIF(Sayfa2!$A$2:$A$8,"*"&amp;D258&amp;"*")&gt;0, Sayfa2!$A$1,
 IF(COUNTIF(Sayfa2!$B$2:$B$8, "*"&amp;D258&amp;"*")&gt;0, Sayfa2!$B$1,
 IF(COUNTIF(Sayfa2!$C$2:$C$8, "*"&amp;D258&amp;"*")&gt;0, Sayfa2!$C$1,
 IF(COUNTIF(Sayfa2!$D$2:$D$8,"*"&amp;D258&amp;"*")&gt;0, Sayfa2!$D$1,
 IF(COUNTIF(Sayfa2!$E$2:$E$8, "*"&amp;D258&amp;"*")&gt;0, Sayfa2!$E$1, "Bulunamadı")))))</f>
        <v>ÇARŞAMBA</v>
      </c>
    </row>
    <row r="259" spans="1:5" hidden="1" x14ac:dyDescent="0.25">
      <c r="A259" t="s">
        <v>1795</v>
      </c>
      <c r="B259" t="s">
        <v>317</v>
      </c>
      <c r="C259" t="s">
        <v>1791</v>
      </c>
      <c r="D259" s="4" t="s">
        <v>3090</v>
      </c>
      <c r="E259" t="str">
        <f>IF(COUNTIF(Sayfa2!$A$2:$A$8,"*"&amp;D259&amp;"*")&gt;0, Sayfa2!$A$1,
 IF(COUNTIF(Sayfa2!$B$2:$B$8, "*"&amp;D259&amp;"*")&gt;0, Sayfa2!$B$1,
 IF(COUNTIF(Sayfa2!$C$2:$C$8, "*"&amp;D259&amp;"*")&gt;0, Sayfa2!$C$1,
 IF(COUNTIF(Sayfa2!$D$2:$D$8,"*"&amp;D259&amp;"*")&gt;0, Sayfa2!$D$1,
 IF(COUNTIF(Sayfa2!$E$2:$E$8, "*"&amp;D259&amp;"*")&gt;0, Sayfa2!$E$1, "Bulunamadı")))))</f>
        <v>ÇARŞAMBA</v>
      </c>
    </row>
    <row r="260" spans="1:5" hidden="1" x14ac:dyDescent="0.25">
      <c r="A260" t="s">
        <v>1796</v>
      </c>
      <c r="B260" t="s">
        <v>318</v>
      </c>
      <c r="C260" t="s">
        <v>1793</v>
      </c>
      <c r="D260" s="4" t="s">
        <v>3060</v>
      </c>
      <c r="E260" t="str">
        <f>IF(COUNTIF(Sayfa2!$A$2:$A$8,"*"&amp;D260&amp;"*")&gt;0, Sayfa2!$A$1,
 IF(COUNTIF(Sayfa2!$B$2:$B$8, "*"&amp;D260&amp;"*")&gt;0, Sayfa2!$B$1,
 IF(COUNTIF(Sayfa2!$C$2:$C$8, "*"&amp;D260&amp;"*")&gt;0, Sayfa2!$C$1,
 IF(COUNTIF(Sayfa2!$D$2:$D$8,"*"&amp;D260&amp;"*")&gt;0, Sayfa2!$D$1,
 IF(COUNTIF(Sayfa2!$E$2:$E$8, "*"&amp;D260&amp;"*")&gt;0, Sayfa2!$E$1, "Bulunamadı")))))</f>
        <v>ÇARŞAMBA</v>
      </c>
    </row>
    <row r="261" spans="1:5" hidden="1" x14ac:dyDescent="0.25">
      <c r="A261" t="s">
        <v>1797</v>
      </c>
      <c r="B261" t="s">
        <v>319</v>
      </c>
      <c r="C261" t="s">
        <v>1798</v>
      </c>
      <c r="D261" s="4" t="s">
        <v>3059</v>
      </c>
      <c r="E261" t="str">
        <f>IF(COUNTIF(Sayfa2!$A$2:$A$8,"*"&amp;D261&amp;"*")&gt;0, Sayfa2!$A$1,
 IF(COUNTIF(Sayfa2!$B$2:$B$8, "*"&amp;D261&amp;"*")&gt;0, Sayfa2!$B$1,
 IF(COUNTIF(Sayfa2!$C$2:$C$8, "*"&amp;D261&amp;"*")&gt;0, Sayfa2!$C$1,
 IF(COUNTIF(Sayfa2!$D$2:$D$8,"*"&amp;D261&amp;"*")&gt;0, Sayfa2!$D$1,
 IF(COUNTIF(Sayfa2!$E$2:$E$8, "*"&amp;D261&amp;"*")&gt;0, Sayfa2!$E$1, "Bulunamadı")))))</f>
        <v>SALI</v>
      </c>
    </row>
    <row r="262" spans="1:5" hidden="1" x14ac:dyDescent="0.25">
      <c r="A262" t="s">
        <v>1799</v>
      </c>
      <c r="B262" t="s">
        <v>320</v>
      </c>
      <c r="C262" t="s">
        <v>1791</v>
      </c>
      <c r="D262" s="4" t="s">
        <v>3090</v>
      </c>
      <c r="E262" t="str">
        <f>IF(COUNTIF(Sayfa2!$A$2:$A$8,"*"&amp;D262&amp;"*")&gt;0, Sayfa2!$A$1,
 IF(COUNTIF(Sayfa2!$B$2:$B$8, "*"&amp;D262&amp;"*")&gt;0, Sayfa2!$B$1,
 IF(COUNTIF(Sayfa2!$C$2:$C$8, "*"&amp;D262&amp;"*")&gt;0, Sayfa2!$C$1,
 IF(COUNTIF(Sayfa2!$D$2:$D$8,"*"&amp;D262&amp;"*")&gt;0, Sayfa2!$D$1,
 IF(COUNTIF(Sayfa2!$E$2:$E$8, "*"&amp;D262&amp;"*")&gt;0, Sayfa2!$E$1, "Bulunamadı")))))</f>
        <v>ÇARŞAMBA</v>
      </c>
    </row>
    <row r="263" spans="1:5" hidden="1" x14ac:dyDescent="0.25">
      <c r="A263" t="s">
        <v>1800</v>
      </c>
      <c r="B263" t="s">
        <v>321</v>
      </c>
      <c r="C263" t="s">
        <v>1798</v>
      </c>
      <c r="D263" s="4" t="s">
        <v>3059</v>
      </c>
      <c r="E263" t="str">
        <f>IF(COUNTIF(Sayfa2!$A$2:$A$8,"*"&amp;D263&amp;"*")&gt;0, Sayfa2!$A$1,
 IF(COUNTIF(Sayfa2!$B$2:$B$8, "*"&amp;D263&amp;"*")&gt;0, Sayfa2!$B$1,
 IF(COUNTIF(Sayfa2!$C$2:$C$8, "*"&amp;D263&amp;"*")&gt;0, Sayfa2!$C$1,
 IF(COUNTIF(Sayfa2!$D$2:$D$8,"*"&amp;D263&amp;"*")&gt;0, Sayfa2!$D$1,
 IF(COUNTIF(Sayfa2!$E$2:$E$8, "*"&amp;D263&amp;"*")&gt;0, Sayfa2!$E$1, "Bulunamadı")))))</f>
        <v>SALI</v>
      </c>
    </row>
    <row r="264" spans="1:5" hidden="1" x14ac:dyDescent="0.25">
      <c r="A264" t="s">
        <v>1801</v>
      </c>
      <c r="B264" t="s">
        <v>322</v>
      </c>
      <c r="C264" t="s">
        <v>1793</v>
      </c>
      <c r="D264" s="4" t="s">
        <v>3060</v>
      </c>
      <c r="E264" t="str">
        <f>IF(COUNTIF(Sayfa2!$A$2:$A$8,"*"&amp;D264&amp;"*")&gt;0, Sayfa2!$A$1,
 IF(COUNTIF(Sayfa2!$B$2:$B$8, "*"&amp;D264&amp;"*")&gt;0, Sayfa2!$B$1,
 IF(COUNTIF(Sayfa2!$C$2:$C$8, "*"&amp;D264&amp;"*")&gt;0, Sayfa2!$C$1,
 IF(COUNTIF(Sayfa2!$D$2:$D$8,"*"&amp;D264&amp;"*")&gt;0, Sayfa2!$D$1,
 IF(COUNTIF(Sayfa2!$E$2:$E$8, "*"&amp;D264&amp;"*")&gt;0, Sayfa2!$E$1, "Bulunamadı")))))</f>
        <v>ÇARŞAMBA</v>
      </c>
    </row>
    <row r="265" spans="1:5" hidden="1" x14ac:dyDescent="0.25">
      <c r="A265" t="s">
        <v>1802</v>
      </c>
      <c r="B265" t="s">
        <v>323</v>
      </c>
      <c r="C265" t="s">
        <v>1798</v>
      </c>
      <c r="D265" s="4" t="s">
        <v>3059</v>
      </c>
      <c r="E265" t="str">
        <f>IF(COUNTIF(Sayfa2!$A$2:$A$8,"*"&amp;D265&amp;"*")&gt;0, Sayfa2!$A$1,
 IF(COUNTIF(Sayfa2!$B$2:$B$8, "*"&amp;D265&amp;"*")&gt;0, Sayfa2!$B$1,
 IF(COUNTIF(Sayfa2!$C$2:$C$8, "*"&amp;D265&amp;"*")&gt;0, Sayfa2!$C$1,
 IF(COUNTIF(Sayfa2!$D$2:$D$8,"*"&amp;D265&amp;"*")&gt;0, Sayfa2!$D$1,
 IF(COUNTIF(Sayfa2!$E$2:$E$8, "*"&amp;D265&amp;"*")&gt;0, Sayfa2!$E$1, "Bulunamadı")))))</f>
        <v>SALI</v>
      </c>
    </row>
    <row r="266" spans="1:5" hidden="1" x14ac:dyDescent="0.25">
      <c r="A266" t="s">
        <v>1803</v>
      </c>
      <c r="B266" t="s">
        <v>324</v>
      </c>
      <c r="C266" t="s">
        <v>1798</v>
      </c>
      <c r="D266" s="4" t="s">
        <v>3059</v>
      </c>
      <c r="E266" t="str">
        <f>IF(COUNTIF(Sayfa2!$A$2:$A$8,"*"&amp;D266&amp;"*")&gt;0, Sayfa2!$A$1,
 IF(COUNTIF(Sayfa2!$B$2:$B$8, "*"&amp;D266&amp;"*")&gt;0, Sayfa2!$B$1,
 IF(COUNTIF(Sayfa2!$C$2:$C$8, "*"&amp;D266&amp;"*")&gt;0, Sayfa2!$C$1,
 IF(COUNTIF(Sayfa2!$D$2:$D$8,"*"&amp;D266&amp;"*")&gt;0, Sayfa2!$D$1,
 IF(COUNTIF(Sayfa2!$E$2:$E$8, "*"&amp;D266&amp;"*")&gt;0, Sayfa2!$E$1, "Bulunamadı")))))</f>
        <v>SALI</v>
      </c>
    </row>
    <row r="267" spans="1:5" hidden="1" x14ac:dyDescent="0.25">
      <c r="A267" t="s">
        <v>1804</v>
      </c>
      <c r="B267" t="s">
        <v>325</v>
      </c>
      <c r="C267" t="s">
        <v>1793</v>
      </c>
      <c r="D267" s="4" t="s">
        <v>3060</v>
      </c>
      <c r="E267" t="str">
        <f>IF(COUNTIF(Sayfa2!$A$2:$A$8,"*"&amp;D267&amp;"*")&gt;0, Sayfa2!$A$1,
 IF(COUNTIF(Sayfa2!$B$2:$B$8, "*"&amp;D267&amp;"*")&gt;0, Sayfa2!$B$1,
 IF(COUNTIF(Sayfa2!$C$2:$C$8, "*"&amp;D267&amp;"*")&gt;0, Sayfa2!$C$1,
 IF(COUNTIF(Sayfa2!$D$2:$D$8,"*"&amp;D267&amp;"*")&gt;0, Sayfa2!$D$1,
 IF(COUNTIF(Sayfa2!$E$2:$E$8, "*"&amp;D267&amp;"*")&gt;0, Sayfa2!$E$1, "Bulunamadı")))))</f>
        <v>ÇARŞAMBA</v>
      </c>
    </row>
    <row r="268" spans="1:5" hidden="1" x14ac:dyDescent="0.25">
      <c r="A268" t="s">
        <v>1805</v>
      </c>
      <c r="B268" t="s">
        <v>326</v>
      </c>
      <c r="C268" t="s">
        <v>1798</v>
      </c>
      <c r="D268" s="4" t="s">
        <v>3059</v>
      </c>
      <c r="E268" t="str">
        <f>IF(COUNTIF(Sayfa2!$A$2:$A$8,"*"&amp;D268&amp;"*")&gt;0, Sayfa2!$A$1,
 IF(COUNTIF(Sayfa2!$B$2:$B$8, "*"&amp;D268&amp;"*")&gt;0, Sayfa2!$B$1,
 IF(COUNTIF(Sayfa2!$C$2:$C$8, "*"&amp;D268&amp;"*")&gt;0, Sayfa2!$C$1,
 IF(COUNTIF(Sayfa2!$D$2:$D$8,"*"&amp;D268&amp;"*")&gt;0, Sayfa2!$D$1,
 IF(COUNTIF(Sayfa2!$E$2:$E$8, "*"&amp;D268&amp;"*")&gt;0, Sayfa2!$E$1, "Bulunamadı")))))</f>
        <v>SALI</v>
      </c>
    </row>
    <row r="269" spans="1:5" hidden="1" x14ac:dyDescent="0.25">
      <c r="A269" t="s">
        <v>1806</v>
      </c>
      <c r="B269" t="s">
        <v>327</v>
      </c>
      <c r="C269" t="s">
        <v>1793</v>
      </c>
      <c r="D269" s="4" t="s">
        <v>3060</v>
      </c>
      <c r="E269" t="str">
        <f>IF(COUNTIF(Sayfa2!$A$2:$A$8,"*"&amp;D269&amp;"*")&gt;0, Sayfa2!$A$1,
 IF(COUNTIF(Sayfa2!$B$2:$B$8, "*"&amp;D269&amp;"*")&gt;0, Sayfa2!$B$1,
 IF(COUNTIF(Sayfa2!$C$2:$C$8, "*"&amp;D269&amp;"*")&gt;0, Sayfa2!$C$1,
 IF(COUNTIF(Sayfa2!$D$2:$D$8,"*"&amp;D269&amp;"*")&gt;0, Sayfa2!$D$1,
 IF(COUNTIF(Sayfa2!$E$2:$E$8, "*"&amp;D269&amp;"*")&gt;0, Sayfa2!$E$1, "Bulunamadı")))))</f>
        <v>ÇARŞAMBA</v>
      </c>
    </row>
    <row r="270" spans="1:5" hidden="1" x14ac:dyDescent="0.25">
      <c r="A270" t="s">
        <v>1807</v>
      </c>
      <c r="B270" t="s">
        <v>328</v>
      </c>
      <c r="C270" t="s">
        <v>1798</v>
      </c>
      <c r="D270" s="4" t="s">
        <v>3059</v>
      </c>
      <c r="E270" t="str">
        <f>IF(COUNTIF(Sayfa2!$A$2:$A$8,"*"&amp;D270&amp;"*")&gt;0, Sayfa2!$A$1,
 IF(COUNTIF(Sayfa2!$B$2:$B$8, "*"&amp;D270&amp;"*")&gt;0, Sayfa2!$B$1,
 IF(COUNTIF(Sayfa2!$C$2:$C$8, "*"&amp;D270&amp;"*")&gt;0, Sayfa2!$C$1,
 IF(COUNTIF(Sayfa2!$D$2:$D$8,"*"&amp;D270&amp;"*")&gt;0, Sayfa2!$D$1,
 IF(COUNTIF(Sayfa2!$E$2:$E$8, "*"&amp;D270&amp;"*")&gt;0, Sayfa2!$E$1, "Bulunamadı")))))</f>
        <v>SALI</v>
      </c>
    </row>
    <row r="271" spans="1:5" hidden="1" x14ac:dyDescent="0.25">
      <c r="A271" t="s">
        <v>1808</v>
      </c>
      <c r="B271" t="s">
        <v>329</v>
      </c>
      <c r="C271" t="s">
        <v>1798</v>
      </c>
      <c r="D271" s="4" t="s">
        <v>3059</v>
      </c>
      <c r="E271" t="str">
        <f>IF(COUNTIF(Sayfa2!$A$2:$A$8,"*"&amp;D271&amp;"*")&gt;0, Sayfa2!$A$1,
 IF(COUNTIF(Sayfa2!$B$2:$B$8, "*"&amp;D271&amp;"*")&gt;0, Sayfa2!$B$1,
 IF(COUNTIF(Sayfa2!$C$2:$C$8, "*"&amp;D271&amp;"*")&gt;0, Sayfa2!$C$1,
 IF(COUNTIF(Sayfa2!$D$2:$D$8,"*"&amp;D271&amp;"*")&gt;0, Sayfa2!$D$1,
 IF(COUNTIF(Sayfa2!$E$2:$E$8, "*"&amp;D271&amp;"*")&gt;0, Sayfa2!$E$1, "Bulunamadı")))))</f>
        <v>SALI</v>
      </c>
    </row>
    <row r="272" spans="1:5" hidden="1" x14ac:dyDescent="0.25">
      <c r="A272" t="s">
        <v>1809</v>
      </c>
      <c r="B272" t="s">
        <v>330</v>
      </c>
      <c r="C272" t="s">
        <v>1791</v>
      </c>
      <c r="D272" s="4" t="s">
        <v>3090</v>
      </c>
      <c r="E272" t="str">
        <f>IF(COUNTIF(Sayfa2!$A$2:$A$8,"*"&amp;D272&amp;"*")&gt;0, Sayfa2!$A$1,
 IF(COUNTIF(Sayfa2!$B$2:$B$8, "*"&amp;D272&amp;"*")&gt;0, Sayfa2!$B$1,
 IF(COUNTIF(Sayfa2!$C$2:$C$8, "*"&amp;D272&amp;"*")&gt;0, Sayfa2!$C$1,
 IF(COUNTIF(Sayfa2!$D$2:$D$8,"*"&amp;D272&amp;"*")&gt;0, Sayfa2!$D$1,
 IF(COUNTIF(Sayfa2!$E$2:$E$8, "*"&amp;D272&amp;"*")&gt;0, Sayfa2!$E$1, "Bulunamadı")))))</f>
        <v>ÇARŞAMBA</v>
      </c>
    </row>
    <row r="273" spans="1:5" hidden="1" x14ac:dyDescent="0.25">
      <c r="A273" t="s">
        <v>1810</v>
      </c>
      <c r="B273" t="s">
        <v>331</v>
      </c>
      <c r="C273" t="s">
        <v>1791</v>
      </c>
      <c r="D273" s="4" t="s">
        <v>3090</v>
      </c>
      <c r="E273" t="str">
        <f>IF(COUNTIF(Sayfa2!$A$2:$A$8,"*"&amp;D273&amp;"*")&gt;0, Sayfa2!$A$1,
 IF(COUNTIF(Sayfa2!$B$2:$B$8, "*"&amp;D273&amp;"*")&gt;0, Sayfa2!$B$1,
 IF(COUNTIF(Sayfa2!$C$2:$C$8, "*"&amp;D273&amp;"*")&gt;0, Sayfa2!$C$1,
 IF(COUNTIF(Sayfa2!$D$2:$D$8,"*"&amp;D273&amp;"*")&gt;0, Sayfa2!$D$1,
 IF(COUNTIF(Sayfa2!$E$2:$E$8, "*"&amp;D273&amp;"*")&gt;0, Sayfa2!$E$1, "Bulunamadı")))))</f>
        <v>ÇARŞAMBA</v>
      </c>
    </row>
    <row r="274" spans="1:5" hidden="1" x14ac:dyDescent="0.25">
      <c r="A274" t="s">
        <v>1811</v>
      </c>
      <c r="B274" t="s">
        <v>332</v>
      </c>
      <c r="C274" t="s">
        <v>1793</v>
      </c>
      <c r="D274" s="4" t="s">
        <v>3060</v>
      </c>
      <c r="E274" t="str">
        <f>IF(COUNTIF(Sayfa2!$A$2:$A$8,"*"&amp;D274&amp;"*")&gt;0, Sayfa2!$A$1,
 IF(COUNTIF(Sayfa2!$B$2:$B$8, "*"&amp;D274&amp;"*")&gt;0, Sayfa2!$B$1,
 IF(COUNTIF(Sayfa2!$C$2:$C$8, "*"&amp;D274&amp;"*")&gt;0, Sayfa2!$C$1,
 IF(COUNTIF(Sayfa2!$D$2:$D$8,"*"&amp;D274&amp;"*")&gt;0, Sayfa2!$D$1,
 IF(COUNTIF(Sayfa2!$E$2:$E$8, "*"&amp;D274&amp;"*")&gt;0, Sayfa2!$E$1, "Bulunamadı")))))</f>
        <v>ÇARŞAMBA</v>
      </c>
    </row>
    <row r="275" spans="1:5" hidden="1" x14ac:dyDescent="0.25">
      <c r="A275" t="s">
        <v>1812</v>
      </c>
      <c r="B275" t="s">
        <v>333</v>
      </c>
      <c r="C275" t="s">
        <v>1793</v>
      </c>
      <c r="D275" s="4" t="s">
        <v>3060</v>
      </c>
      <c r="E275" t="str">
        <f>IF(COUNTIF(Sayfa2!$A$2:$A$8,"*"&amp;D275&amp;"*")&gt;0, Sayfa2!$A$1,
 IF(COUNTIF(Sayfa2!$B$2:$B$8, "*"&amp;D275&amp;"*")&gt;0, Sayfa2!$B$1,
 IF(COUNTIF(Sayfa2!$C$2:$C$8, "*"&amp;D275&amp;"*")&gt;0, Sayfa2!$C$1,
 IF(COUNTIF(Sayfa2!$D$2:$D$8,"*"&amp;D275&amp;"*")&gt;0, Sayfa2!$D$1,
 IF(COUNTIF(Sayfa2!$E$2:$E$8, "*"&amp;D275&amp;"*")&gt;0, Sayfa2!$E$1, "Bulunamadı")))))</f>
        <v>ÇARŞAMBA</v>
      </c>
    </row>
    <row r="276" spans="1:5" hidden="1" x14ac:dyDescent="0.25">
      <c r="A276" t="s">
        <v>1813</v>
      </c>
      <c r="B276" t="s">
        <v>334</v>
      </c>
      <c r="C276" t="s">
        <v>1791</v>
      </c>
      <c r="D276" s="4" t="s">
        <v>3090</v>
      </c>
      <c r="E276" t="str">
        <f>IF(COUNTIF(Sayfa2!$A$2:$A$8,"*"&amp;D276&amp;"*")&gt;0, Sayfa2!$A$1,
 IF(COUNTIF(Sayfa2!$B$2:$B$8, "*"&amp;D276&amp;"*")&gt;0, Sayfa2!$B$1,
 IF(COUNTIF(Sayfa2!$C$2:$C$8, "*"&amp;D276&amp;"*")&gt;0, Sayfa2!$C$1,
 IF(COUNTIF(Sayfa2!$D$2:$D$8,"*"&amp;D276&amp;"*")&gt;0, Sayfa2!$D$1,
 IF(COUNTIF(Sayfa2!$E$2:$E$8, "*"&amp;D276&amp;"*")&gt;0, Sayfa2!$E$1, "Bulunamadı")))))</f>
        <v>ÇARŞAMBA</v>
      </c>
    </row>
    <row r="277" spans="1:5" x14ac:dyDescent="0.25">
      <c r="A277" t="s">
        <v>1814</v>
      </c>
      <c r="B277" t="s">
        <v>335</v>
      </c>
      <c r="C277" t="s">
        <v>1815</v>
      </c>
      <c r="D277" s="4" t="s">
        <v>3100</v>
      </c>
      <c r="E277" t="str">
        <f>IF(COUNTIF(Sayfa2!$A$2:$A$8,"*"&amp;D277&amp;"*")&gt;0, Sayfa2!$A$1,
 IF(COUNTIF(Sayfa2!$B$2:$B$8, "*"&amp;D277&amp;"*")&gt;0, Sayfa2!$B$1,
 IF(COUNTIF(Sayfa2!$C$2:$C$8, "*"&amp;D277&amp;"*")&gt;0, Sayfa2!$C$1,
 IF(COUNTIF(Sayfa2!$D$2:$D$8,"*"&amp;D277&amp;"*")&gt;0, Sayfa2!$D$1,
 IF(COUNTIF(Sayfa2!$E$2:$E$8, "*"&amp;D277&amp;"*")&gt;0, Sayfa2!$E$1, "Bulunamadı")))))</f>
        <v>Bulunamadı</v>
      </c>
    </row>
    <row r="278" spans="1:5" hidden="1" x14ac:dyDescent="0.25">
      <c r="A278" t="s">
        <v>1816</v>
      </c>
      <c r="B278" t="s">
        <v>336</v>
      </c>
      <c r="C278" t="s">
        <v>1798</v>
      </c>
      <c r="D278" s="4" t="s">
        <v>3059</v>
      </c>
      <c r="E278" t="str">
        <f>IF(COUNTIF(Sayfa2!$A$2:$A$8,"*"&amp;D278&amp;"*")&gt;0, Sayfa2!$A$1,
 IF(COUNTIF(Sayfa2!$B$2:$B$8, "*"&amp;D278&amp;"*")&gt;0, Sayfa2!$B$1,
 IF(COUNTIF(Sayfa2!$C$2:$C$8, "*"&amp;D278&amp;"*")&gt;0, Sayfa2!$C$1,
 IF(COUNTIF(Sayfa2!$D$2:$D$8,"*"&amp;D278&amp;"*")&gt;0, Sayfa2!$D$1,
 IF(COUNTIF(Sayfa2!$E$2:$E$8, "*"&amp;D278&amp;"*")&gt;0, Sayfa2!$E$1, "Bulunamadı")))))</f>
        <v>SALI</v>
      </c>
    </row>
    <row r="279" spans="1:5" hidden="1" x14ac:dyDescent="0.25">
      <c r="A279" t="s">
        <v>1817</v>
      </c>
      <c r="B279" t="s">
        <v>337</v>
      </c>
      <c r="C279" t="s">
        <v>1798</v>
      </c>
      <c r="D279" s="4" t="s">
        <v>3059</v>
      </c>
      <c r="E279" t="str">
        <f>IF(COUNTIF(Sayfa2!$A$2:$A$8,"*"&amp;D279&amp;"*")&gt;0, Sayfa2!$A$1,
 IF(COUNTIF(Sayfa2!$B$2:$B$8, "*"&amp;D279&amp;"*")&gt;0, Sayfa2!$B$1,
 IF(COUNTIF(Sayfa2!$C$2:$C$8, "*"&amp;D279&amp;"*")&gt;0, Sayfa2!$C$1,
 IF(COUNTIF(Sayfa2!$D$2:$D$8,"*"&amp;D279&amp;"*")&gt;0, Sayfa2!$D$1,
 IF(COUNTIF(Sayfa2!$E$2:$E$8, "*"&amp;D279&amp;"*")&gt;0, Sayfa2!$E$1, "Bulunamadı")))))</f>
        <v>SALI</v>
      </c>
    </row>
    <row r="280" spans="1:5" hidden="1" x14ac:dyDescent="0.25">
      <c r="A280" t="s">
        <v>1818</v>
      </c>
      <c r="B280" t="s">
        <v>338</v>
      </c>
      <c r="C280" t="s">
        <v>1793</v>
      </c>
      <c r="D280" s="4" t="s">
        <v>3060</v>
      </c>
      <c r="E280" t="str">
        <f>IF(COUNTIF(Sayfa2!$A$2:$A$8,"*"&amp;D280&amp;"*")&gt;0, Sayfa2!$A$1,
 IF(COUNTIF(Sayfa2!$B$2:$B$8, "*"&amp;D280&amp;"*")&gt;0, Sayfa2!$B$1,
 IF(COUNTIF(Sayfa2!$C$2:$C$8, "*"&amp;D280&amp;"*")&gt;0, Sayfa2!$C$1,
 IF(COUNTIF(Sayfa2!$D$2:$D$8,"*"&amp;D280&amp;"*")&gt;0, Sayfa2!$D$1,
 IF(COUNTIF(Sayfa2!$E$2:$E$8, "*"&amp;D280&amp;"*")&gt;0, Sayfa2!$E$1, "Bulunamadı")))))</f>
        <v>ÇARŞAMBA</v>
      </c>
    </row>
    <row r="281" spans="1:5" hidden="1" x14ac:dyDescent="0.25">
      <c r="A281" t="s">
        <v>1819</v>
      </c>
      <c r="B281" t="s">
        <v>339</v>
      </c>
      <c r="C281" t="s">
        <v>1798</v>
      </c>
      <c r="D281" s="4" t="s">
        <v>3059</v>
      </c>
      <c r="E281" t="str">
        <f>IF(COUNTIF(Sayfa2!$A$2:$A$8,"*"&amp;D281&amp;"*")&gt;0, Sayfa2!$A$1,
 IF(COUNTIF(Sayfa2!$B$2:$B$8, "*"&amp;D281&amp;"*")&gt;0, Sayfa2!$B$1,
 IF(COUNTIF(Sayfa2!$C$2:$C$8, "*"&amp;D281&amp;"*")&gt;0, Sayfa2!$C$1,
 IF(COUNTIF(Sayfa2!$D$2:$D$8,"*"&amp;D281&amp;"*")&gt;0, Sayfa2!$D$1,
 IF(COUNTIF(Sayfa2!$E$2:$E$8, "*"&amp;D281&amp;"*")&gt;0, Sayfa2!$E$1, "Bulunamadı")))))</f>
        <v>SALI</v>
      </c>
    </row>
    <row r="282" spans="1:5" hidden="1" x14ac:dyDescent="0.25">
      <c r="A282" t="s">
        <v>1820</v>
      </c>
      <c r="B282" t="s">
        <v>340</v>
      </c>
      <c r="C282" t="s">
        <v>1791</v>
      </c>
      <c r="D282" s="4" t="s">
        <v>3090</v>
      </c>
      <c r="E282" t="str">
        <f>IF(COUNTIF(Sayfa2!$A$2:$A$8,"*"&amp;D282&amp;"*")&gt;0, Sayfa2!$A$1,
 IF(COUNTIF(Sayfa2!$B$2:$B$8, "*"&amp;D282&amp;"*")&gt;0, Sayfa2!$B$1,
 IF(COUNTIF(Sayfa2!$C$2:$C$8, "*"&amp;D282&amp;"*")&gt;0, Sayfa2!$C$1,
 IF(COUNTIF(Sayfa2!$D$2:$D$8,"*"&amp;D282&amp;"*")&gt;0, Sayfa2!$D$1,
 IF(COUNTIF(Sayfa2!$E$2:$E$8, "*"&amp;D282&amp;"*")&gt;0, Sayfa2!$E$1, "Bulunamadı")))))</f>
        <v>ÇARŞAMBA</v>
      </c>
    </row>
    <row r="283" spans="1:5" hidden="1" x14ac:dyDescent="0.25">
      <c r="A283" t="s">
        <v>1821</v>
      </c>
      <c r="B283" t="s">
        <v>341</v>
      </c>
      <c r="C283" t="s">
        <v>1798</v>
      </c>
      <c r="D283" s="4" t="s">
        <v>3059</v>
      </c>
      <c r="E283" t="str">
        <f>IF(COUNTIF(Sayfa2!$A$2:$A$8,"*"&amp;D283&amp;"*")&gt;0, Sayfa2!$A$1,
 IF(COUNTIF(Sayfa2!$B$2:$B$8, "*"&amp;D283&amp;"*")&gt;0, Sayfa2!$B$1,
 IF(COUNTIF(Sayfa2!$C$2:$C$8, "*"&amp;D283&amp;"*")&gt;0, Sayfa2!$C$1,
 IF(COUNTIF(Sayfa2!$D$2:$D$8,"*"&amp;D283&amp;"*")&gt;0, Sayfa2!$D$1,
 IF(COUNTIF(Sayfa2!$E$2:$E$8, "*"&amp;D283&amp;"*")&gt;0, Sayfa2!$E$1, "Bulunamadı")))))</f>
        <v>SALI</v>
      </c>
    </row>
    <row r="284" spans="1:5" hidden="1" x14ac:dyDescent="0.25">
      <c r="A284" t="s">
        <v>1822</v>
      </c>
      <c r="B284" t="s">
        <v>342</v>
      </c>
      <c r="C284" t="s">
        <v>1793</v>
      </c>
      <c r="D284" s="4" t="s">
        <v>3060</v>
      </c>
      <c r="E284" t="str">
        <f>IF(COUNTIF(Sayfa2!$A$2:$A$8,"*"&amp;D284&amp;"*")&gt;0, Sayfa2!$A$1,
 IF(COUNTIF(Sayfa2!$B$2:$B$8, "*"&amp;D284&amp;"*")&gt;0, Sayfa2!$B$1,
 IF(COUNTIF(Sayfa2!$C$2:$C$8, "*"&amp;D284&amp;"*")&gt;0, Sayfa2!$C$1,
 IF(COUNTIF(Sayfa2!$D$2:$D$8,"*"&amp;D284&amp;"*")&gt;0, Sayfa2!$D$1,
 IF(COUNTIF(Sayfa2!$E$2:$E$8, "*"&amp;D284&amp;"*")&gt;0, Sayfa2!$E$1, "Bulunamadı")))))</f>
        <v>ÇARŞAMBA</v>
      </c>
    </row>
    <row r="285" spans="1:5" hidden="1" x14ac:dyDescent="0.25">
      <c r="A285" t="s">
        <v>1823</v>
      </c>
      <c r="B285" t="s">
        <v>343</v>
      </c>
      <c r="C285" t="s">
        <v>1793</v>
      </c>
      <c r="D285" s="4" t="s">
        <v>3060</v>
      </c>
      <c r="E285" t="str">
        <f>IF(COUNTIF(Sayfa2!$A$2:$A$8,"*"&amp;D285&amp;"*")&gt;0, Sayfa2!$A$1,
 IF(COUNTIF(Sayfa2!$B$2:$B$8, "*"&amp;D285&amp;"*")&gt;0, Sayfa2!$B$1,
 IF(COUNTIF(Sayfa2!$C$2:$C$8, "*"&amp;D285&amp;"*")&gt;0, Sayfa2!$C$1,
 IF(COUNTIF(Sayfa2!$D$2:$D$8,"*"&amp;D285&amp;"*")&gt;0, Sayfa2!$D$1,
 IF(COUNTIF(Sayfa2!$E$2:$E$8, "*"&amp;D285&amp;"*")&gt;0, Sayfa2!$E$1, "Bulunamadı")))))</f>
        <v>ÇARŞAMBA</v>
      </c>
    </row>
    <row r="286" spans="1:5" hidden="1" x14ac:dyDescent="0.25">
      <c r="A286" t="s">
        <v>1824</v>
      </c>
      <c r="B286" t="s">
        <v>344</v>
      </c>
      <c r="C286" t="s">
        <v>1825</v>
      </c>
      <c r="D286" s="4" t="s">
        <v>3060</v>
      </c>
      <c r="E286" t="str">
        <f>IF(COUNTIF(Sayfa2!$A$2:$A$8,"*"&amp;D286&amp;"*")&gt;0, Sayfa2!$A$1,
 IF(COUNTIF(Sayfa2!$B$2:$B$8, "*"&amp;D286&amp;"*")&gt;0, Sayfa2!$B$1,
 IF(COUNTIF(Sayfa2!$C$2:$C$8, "*"&amp;D286&amp;"*")&gt;0, Sayfa2!$C$1,
 IF(COUNTIF(Sayfa2!$D$2:$D$8,"*"&amp;D286&amp;"*")&gt;0, Sayfa2!$D$1,
 IF(COUNTIF(Sayfa2!$E$2:$E$8, "*"&amp;D286&amp;"*")&gt;0, Sayfa2!$E$1, "Bulunamadı")))))</f>
        <v>ÇARŞAMBA</v>
      </c>
    </row>
    <row r="287" spans="1:5" hidden="1" x14ac:dyDescent="0.25">
      <c r="A287" t="s">
        <v>1826</v>
      </c>
      <c r="B287" t="s">
        <v>346</v>
      </c>
      <c r="C287" t="s">
        <v>1825</v>
      </c>
      <c r="D287" s="4" t="s">
        <v>3060</v>
      </c>
      <c r="E287" t="str">
        <f>IF(COUNTIF(Sayfa2!$A$2:$A$8,"*"&amp;D287&amp;"*")&gt;0, Sayfa2!$A$1,
 IF(COUNTIF(Sayfa2!$B$2:$B$8, "*"&amp;D287&amp;"*")&gt;0, Sayfa2!$B$1,
 IF(COUNTIF(Sayfa2!$C$2:$C$8, "*"&amp;D287&amp;"*")&gt;0, Sayfa2!$C$1,
 IF(COUNTIF(Sayfa2!$D$2:$D$8,"*"&amp;D287&amp;"*")&gt;0, Sayfa2!$D$1,
 IF(COUNTIF(Sayfa2!$E$2:$E$8, "*"&amp;D287&amp;"*")&gt;0, Sayfa2!$E$1, "Bulunamadı")))))</f>
        <v>ÇARŞAMBA</v>
      </c>
    </row>
    <row r="288" spans="1:5" hidden="1" x14ac:dyDescent="0.25">
      <c r="A288" t="s">
        <v>1827</v>
      </c>
      <c r="B288" t="s">
        <v>347</v>
      </c>
      <c r="C288" t="s">
        <v>1828</v>
      </c>
      <c r="D288" s="4" t="s">
        <v>3090</v>
      </c>
      <c r="E288" t="str">
        <f>IF(COUNTIF(Sayfa2!$A$2:$A$8,"*"&amp;D288&amp;"*")&gt;0, Sayfa2!$A$1,
 IF(COUNTIF(Sayfa2!$B$2:$B$8, "*"&amp;D288&amp;"*")&gt;0, Sayfa2!$B$1,
 IF(COUNTIF(Sayfa2!$C$2:$C$8, "*"&amp;D288&amp;"*")&gt;0, Sayfa2!$C$1,
 IF(COUNTIF(Sayfa2!$D$2:$D$8,"*"&amp;D288&amp;"*")&gt;0, Sayfa2!$D$1,
 IF(COUNTIF(Sayfa2!$E$2:$E$8, "*"&amp;D288&amp;"*")&gt;0, Sayfa2!$E$1, "Bulunamadı")))))</f>
        <v>ÇARŞAMBA</v>
      </c>
    </row>
    <row r="289" spans="1:5" hidden="1" x14ac:dyDescent="0.25">
      <c r="A289" t="s">
        <v>1829</v>
      </c>
      <c r="B289" t="s">
        <v>349</v>
      </c>
      <c r="C289" t="s">
        <v>1828</v>
      </c>
      <c r="D289" s="4" t="s">
        <v>3090</v>
      </c>
      <c r="E289" t="str">
        <f>IF(COUNTIF(Sayfa2!$A$2:$A$8,"*"&amp;D289&amp;"*")&gt;0, Sayfa2!$A$1,
 IF(COUNTIF(Sayfa2!$B$2:$B$8, "*"&amp;D289&amp;"*")&gt;0, Sayfa2!$B$1,
 IF(COUNTIF(Sayfa2!$C$2:$C$8, "*"&amp;D289&amp;"*")&gt;0, Sayfa2!$C$1,
 IF(COUNTIF(Sayfa2!$D$2:$D$8,"*"&amp;D289&amp;"*")&gt;0, Sayfa2!$D$1,
 IF(COUNTIF(Sayfa2!$E$2:$E$8, "*"&amp;D289&amp;"*")&gt;0, Sayfa2!$E$1, "Bulunamadı")))))</f>
        <v>ÇARŞAMBA</v>
      </c>
    </row>
    <row r="290" spans="1:5" hidden="1" x14ac:dyDescent="0.25">
      <c r="A290" t="s">
        <v>1830</v>
      </c>
      <c r="B290" t="s">
        <v>350</v>
      </c>
      <c r="C290" t="s">
        <v>1831</v>
      </c>
      <c r="D290" s="4" t="s">
        <v>3059</v>
      </c>
      <c r="E290" t="str">
        <f>IF(COUNTIF(Sayfa2!$A$2:$A$8,"*"&amp;D290&amp;"*")&gt;0, Sayfa2!$A$1,
 IF(COUNTIF(Sayfa2!$B$2:$B$8, "*"&amp;D290&amp;"*")&gt;0, Sayfa2!$B$1,
 IF(COUNTIF(Sayfa2!$C$2:$C$8, "*"&amp;D290&amp;"*")&gt;0, Sayfa2!$C$1,
 IF(COUNTIF(Sayfa2!$D$2:$D$8,"*"&amp;D290&amp;"*")&gt;0, Sayfa2!$D$1,
 IF(COUNTIF(Sayfa2!$E$2:$E$8, "*"&amp;D290&amp;"*")&gt;0, Sayfa2!$E$1, "Bulunamadı")))))</f>
        <v>SALI</v>
      </c>
    </row>
    <row r="291" spans="1:5" hidden="1" x14ac:dyDescent="0.25">
      <c r="A291" t="s">
        <v>1832</v>
      </c>
      <c r="B291" t="s">
        <v>351</v>
      </c>
      <c r="C291" t="s">
        <v>1833</v>
      </c>
      <c r="D291" s="4" t="s">
        <v>3060</v>
      </c>
      <c r="E291" t="str">
        <f>IF(COUNTIF(Sayfa2!$A$2:$A$8,"*"&amp;D291&amp;"*")&gt;0, Sayfa2!$A$1,
 IF(COUNTIF(Sayfa2!$B$2:$B$8, "*"&amp;D291&amp;"*")&gt;0, Sayfa2!$B$1,
 IF(COUNTIF(Sayfa2!$C$2:$C$8, "*"&amp;D291&amp;"*")&gt;0, Sayfa2!$C$1,
 IF(COUNTIF(Sayfa2!$D$2:$D$8,"*"&amp;D291&amp;"*")&gt;0, Sayfa2!$D$1,
 IF(COUNTIF(Sayfa2!$E$2:$E$8, "*"&amp;D291&amp;"*")&gt;0, Sayfa2!$E$1, "Bulunamadı")))))</f>
        <v>ÇARŞAMBA</v>
      </c>
    </row>
    <row r="292" spans="1:5" hidden="1" x14ac:dyDescent="0.25">
      <c r="A292" t="s">
        <v>1834</v>
      </c>
      <c r="B292" t="s">
        <v>352</v>
      </c>
      <c r="C292" t="s">
        <v>1833</v>
      </c>
      <c r="D292" s="4" t="s">
        <v>3060</v>
      </c>
      <c r="E292" t="str">
        <f>IF(COUNTIF(Sayfa2!$A$2:$A$8,"*"&amp;D292&amp;"*")&gt;0, Sayfa2!$A$1,
 IF(COUNTIF(Sayfa2!$B$2:$B$8, "*"&amp;D292&amp;"*")&gt;0, Sayfa2!$B$1,
 IF(COUNTIF(Sayfa2!$C$2:$C$8, "*"&amp;D292&amp;"*")&gt;0, Sayfa2!$C$1,
 IF(COUNTIF(Sayfa2!$D$2:$D$8,"*"&amp;D292&amp;"*")&gt;0, Sayfa2!$D$1,
 IF(COUNTIF(Sayfa2!$E$2:$E$8, "*"&amp;D292&amp;"*")&gt;0, Sayfa2!$E$1, "Bulunamadı")))))</f>
        <v>ÇARŞAMBA</v>
      </c>
    </row>
    <row r="293" spans="1:5" x14ac:dyDescent="0.25">
      <c r="A293" t="s">
        <v>1835</v>
      </c>
      <c r="B293" t="s">
        <v>353</v>
      </c>
      <c r="C293" t="s">
        <v>1836</v>
      </c>
      <c r="D293" s="4" t="s">
        <v>3092</v>
      </c>
      <c r="E293" t="str">
        <f>IF(COUNTIF(Sayfa2!$A$2:$A$8,"*"&amp;D293&amp;"*")&gt;0, Sayfa2!$A$1,
 IF(COUNTIF(Sayfa2!$B$2:$B$8, "*"&amp;D293&amp;"*")&gt;0, Sayfa2!$B$1,
 IF(COUNTIF(Sayfa2!$C$2:$C$8, "*"&amp;D293&amp;"*")&gt;0, Sayfa2!$C$1,
 IF(COUNTIF(Sayfa2!$D$2:$D$8,"*"&amp;D293&amp;"*")&gt;0, Sayfa2!$D$1,
 IF(COUNTIF(Sayfa2!$E$2:$E$8, "*"&amp;D293&amp;"*")&gt;0, Sayfa2!$E$1, "Bulunamadı")))))</f>
        <v>Bulunamadı</v>
      </c>
    </row>
    <row r="294" spans="1:5" x14ac:dyDescent="0.25">
      <c r="A294" t="s">
        <v>1837</v>
      </c>
      <c r="B294" t="s">
        <v>355</v>
      </c>
      <c r="C294" t="s">
        <v>1836</v>
      </c>
      <c r="D294" s="4" t="s">
        <v>3092</v>
      </c>
      <c r="E294" t="str">
        <f>IF(COUNTIF(Sayfa2!$A$2:$A$8,"*"&amp;D294&amp;"*")&gt;0, Sayfa2!$A$1,
 IF(COUNTIF(Sayfa2!$B$2:$B$8, "*"&amp;D294&amp;"*")&gt;0, Sayfa2!$B$1,
 IF(COUNTIF(Sayfa2!$C$2:$C$8, "*"&amp;D294&amp;"*")&gt;0, Sayfa2!$C$1,
 IF(COUNTIF(Sayfa2!$D$2:$D$8,"*"&amp;D294&amp;"*")&gt;0, Sayfa2!$D$1,
 IF(COUNTIF(Sayfa2!$E$2:$E$8, "*"&amp;D294&amp;"*")&gt;0, Sayfa2!$E$1, "Bulunamadı")))))</f>
        <v>Bulunamadı</v>
      </c>
    </row>
    <row r="295" spans="1:5" x14ac:dyDescent="0.25">
      <c r="A295" t="s">
        <v>1838</v>
      </c>
      <c r="B295" t="s">
        <v>356</v>
      </c>
      <c r="C295" t="s">
        <v>1836</v>
      </c>
      <c r="D295" s="4" t="s">
        <v>3092</v>
      </c>
      <c r="E295" t="str">
        <f>IF(COUNTIF(Sayfa2!$A$2:$A$8,"*"&amp;D295&amp;"*")&gt;0, Sayfa2!$A$1,
 IF(COUNTIF(Sayfa2!$B$2:$B$8, "*"&amp;D295&amp;"*")&gt;0, Sayfa2!$B$1,
 IF(COUNTIF(Sayfa2!$C$2:$C$8, "*"&amp;D295&amp;"*")&gt;0, Sayfa2!$C$1,
 IF(COUNTIF(Sayfa2!$D$2:$D$8,"*"&amp;D295&amp;"*")&gt;0, Sayfa2!$D$1,
 IF(COUNTIF(Sayfa2!$E$2:$E$8, "*"&amp;D295&amp;"*")&gt;0, Sayfa2!$E$1, "Bulunamadı")))))</f>
        <v>Bulunamadı</v>
      </c>
    </row>
    <row r="296" spans="1:5" x14ac:dyDescent="0.25">
      <c r="A296" t="s">
        <v>1839</v>
      </c>
      <c r="B296" t="s">
        <v>357</v>
      </c>
      <c r="C296" t="s">
        <v>1836</v>
      </c>
      <c r="D296" s="4" t="s">
        <v>3092</v>
      </c>
      <c r="E296" t="str">
        <f>IF(COUNTIF(Sayfa2!$A$2:$A$8,"*"&amp;D296&amp;"*")&gt;0, Sayfa2!$A$1,
 IF(COUNTIF(Sayfa2!$B$2:$B$8, "*"&amp;D296&amp;"*")&gt;0, Sayfa2!$B$1,
 IF(COUNTIF(Sayfa2!$C$2:$C$8, "*"&amp;D296&amp;"*")&gt;0, Sayfa2!$C$1,
 IF(COUNTIF(Sayfa2!$D$2:$D$8,"*"&amp;D296&amp;"*")&gt;0, Sayfa2!$D$1,
 IF(COUNTIF(Sayfa2!$E$2:$E$8, "*"&amp;D296&amp;"*")&gt;0, Sayfa2!$E$1, "Bulunamadı")))))</f>
        <v>Bulunamadı</v>
      </c>
    </row>
    <row r="297" spans="1:5" x14ac:dyDescent="0.25">
      <c r="A297" t="s">
        <v>1840</v>
      </c>
      <c r="B297" t="s">
        <v>358</v>
      </c>
      <c r="C297" t="s">
        <v>1836</v>
      </c>
      <c r="D297" s="4" t="s">
        <v>3092</v>
      </c>
      <c r="E297" t="str">
        <f>IF(COUNTIF(Sayfa2!$A$2:$A$8,"*"&amp;D297&amp;"*")&gt;0, Sayfa2!$A$1,
 IF(COUNTIF(Sayfa2!$B$2:$B$8, "*"&amp;D297&amp;"*")&gt;0, Sayfa2!$B$1,
 IF(COUNTIF(Sayfa2!$C$2:$C$8, "*"&amp;D297&amp;"*")&gt;0, Sayfa2!$C$1,
 IF(COUNTIF(Sayfa2!$D$2:$D$8,"*"&amp;D297&amp;"*")&gt;0, Sayfa2!$D$1,
 IF(COUNTIF(Sayfa2!$E$2:$E$8, "*"&amp;D297&amp;"*")&gt;0, Sayfa2!$E$1, "Bulunamadı")))))</f>
        <v>Bulunamadı</v>
      </c>
    </row>
    <row r="298" spans="1:5" hidden="1" x14ac:dyDescent="0.25">
      <c r="A298" t="s">
        <v>1841</v>
      </c>
      <c r="B298" t="s">
        <v>359</v>
      </c>
      <c r="C298" t="s">
        <v>1842</v>
      </c>
      <c r="D298" s="4" t="s">
        <v>3095</v>
      </c>
      <c r="E298" t="str">
        <f>IF(COUNTIF(Sayfa2!$A$2:$A$8,"*"&amp;D298&amp;"*")&gt;0, Sayfa2!$A$1,
 IF(COUNTIF(Sayfa2!$B$2:$B$8, "*"&amp;D298&amp;"*")&gt;0, Sayfa2!$B$1,
 IF(COUNTIF(Sayfa2!$C$2:$C$8, "*"&amp;D298&amp;"*")&gt;0, Sayfa2!$C$1,
 IF(COUNTIF(Sayfa2!$D$2:$D$8,"*"&amp;D298&amp;"*")&gt;0, Sayfa2!$D$1,
 IF(COUNTIF(Sayfa2!$E$2:$E$8, "*"&amp;D298&amp;"*")&gt;0, Sayfa2!$E$1, "Bulunamadı")))))</f>
        <v>PAZARTESİ</v>
      </c>
    </row>
    <row r="299" spans="1:5" hidden="1" x14ac:dyDescent="0.25">
      <c r="A299" t="s">
        <v>1843</v>
      </c>
      <c r="B299" t="s">
        <v>361</v>
      </c>
      <c r="C299" t="s">
        <v>1844</v>
      </c>
      <c r="D299" s="4" t="s">
        <v>3065</v>
      </c>
      <c r="E299" t="str">
        <f>IF(COUNTIF(Sayfa2!$A$2:$A$8,"*"&amp;D299&amp;"*")&gt;0, Sayfa2!$A$1,
 IF(COUNTIF(Sayfa2!$B$2:$B$8, "*"&amp;D299&amp;"*")&gt;0, Sayfa2!$B$1,
 IF(COUNTIF(Sayfa2!$C$2:$C$8, "*"&amp;D299&amp;"*")&gt;0, Sayfa2!$C$1,
 IF(COUNTIF(Sayfa2!$D$2:$D$8,"*"&amp;D299&amp;"*")&gt;0, Sayfa2!$D$1,
 IF(COUNTIF(Sayfa2!$E$2:$E$8, "*"&amp;D299&amp;"*")&gt;0, Sayfa2!$E$1, "Bulunamadı")))))</f>
        <v>ÇARŞAMBA</v>
      </c>
    </row>
    <row r="300" spans="1:5" hidden="1" x14ac:dyDescent="0.25">
      <c r="A300" t="s">
        <v>1845</v>
      </c>
      <c r="B300" t="s">
        <v>364</v>
      </c>
      <c r="C300" t="s">
        <v>1844</v>
      </c>
      <c r="D300" s="4" t="s">
        <v>3065</v>
      </c>
      <c r="E300" t="str">
        <f>IF(COUNTIF(Sayfa2!$A$2:$A$8,"*"&amp;D300&amp;"*")&gt;0, Sayfa2!$A$1,
 IF(COUNTIF(Sayfa2!$B$2:$B$8, "*"&amp;D300&amp;"*")&gt;0, Sayfa2!$B$1,
 IF(COUNTIF(Sayfa2!$C$2:$C$8, "*"&amp;D300&amp;"*")&gt;0, Sayfa2!$C$1,
 IF(COUNTIF(Sayfa2!$D$2:$D$8,"*"&amp;D300&amp;"*")&gt;0, Sayfa2!$D$1,
 IF(COUNTIF(Sayfa2!$E$2:$E$8, "*"&amp;D300&amp;"*")&gt;0, Sayfa2!$E$1, "Bulunamadı")))))</f>
        <v>ÇARŞAMBA</v>
      </c>
    </row>
    <row r="301" spans="1:5" hidden="1" x14ac:dyDescent="0.25">
      <c r="A301" t="s">
        <v>1846</v>
      </c>
      <c r="B301" t="s">
        <v>365</v>
      </c>
      <c r="C301" t="s">
        <v>1844</v>
      </c>
      <c r="D301" s="4" t="s">
        <v>3065</v>
      </c>
      <c r="E301" t="str">
        <f>IF(COUNTIF(Sayfa2!$A$2:$A$8,"*"&amp;D301&amp;"*")&gt;0, Sayfa2!$A$1,
 IF(COUNTIF(Sayfa2!$B$2:$B$8, "*"&amp;D301&amp;"*")&gt;0, Sayfa2!$B$1,
 IF(COUNTIF(Sayfa2!$C$2:$C$8, "*"&amp;D301&amp;"*")&gt;0, Sayfa2!$C$1,
 IF(COUNTIF(Sayfa2!$D$2:$D$8,"*"&amp;D301&amp;"*")&gt;0, Sayfa2!$D$1,
 IF(COUNTIF(Sayfa2!$E$2:$E$8, "*"&amp;D301&amp;"*")&gt;0, Sayfa2!$E$1, "Bulunamadı")))))</f>
        <v>ÇARŞAMBA</v>
      </c>
    </row>
    <row r="302" spans="1:5" hidden="1" x14ac:dyDescent="0.25">
      <c r="A302" t="s">
        <v>1847</v>
      </c>
      <c r="B302" t="s">
        <v>366</v>
      </c>
      <c r="C302" t="s">
        <v>1848</v>
      </c>
      <c r="D302" s="4" t="s">
        <v>3066</v>
      </c>
      <c r="E302" t="str">
        <f>IF(COUNTIF(Sayfa2!$A$2:$A$8,"*"&amp;D302&amp;"*")&gt;0, Sayfa2!$A$1,
 IF(COUNTIF(Sayfa2!$B$2:$B$8, "*"&amp;D302&amp;"*")&gt;0, Sayfa2!$B$1,
 IF(COUNTIF(Sayfa2!$C$2:$C$8, "*"&amp;D302&amp;"*")&gt;0, Sayfa2!$C$1,
 IF(COUNTIF(Sayfa2!$D$2:$D$8,"*"&amp;D302&amp;"*")&gt;0, Sayfa2!$D$1,
 IF(COUNTIF(Sayfa2!$E$2:$E$8, "*"&amp;D302&amp;"*")&gt;0, Sayfa2!$E$1, "Bulunamadı")))))</f>
        <v>PERŞEMBE</v>
      </c>
    </row>
    <row r="303" spans="1:5" hidden="1" x14ac:dyDescent="0.25">
      <c r="A303" t="s">
        <v>1849</v>
      </c>
      <c r="B303" t="s">
        <v>367</v>
      </c>
      <c r="C303" t="s">
        <v>1848</v>
      </c>
      <c r="D303" s="4" t="s">
        <v>3066</v>
      </c>
      <c r="E303" t="str">
        <f>IF(COUNTIF(Sayfa2!$A$2:$A$8,"*"&amp;D303&amp;"*")&gt;0, Sayfa2!$A$1,
 IF(COUNTIF(Sayfa2!$B$2:$B$8, "*"&amp;D303&amp;"*")&gt;0, Sayfa2!$B$1,
 IF(COUNTIF(Sayfa2!$C$2:$C$8, "*"&amp;D303&amp;"*")&gt;0, Sayfa2!$C$1,
 IF(COUNTIF(Sayfa2!$D$2:$D$8,"*"&amp;D303&amp;"*")&gt;0, Sayfa2!$D$1,
 IF(COUNTIF(Sayfa2!$E$2:$E$8, "*"&amp;D303&amp;"*")&gt;0, Sayfa2!$E$1, "Bulunamadı")))))</f>
        <v>PERŞEMBE</v>
      </c>
    </row>
    <row r="304" spans="1:5" hidden="1" x14ac:dyDescent="0.25">
      <c r="A304" t="s">
        <v>1850</v>
      </c>
      <c r="B304" t="s">
        <v>368</v>
      </c>
      <c r="C304" t="s">
        <v>1851</v>
      </c>
      <c r="D304" s="4" t="s">
        <v>3065</v>
      </c>
      <c r="E304" t="str">
        <f>IF(COUNTIF(Sayfa2!$A$2:$A$8,"*"&amp;D304&amp;"*")&gt;0, Sayfa2!$A$1,
 IF(COUNTIF(Sayfa2!$B$2:$B$8, "*"&amp;D304&amp;"*")&gt;0, Sayfa2!$B$1,
 IF(COUNTIF(Sayfa2!$C$2:$C$8, "*"&amp;D304&amp;"*")&gt;0, Sayfa2!$C$1,
 IF(COUNTIF(Sayfa2!$D$2:$D$8,"*"&amp;D304&amp;"*")&gt;0, Sayfa2!$D$1,
 IF(COUNTIF(Sayfa2!$E$2:$E$8, "*"&amp;D304&amp;"*")&gt;0, Sayfa2!$E$1, "Bulunamadı")))))</f>
        <v>ÇARŞAMBA</v>
      </c>
    </row>
    <row r="305" spans="1:5" hidden="1" x14ac:dyDescent="0.25">
      <c r="A305" t="s">
        <v>1852</v>
      </c>
      <c r="B305" t="s">
        <v>369</v>
      </c>
      <c r="C305" t="s">
        <v>1848</v>
      </c>
      <c r="D305" s="4" t="s">
        <v>3066</v>
      </c>
      <c r="E305" t="str">
        <f>IF(COUNTIF(Sayfa2!$A$2:$A$8,"*"&amp;D305&amp;"*")&gt;0, Sayfa2!$A$1,
 IF(COUNTIF(Sayfa2!$B$2:$B$8, "*"&amp;D305&amp;"*")&gt;0, Sayfa2!$B$1,
 IF(COUNTIF(Sayfa2!$C$2:$C$8, "*"&amp;D305&amp;"*")&gt;0, Sayfa2!$C$1,
 IF(COUNTIF(Sayfa2!$D$2:$D$8,"*"&amp;D305&amp;"*")&gt;0, Sayfa2!$D$1,
 IF(COUNTIF(Sayfa2!$E$2:$E$8, "*"&amp;D305&amp;"*")&gt;0, Sayfa2!$E$1, "Bulunamadı")))))</f>
        <v>PERŞEMBE</v>
      </c>
    </row>
    <row r="306" spans="1:5" hidden="1" x14ac:dyDescent="0.25">
      <c r="A306" t="s">
        <v>1853</v>
      </c>
      <c r="B306" t="s">
        <v>370</v>
      </c>
      <c r="C306" t="s">
        <v>1848</v>
      </c>
      <c r="D306" s="4" t="s">
        <v>3066</v>
      </c>
      <c r="E306" t="str">
        <f>IF(COUNTIF(Sayfa2!$A$2:$A$8,"*"&amp;D306&amp;"*")&gt;0, Sayfa2!$A$1,
 IF(COUNTIF(Sayfa2!$B$2:$B$8, "*"&amp;D306&amp;"*")&gt;0, Sayfa2!$B$1,
 IF(COUNTIF(Sayfa2!$C$2:$C$8, "*"&amp;D306&amp;"*")&gt;0, Sayfa2!$C$1,
 IF(COUNTIF(Sayfa2!$D$2:$D$8,"*"&amp;D306&amp;"*")&gt;0, Sayfa2!$D$1,
 IF(COUNTIF(Sayfa2!$E$2:$E$8, "*"&amp;D306&amp;"*")&gt;0, Sayfa2!$E$1, "Bulunamadı")))))</f>
        <v>PERŞEMBE</v>
      </c>
    </row>
    <row r="307" spans="1:5" hidden="1" x14ac:dyDescent="0.25">
      <c r="A307" t="s">
        <v>1854</v>
      </c>
      <c r="B307" t="s">
        <v>371</v>
      </c>
      <c r="C307" t="s">
        <v>1851</v>
      </c>
      <c r="D307" s="4" t="s">
        <v>3065</v>
      </c>
      <c r="E307" t="str">
        <f>IF(COUNTIF(Sayfa2!$A$2:$A$8,"*"&amp;D307&amp;"*")&gt;0, Sayfa2!$A$1,
 IF(COUNTIF(Sayfa2!$B$2:$B$8, "*"&amp;D307&amp;"*")&gt;0, Sayfa2!$B$1,
 IF(COUNTIF(Sayfa2!$C$2:$C$8, "*"&amp;D307&amp;"*")&gt;0, Sayfa2!$C$1,
 IF(COUNTIF(Sayfa2!$D$2:$D$8,"*"&amp;D307&amp;"*")&gt;0, Sayfa2!$D$1,
 IF(COUNTIF(Sayfa2!$E$2:$E$8, "*"&amp;D307&amp;"*")&gt;0, Sayfa2!$E$1, "Bulunamadı")))))</f>
        <v>ÇARŞAMBA</v>
      </c>
    </row>
    <row r="308" spans="1:5" hidden="1" x14ac:dyDescent="0.25">
      <c r="A308" t="s">
        <v>1855</v>
      </c>
      <c r="B308" t="s">
        <v>372</v>
      </c>
      <c r="C308" t="s">
        <v>1851</v>
      </c>
      <c r="D308" s="4" t="s">
        <v>3065</v>
      </c>
      <c r="E308" t="str">
        <f>IF(COUNTIF(Sayfa2!$A$2:$A$8,"*"&amp;D308&amp;"*")&gt;0, Sayfa2!$A$1,
 IF(COUNTIF(Sayfa2!$B$2:$B$8, "*"&amp;D308&amp;"*")&gt;0, Sayfa2!$B$1,
 IF(COUNTIF(Sayfa2!$C$2:$C$8, "*"&amp;D308&amp;"*")&gt;0, Sayfa2!$C$1,
 IF(COUNTIF(Sayfa2!$D$2:$D$8,"*"&amp;D308&amp;"*")&gt;0, Sayfa2!$D$1,
 IF(COUNTIF(Sayfa2!$E$2:$E$8, "*"&amp;D308&amp;"*")&gt;0, Sayfa2!$E$1, "Bulunamadı")))))</f>
        <v>ÇARŞAMBA</v>
      </c>
    </row>
    <row r="309" spans="1:5" hidden="1" x14ac:dyDescent="0.25">
      <c r="A309" t="s">
        <v>1856</v>
      </c>
      <c r="B309" t="s">
        <v>373</v>
      </c>
      <c r="C309" t="s">
        <v>1857</v>
      </c>
      <c r="D309" s="4" t="s">
        <v>3073</v>
      </c>
      <c r="E309" t="str">
        <f>IF(COUNTIF(Sayfa2!$A$2:$A$8,"*"&amp;D309&amp;"*")&gt;0, Sayfa2!$A$1,
 IF(COUNTIF(Sayfa2!$B$2:$B$8, "*"&amp;D309&amp;"*")&gt;0, Sayfa2!$B$1,
 IF(COUNTIF(Sayfa2!$C$2:$C$8, "*"&amp;D309&amp;"*")&gt;0, Sayfa2!$C$1,
 IF(COUNTIF(Sayfa2!$D$2:$D$8,"*"&amp;D309&amp;"*")&gt;0, Sayfa2!$D$1,
 IF(COUNTIF(Sayfa2!$E$2:$E$8, "*"&amp;D309&amp;"*")&gt;0, Sayfa2!$E$1, "Bulunamadı")))))</f>
        <v>PAZARTESİ</v>
      </c>
    </row>
    <row r="310" spans="1:5" hidden="1" x14ac:dyDescent="0.25">
      <c r="A310" t="s">
        <v>1858</v>
      </c>
      <c r="B310" t="s">
        <v>375</v>
      </c>
      <c r="C310" t="s">
        <v>1857</v>
      </c>
      <c r="D310" s="4" t="s">
        <v>3073</v>
      </c>
      <c r="E310" t="str">
        <f>IF(COUNTIF(Sayfa2!$A$2:$A$8,"*"&amp;D310&amp;"*")&gt;0, Sayfa2!$A$1,
 IF(COUNTIF(Sayfa2!$B$2:$B$8, "*"&amp;D310&amp;"*")&gt;0, Sayfa2!$B$1,
 IF(COUNTIF(Sayfa2!$C$2:$C$8, "*"&amp;D310&amp;"*")&gt;0, Sayfa2!$C$1,
 IF(COUNTIF(Sayfa2!$D$2:$D$8,"*"&amp;D310&amp;"*")&gt;0, Sayfa2!$D$1,
 IF(COUNTIF(Sayfa2!$E$2:$E$8, "*"&amp;D310&amp;"*")&gt;0, Sayfa2!$E$1, "Bulunamadı")))))</f>
        <v>PAZARTESİ</v>
      </c>
    </row>
    <row r="311" spans="1:5" hidden="1" x14ac:dyDescent="0.25">
      <c r="A311" t="s">
        <v>1859</v>
      </c>
      <c r="B311" t="s">
        <v>376</v>
      </c>
      <c r="C311" t="s">
        <v>1857</v>
      </c>
      <c r="D311" s="4" t="s">
        <v>3073</v>
      </c>
      <c r="E311" t="str">
        <f>IF(COUNTIF(Sayfa2!$A$2:$A$8,"*"&amp;D311&amp;"*")&gt;0, Sayfa2!$A$1,
 IF(COUNTIF(Sayfa2!$B$2:$B$8, "*"&amp;D311&amp;"*")&gt;0, Sayfa2!$B$1,
 IF(COUNTIF(Sayfa2!$C$2:$C$8, "*"&amp;D311&amp;"*")&gt;0, Sayfa2!$C$1,
 IF(COUNTIF(Sayfa2!$D$2:$D$8,"*"&amp;D311&amp;"*")&gt;0, Sayfa2!$D$1,
 IF(COUNTIF(Sayfa2!$E$2:$E$8, "*"&amp;D311&amp;"*")&gt;0, Sayfa2!$E$1, "Bulunamadı")))))</f>
        <v>PAZARTESİ</v>
      </c>
    </row>
    <row r="312" spans="1:5" hidden="1" x14ac:dyDescent="0.25">
      <c r="A312" t="s">
        <v>1860</v>
      </c>
      <c r="B312" t="s">
        <v>377</v>
      </c>
      <c r="C312" t="s">
        <v>1857</v>
      </c>
      <c r="D312" s="4" t="s">
        <v>3073</v>
      </c>
      <c r="E312" t="str">
        <f>IF(COUNTIF(Sayfa2!$A$2:$A$8,"*"&amp;D312&amp;"*")&gt;0, Sayfa2!$A$1,
 IF(COUNTIF(Sayfa2!$B$2:$B$8, "*"&amp;D312&amp;"*")&gt;0, Sayfa2!$B$1,
 IF(COUNTIF(Sayfa2!$C$2:$C$8, "*"&amp;D312&amp;"*")&gt;0, Sayfa2!$C$1,
 IF(COUNTIF(Sayfa2!$D$2:$D$8,"*"&amp;D312&amp;"*")&gt;0, Sayfa2!$D$1,
 IF(COUNTIF(Sayfa2!$E$2:$E$8, "*"&amp;D312&amp;"*")&gt;0, Sayfa2!$E$1, "Bulunamadı")))))</f>
        <v>PAZARTESİ</v>
      </c>
    </row>
    <row r="313" spans="1:5" hidden="1" x14ac:dyDescent="0.25">
      <c r="A313" t="s">
        <v>1861</v>
      </c>
      <c r="B313" t="s">
        <v>378</v>
      </c>
      <c r="C313" t="s">
        <v>1857</v>
      </c>
      <c r="D313" s="4" t="s">
        <v>3073</v>
      </c>
      <c r="E313" t="str">
        <f>IF(COUNTIF(Sayfa2!$A$2:$A$8,"*"&amp;D313&amp;"*")&gt;0, Sayfa2!$A$1,
 IF(COUNTIF(Sayfa2!$B$2:$B$8, "*"&amp;D313&amp;"*")&gt;0, Sayfa2!$B$1,
 IF(COUNTIF(Sayfa2!$C$2:$C$8, "*"&amp;D313&amp;"*")&gt;0, Sayfa2!$C$1,
 IF(COUNTIF(Sayfa2!$D$2:$D$8,"*"&amp;D313&amp;"*")&gt;0, Sayfa2!$D$1,
 IF(COUNTIF(Sayfa2!$E$2:$E$8, "*"&amp;D313&amp;"*")&gt;0, Sayfa2!$E$1, "Bulunamadı")))))</f>
        <v>PAZARTESİ</v>
      </c>
    </row>
    <row r="314" spans="1:5" hidden="1" x14ac:dyDescent="0.25">
      <c r="A314" t="s">
        <v>1862</v>
      </c>
      <c r="B314" t="s">
        <v>379</v>
      </c>
      <c r="C314" t="s">
        <v>1857</v>
      </c>
      <c r="D314" s="4" t="s">
        <v>3073</v>
      </c>
      <c r="E314" t="str">
        <f>IF(COUNTIF(Sayfa2!$A$2:$A$8,"*"&amp;D314&amp;"*")&gt;0, Sayfa2!$A$1,
 IF(COUNTIF(Sayfa2!$B$2:$B$8, "*"&amp;D314&amp;"*")&gt;0, Sayfa2!$B$1,
 IF(COUNTIF(Sayfa2!$C$2:$C$8, "*"&amp;D314&amp;"*")&gt;0, Sayfa2!$C$1,
 IF(COUNTIF(Sayfa2!$D$2:$D$8,"*"&amp;D314&amp;"*")&gt;0, Sayfa2!$D$1,
 IF(COUNTIF(Sayfa2!$E$2:$E$8, "*"&amp;D314&amp;"*")&gt;0, Sayfa2!$E$1, "Bulunamadı")))))</f>
        <v>PAZARTESİ</v>
      </c>
    </row>
    <row r="315" spans="1:5" hidden="1" x14ac:dyDescent="0.25">
      <c r="A315" t="s">
        <v>1863</v>
      </c>
      <c r="B315" t="s">
        <v>380</v>
      </c>
      <c r="C315" t="s">
        <v>1857</v>
      </c>
      <c r="D315" s="4" t="s">
        <v>3073</v>
      </c>
      <c r="E315" t="str">
        <f>IF(COUNTIF(Sayfa2!$A$2:$A$8,"*"&amp;D315&amp;"*")&gt;0, Sayfa2!$A$1,
 IF(COUNTIF(Sayfa2!$B$2:$B$8, "*"&amp;D315&amp;"*")&gt;0, Sayfa2!$B$1,
 IF(COUNTIF(Sayfa2!$C$2:$C$8, "*"&amp;D315&amp;"*")&gt;0, Sayfa2!$C$1,
 IF(COUNTIF(Sayfa2!$D$2:$D$8,"*"&amp;D315&amp;"*")&gt;0, Sayfa2!$D$1,
 IF(COUNTIF(Sayfa2!$E$2:$E$8, "*"&amp;D315&amp;"*")&gt;0, Sayfa2!$E$1, "Bulunamadı")))))</f>
        <v>PAZARTESİ</v>
      </c>
    </row>
    <row r="316" spans="1:5" hidden="1" x14ac:dyDescent="0.25">
      <c r="A316" t="s">
        <v>1864</v>
      </c>
      <c r="B316" t="s">
        <v>381</v>
      </c>
      <c r="C316" t="s">
        <v>1857</v>
      </c>
      <c r="D316" s="4" t="s">
        <v>3073</v>
      </c>
      <c r="E316" t="str">
        <f>IF(COUNTIF(Sayfa2!$A$2:$A$8,"*"&amp;D316&amp;"*")&gt;0, Sayfa2!$A$1,
 IF(COUNTIF(Sayfa2!$B$2:$B$8, "*"&amp;D316&amp;"*")&gt;0, Sayfa2!$B$1,
 IF(COUNTIF(Sayfa2!$C$2:$C$8, "*"&amp;D316&amp;"*")&gt;0, Sayfa2!$C$1,
 IF(COUNTIF(Sayfa2!$D$2:$D$8,"*"&amp;D316&amp;"*")&gt;0, Sayfa2!$D$1,
 IF(COUNTIF(Sayfa2!$E$2:$E$8, "*"&amp;D316&amp;"*")&gt;0, Sayfa2!$E$1, "Bulunamadı")))))</f>
        <v>PAZARTESİ</v>
      </c>
    </row>
    <row r="317" spans="1:5" hidden="1" x14ac:dyDescent="0.25">
      <c r="A317" t="s">
        <v>1865</v>
      </c>
      <c r="B317" t="s">
        <v>382</v>
      </c>
      <c r="C317" t="s">
        <v>1857</v>
      </c>
      <c r="D317" s="4" t="s">
        <v>3073</v>
      </c>
      <c r="E317" t="str">
        <f>IF(COUNTIF(Sayfa2!$A$2:$A$8,"*"&amp;D317&amp;"*")&gt;0, Sayfa2!$A$1,
 IF(COUNTIF(Sayfa2!$B$2:$B$8, "*"&amp;D317&amp;"*")&gt;0, Sayfa2!$B$1,
 IF(COUNTIF(Sayfa2!$C$2:$C$8, "*"&amp;D317&amp;"*")&gt;0, Sayfa2!$C$1,
 IF(COUNTIF(Sayfa2!$D$2:$D$8,"*"&amp;D317&amp;"*")&gt;0, Sayfa2!$D$1,
 IF(COUNTIF(Sayfa2!$E$2:$E$8, "*"&amp;D317&amp;"*")&gt;0, Sayfa2!$E$1, "Bulunamadı")))))</f>
        <v>PAZARTESİ</v>
      </c>
    </row>
    <row r="318" spans="1:5" hidden="1" x14ac:dyDescent="0.25">
      <c r="A318" t="s">
        <v>1866</v>
      </c>
      <c r="B318" t="s">
        <v>383</v>
      </c>
      <c r="C318" t="s">
        <v>1857</v>
      </c>
      <c r="D318" s="4" t="s">
        <v>3073</v>
      </c>
      <c r="E318" t="str">
        <f>IF(COUNTIF(Sayfa2!$A$2:$A$8,"*"&amp;D318&amp;"*")&gt;0, Sayfa2!$A$1,
 IF(COUNTIF(Sayfa2!$B$2:$B$8, "*"&amp;D318&amp;"*")&gt;0, Sayfa2!$B$1,
 IF(COUNTIF(Sayfa2!$C$2:$C$8, "*"&amp;D318&amp;"*")&gt;0, Sayfa2!$C$1,
 IF(COUNTIF(Sayfa2!$D$2:$D$8,"*"&amp;D318&amp;"*")&gt;0, Sayfa2!$D$1,
 IF(COUNTIF(Sayfa2!$E$2:$E$8, "*"&amp;D318&amp;"*")&gt;0, Sayfa2!$E$1, "Bulunamadı")))))</f>
        <v>PAZARTESİ</v>
      </c>
    </row>
    <row r="319" spans="1:5" hidden="1" x14ac:dyDescent="0.25">
      <c r="A319" t="s">
        <v>1867</v>
      </c>
      <c r="B319" t="s">
        <v>384</v>
      </c>
      <c r="C319" t="s">
        <v>1857</v>
      </c>
      <c r="D319" s="4" t="s">
        <v>3073</v>
      </c>
      <c r="E319" t="str">
        <f>IF(COUNTIF(Sayfa2!$A$2:$A$8,"*"&amp;D319&amp;"*")&gt;0, Sayfa2!$A$1,
 IF(COUNTIF(Sayfa2!$B$2:$B$8, "*"&amp;D319&amp;"*")&gt;0, Sayfa2!$B$1,
 IF(COUNTIF(Sayfa2!$C$2:$C$8, "*"&amp;D319&amp;"*")&gt;0, Sayfa2!$C$1,
 IF(COUNTIF(Sayfa2!$D$2:$D$8,"*"&amp;D319&amp;"*")&gt;0, Sayfa2!$D$1,
 IF(COUNTIF(Sayfa2!$E$2:$E$8, "*"&amp;D319&amp;"*")&gt;0, Sayfa2!$E$1, "Bulunamadı")))))</f>
        <v>PAZARTESİ</v>
      </c>
    </row>
    <row r="320" spans="1:5" hidden="1" x14ac:dyDescent="0.25">
      <c r="A320" t="s">
        <v>1868</v>
      </c>
      <c r="B320" t="s">
        <v>385</v>
      </c>
      <c r="C320" t="s">
        <v>1857</v>
      </c>
      <c r="D320" s="4" t="s">
        <v>3073</v>
      </c>
      <c r="E320" t="str">
        <f>IF(COUNTIF(Sayfa2!$A$2:$A$8,"*"&amp;D320&amp;"*")&gt;0, Sayfa2!$A$1,
 IF(COUNTIF(Sayfa2!$B$2:$B$8, "*"&amp;D320&amp;"*")&gt;0, Sayfa2!$B$1,
 IF(COUNTIF(Sayfa2!$C$2:$C$8, "*"&amp;D320&amp;"*")&gt;0, Sayfa2!$C$1,
 IF(COUNTIF(Sayfa2!$D$2:$D$8,"*"&amp;D320&amp;"*")&gt;0, Sayfa2!$D$1,
 IF(COUNTIF(Sayfa2!$E$2:$E$8, "*"&amp;D320&amp;"*")&gt;0, Sayfa2!$E$1, "Bulunamadı")))))</f>
        <v>PAZARTESİ</v>
      </c>
    </row>
    <row r="321" spans="1:5" hidden="1" x14ac:dyDescent="0.25">
      <c r="A321" t="s">
        <v>1869</v>
      </c>
      <c r="B321" t="s">
        <v>386</v>
      </c>
      <c r="C321" t="s">
        <v>1857</v>
      </c>
      <c r="D321" s="4" t="s">
        <v>3073</v>
      </c>
      <c r="E321" t="str">
        <f>IF(COUNTIF(Sayfa2!$A$2:$A$8,"*"&amp;D321&amp;"*")&gt;0, Sayfa2!$A$1,
 IF(COUNTIF(Sayfa2!$B$2:$B$8, "*"&amp;D321&amp;"*")&gt;0, Sayfa2!$B$1,
 IF(COUNTIF(Sayfa2!$C$2:$C$8, "*"&amp;D321&amp;"*")&gt;0, Sayfa2!$C$1,
 IF(COUNTIF(Sayfa2!$D$2:$D$8,"*"&amp;D321&amp;"*")&gt;0, Sayfa2!$D$1,
 IF(COUNTIF(Sayfa2!$E$2:$E$8, "*"&amp;D321&amp;"*")&gt;0, Sayfa2!$E$1, "Bulunamadı")))))</f>
        <v>PAZARTESİ</v>
      </c>
    </row>
    <row r="322" spans="1:5" hidden="1" x14ac:dyDescent="0.25">
      <c r="A322" t="s">
        <v>1870</v>
      </c>
      <c r="B322" t="s">
        <v>387</v>
      </c>
      <c r="C322" t="s">
        <v>1857</v>
      </c>
      <c r="D322" s="4" t="s">
        <v>3073</v>
      </c>
      <c r="E322" t="str">
        <f>IF(COUNTIF(Sayfa2!$A$2:$A$8,"*"&amp;D322&amp;"*")&gt;0, Sayfa2!$A$1,
 IF(COUNTIF(Sayfa2!$B$2:$B$8, "*"&amp;D322&amp;"*")&gt;0, Sayfa2!$B$1,
 IF(COUNTIF(Sayfa2!$C$2:$C$8, "*"&amp;D322&amp;"*")&gt;0, Sayfa2!$C$1,
 IF(COUNTIF(Sayfa2!$D$2:$D$8,"*"&amp;D322&amp;"*")&gt;0, Sayfa2!$D$1,
 IF(COUNTIF(Sayfa2!$E$2:$E$8, "*"&amp;D322&amp;"*")&gt;0, Sayfa2!$E$1, "Bulunamadı")))))</f>
        <v>PAZARTESİ</v>
      </c>
    </row>
    <row r="323" spans="1:5" hidden="1" x14ac:dyDescent="0.25">
      <c r="A323" t="s">
        <v>1871</v>
      </c>
      <c r="B323" t="s">
        <v>388</v>
      </c>
      <c r="C323" t="s">
        <v>1857</v>
      </c>
      <c r="D323" s="4" t="s">
        <v>3073</v>
      </c>
      <c r="E323" t="str">
        <f>IF(COUNTIF(Sayfa2!$A$2:$A$8,"*"&amp;D323&amp;"*")&gt;0, Sayfa2!$A$1,
 IF(COUNTIF(Sayfa2!$B$2:$B$8, "*"&amp;D323&amp;"*")&gt;0, Sayfa2!$B$1,
 IF(COUNTIF(Sayfa2!$C$2:$C$8, "*"&amp;D323&amp;"*")&gt;0, Sayfa2!$C$1,
 IF(COUNTIF(Sayfa2!$D$2:$D$8,"*"&amp;D323&amp;"*")&gt;0, Sayfa2!$D$1,
 IF(COUNTIF(Sayfa2!$E$2:$E$8, "*"&amp;D323&amp;"*")&gt;0, Sayfa2!$E$1, "Bulunamadı")))))</f>
        <v>PAZARTESİ</v>
      </c>
    </row>
    <row r="324" spans="1:5" hidden="1" x14ac:dyDescent="0.25">
      <c r="A324" t="s">
        <v>1872</v>
      </c>
      <c r="B324" t="s">
        <v>389</v>
      </c>
      <c r="C324" t="s">
        <v>1857</v>
      </c>
      <c r="D324" s="4" t="s">
        <v>3073</v>
      </c>
      <c r="E324" t="str">
        <f>IF(COUNTIF(Sayfa2!$A$2:$A$8,"*"&amp;D324&amp;"*")&gt;0, Sayfa2!$A$1,
 IF(COUNTIF(Sayfa2!$B$2:$B$8, "*"&amp;D324&amp;"*")&gt;0, Sayfa2!$B$1,
 IF(COUNTIF(Sayfa2!$C$2:$C$8, "*"&amp;D324&amp;"*")&gt;0, Sayfa2!$C$1,
 IF(COUNTIF(Sayfa2!$D$2:$D$8,"*"&amp;D324&amp;"*")&gt;0, Sayfa2!$D$1,
 IF(COUNTIF(Sayfa2!$E$2:$E$8, "*"&amp;D324&amp;"*")&gt;0, Sayfa2!$E$1, "Bulunamadı")))))</f>
        <v>PAZARTESİ</v>
      </c>
    </row>
    <row r="325" spans="1:5" hidden="1" x14ac:dyDescent="0.25">
      <c r="A325" t="s">
        <v>1873</v>
      </c>
      <c r="B325" t="s">
        <v>390</v>
      </c>
      <c r="C325" t="s">
        <v>1857</v>
      </c>
      <c r="D325" s="4" t="s">
        <v>3073</v>
      </c>
      <c r="E325" t="str">
        <f>IF(COUNTIF(Sayfa2!$A$2:$A$8,"*"&amp;D325&amp;"*")&gt;0, Sayfa2!$A$1,
 IF(COUNTIF(Sayfa2!$B$2:$B$8, "*"&amp;D325&amp;"*")&gt;0, Sayfa2!$B$1,
 IF(COUNTIF(Sayfa2!$C$2:$C$8, "*"&amp;D325&amp;"*")&gt;0, Sayfa2!$C$1,
 IF(COUNTIF(Sayfa2!$D$2:$D$8,"*"&amp;D325&amp;"*")&gt;0, Sayfa2!$D$1,
 IF(COUNTIF(Sayfa2!$E$2:$E$8, "*"&amp;D325&amp;"*")&gt;0, Sayfa2!$E$1, "Bulunamadı")))))</f>
        <v>PAZARTESİ</v>
      </c>
    </row>
    <row r="326" spans="1:5" hidden="1" x14ac:dyDescent="0.25">
      <c r="A326" t="s">
        <v>1874</v>
      </c>
      <c r="B326" t="s">
        <v>391</v>
      </c>
      <c r="C326" t="s">
        <v>1857</v>
      </c>
      <c r="D326" s="4" t="s">
        <v>3073</v>
      </c>
      <c r="E326" t="str">
        <f>IF(COUNTIF(Sayfa2!$A$2:$A$8,"*"&amp;D326&amp;"*")&gt;0, Sayfa2!$A$1,
 IF(COUNTIF(Sayfa2!$B$2:$B$8, "*"&amp;D326&amp;"*")&gt;0, Sayfa2!$B$1,
 IF(COUNTIF(Sayfa2!$C$2:$C$8, "*"&amp;D326&amp;"*")&gt;0, Sayfa2!$C$1,
 IF(COUNTIF(Sayfa2!$D$2:$D$8,"*"&amp;D326&amp;"*")&gt;0, Sayfa2!$D$1,
 IF(COUNTIF(Sayfa2!$E$2:$E$8, "*"&amp;D326&amp;"*")&gt;0, Sayfa2!$E$1, "Bulunamadı")))))</f>
        <v>PAZARTESİ</v>
      </c>
    </row>
    <row r="327" spans="1:5" hidden="1" x14ac:dyDescent="0.25">
      <c r="A327" t="s">
        <v>1875</v>
      </c>
      <c r="B327" t="s">
        <v>392</v>
      </c>
      <c r="C327" t="s">
        <v>1857</v>
      </c>
      <c r="D327" s="4" t="s">
        <v>3073</v>
      </c>
      <c r="E327" t="str">
        <f>IF(COUNTIF(Sayfa2!$A$2:$A$8,"*"&amp;D327&amp;"*")&gt;0, Sayfa2!$A$1,
 IF(COUNTIF(Sayfa2!$B$2:$B$8, "*"&amp;D327&amp;"*")&gt;0, Sayfa2!$B$1,
 IF(COUNTIF(Sayfa2!$C$2:$C$8, "*"&amp;D327&amp;"*")&gt;0, Sayfa2!$C$1,
 IF(COUNTIF(Sayfa2!$D$2:$D$8,"*"&amp;D327&amp;"*")&gt;0, Sayfa2!$D$1,
 IF(COUNTIF(Sayfa2!$E$2:$E$8, "*"&amp;D327&amp;"*")&gt;0, Sayfa2!$E$1, "Bulunamadı")))))</f>
        <v>PAZARTESİ</v>
      </c>
    </row>
    <row r="328" spans="1:5" hidden="1" x14ac:dyDescent="0.25">
      <c r="A328" t="s">
        <v>1876</v>
      </c>
      <c r="B328" t="s">
        <v>393</v>
      </c>
      <c r="C328" t="s">
        <v>1857</v>
      </c>
      <c r="D328" s="4" t="s">
        <v>3073</v>
      </c>
      <c r="E328" t="str">
        <f>IF(COUNTIF(Sayfa2!$A$2:$A$8,"*"&amp;D328&amp;"*")&gt;0, Sayfa2!$A$1,
 IF(COUNTIF(Sayfa2!$B$2:$B$8, "*"&amp;D328&amp;"*")&gt;0, Sayfa2!$B$1,
 IF(COUNTIF(Sayfa2!$C$2:$C$8, "*"&amp;D328&amp;"*")&gt;0, Sayfa2!$C$1,
 IF(COUNTIF(Sayfa2!$D$2:$D$8,"*"&amp;D328&amp;"*")&gt;0, Sayfa2!$D$1,
 IF(COUNTIF(Sayfa2!$E$2:$E$8, "*"&amp;D328&amp;"*")&gt;0, Sayfa2!$E$1, "Bulunamadı")))))</f>
        <v>PAZARTESİ</v>
      </c>
    </row>
    <row r="329" spans="1:5" hidden="1" x14ac:dyDescent="0.25">
      <c r="A329" t="s">
        <v>1877</v>
      </c>
      <c r="B329" t="s">
        <v>394</v>
      </c>
      <c r="C329" t="s">
        <v>1878</v>
      </c>
      <c r="D329" s="4" t="s">
        <v>3062</v>
      </c>
      <c r="E329" t="str">
        <f>IF(COUNTIF(Sayfa2!$A$2:$A$8,"*"&amp;D329&amp;"*")&gt;0, Sayfa2!$A$1,
 IF(COUNTIF(Sayfa2!$B$2:$B$8, "*"&amp;D329&amp;"*")&gt;0, Sayfa2!$B$1,
 IF(COUNTIF(Sayfa2!$C$2:$C$8, "*"&amp;D329&amp;"*")&gt;0, Sayfa2!$C$1,
 IF(COUNTIF(Sayfa2!$D$2:$D$8,"*"&amp;D329&amp;"*")&gt;0, Sayfa2!$D$1,
 IF(COUNTIF(Sayfa2!$E$2:$E$8, "*"&amp;D329&amp;"*")&gt;0, Sayfa2!$E$1, "Bulunamadı")))))</f>
        <v>CUMA</v>
      </c>
    </row>
    <row r="330" spans="1:5" hidden="1" x14ac:dyDescent="0.25">
      <c r="A330" t="s">
        <v>1879</v>
      </c>
      <c r="B330" t="s">
        <v>396</v>
      </c>
      <c r="C330" t="s">
        <v>1880</v>
      </c>
      <c r="D330" s="4" t="s">
        <v>3066</v>
      </c>
      <c r="E330" t="str">
        <f>IF(COUNTIF(Sayfa2!$A$2:$A$8,"*"&amp;D330&amp;"*")&gt;0, Sayfa2!$A$1,
 IF(COUNTIF(Sayfa2!$B$2:$B$8, "*"&amp;D330&amp;"*")&gt;0, Sayfa2!$B$1,
 IF(COUNTIF(Sayfa2!$C$2:$C$8, "*"&amp;D330&amp;"*")&gt;0, Sayfa2!$C$1,
 IF(COUNTIF(Sayfa2!$D$2:$D$8,"*"&amp;D330&amp;"*")&gt;0, Sayfa2!$D$1,
 IF(COUNTIF(Sayfa2!$E$2:$E$8, "*"&amp;D330&amp;"*")&gt;0, Sayfa2!$E$1, "Bulunamadı")))))</f>
        <v>PERŞEMBE</v>
      </c>
    </row>
    <row r="331" spans="1:5" hidden="1" x14ac:dyDescent="0.25">
      <c r="A331" t="s">
        <v>1881</v>
      </c>
      <c r="B331" t="s">
        <v>397</v>
      </c>
      <c r="C331" t="s">
        <v>1880</v>
      </c>
      <c r="D331" s="4" t="s">
        <v>3066</v>
      </c>
      <c r="E331" t="str">
        <f>IF(COUNTIF(Sayfa2!$A$2:$A$8,"*"&amp;D331&amp;"*")&gt;0, Sayfa2!$A$1,
 IF(COUNTIF(Sayfa2!$B$2:$B$8, "*"&amp;D331&amp;"*")&gt;0, Sayfa2!$B$1,
 IF(COUNTIF(Sayfa2!$C$2:$C$8, "*"&amp;D331&amp;"*")&gt;0, Sayfa2!$C$1,
 IF(COUNTIF(Sayfa2!$D$2:$D$8,"*"&amp;D331&amp;"*")&gt;0, Sayfa2!$D$1,
 IF(COUNTIF(Sayfa2!$E$2:$E$8, "*"&amp;D331&amp;"*")&gt;0, Sayfa2!$E$1, "Bulunamadı")))))</f>
        <v>PERŞEMBE</v>
      </c>
    </row>
    <row r="332" spans="1:5" hidden="1" x14ac:dyDescent="0.25">
      <c r="A332" t="s">
        <v>1882</v>
      </c>
      <c r="B332" t="s">
        <v>398</v>
      </c>
      <c r="C332" t="s">
        <v>1880</v>
      </c>
      <c r="D332" s="4" t="s">
        <v>3066</v>
      </c>
      <c r="E332" t="str">
        <f>IF(COUNTIF(Sayfa2!$A$2:$A$8,"*"&amp;D332&amp;"*")&gt;0, Sayfa2!$A$1,
 IF(COUNTIF(Sayfa2!$B$2:$B$8, "*"&amp;D332&amp;"*")&gt;0, Sayfa2!$B$1,
 IF(COUNTIF(Sayfa2!$C$2:$C$8, "*"&amp;D332&amp;"*")&gt;0, Sayfa2!$C$1,
 IF(COUNTIF(Sayfa2!$D$2:$D$8,"*"&amp;D332&amp;"*")&gt;0, Sayfa2!$D$1,
 IF(COUNTIF(Sayfa2!$E$2:$E$8, "*"&amp;D332&amp;"*")&gt;0, Sayfa2!$E$1, "Bulunamadı")))))</f>
        <v>PERŞEMBE</v>
      </c>
    </row>
    <row r="333" spans="1:5" hidden="1" x14ac:dyDescent="0.25">
      <c r="A333" t="s">
        <v>1883</v>
      </c>
      <c r="B333" t="s">
        <v>399</v>
      </c>
      <c r="C333" t="s">
        <v>1880</v>
      </c>
      <c r="D333" s="4" t="s">
        <v>3066</v>
      </c>
      <c r="E333" t="str">
        <f>IF(COUNTIF(Sayfa2!$A$2:$A$8,"*"&amp;D333&amp;"*")&gt;0, Sayfa2!$A$1,
 IF(COUNTIF(Sayfa2!$B$2:$B$8, "*"&amp;D333&amp;"*")&gt;0, Sayfa2!$B$1,
 IF(COUNTIF(Sayfa2!$C$2:$C$8, "*"&amp;D333&amp;"*")&gt;0, Sayfa2!$C$1,
 IF(COUNTIF(Sayfa2!$D$2:$D$8,"*"&amp;D333&amp;"*")&gt;0, Sayfa2!$D$1,
 IF(COUNTIF(Sayfa2!$E$2:$E$8, "*"&amp;D333&amp;"*")&gt;0, Sayfa2!$E$1, "Bulunamadı")))))</f>
        <v>PERŞEMBE</v>
      </c>
    </row>
    <row r="334" spans="1:5" hidden="1" x14ac:dyDescent="0.25">
      <c r="A334" t="s">
        <v>1884</v>
      </c>
      <c r="B334" t="s">
        <v>400</v>
      </c>
      <c r="C334" t="s">
        <v>1880</v>
      </c>
      <c r="D334" s="4" t="s">
        <v>3066</v>
      </c>
      <c r="E334" t="str">
        <f>IF(COUNTIF(Sayfa2!$A$2:$A$8,"*"&amp;D334&amp;"*")&gt;0, Sayfa2!$A$1,
 IF(COUNTIF(Sayfa2!$B$2:$B$8, "*"&amp;D334&amp;"*")&gt;0, Sayfa2!$B$1,
 IF(COUNTIF(Sayfa2!$C$2:$C$8, "*"&amp;D334&amp;"*")&gt;0, Sayfa2!$C$1,
 IF(COUNTIF(Sayfa2!$D$2:$D$8,"*"&amp;D334&amp;"*")&gt;0, Sayfa2!$D$1,
 IF(COUNTIF(Sayfa2!$E$2:$E$8, "*"&amp;D334&amp;"*")&gt;0, Sayfa2!$E$1, "Bulunamadı")))))</f>
        <v>PERŞEMBE</v>
      </c>
    </row>
    <row r="335" spans="1:5" hidden="1" x14ac:dyDescent="0.25">
      <c r="A335" t="s">
        <v>1885</v>
      </c>
      <c r="B335" t="s">
        <v>401</v>
      </c>
      <c r="C335" t="s">
        <v>1886</v>
      </c>
      <c r="D335" s="4" t="s">
        <v>3072</v>
      </c>
      <c r="E335" t="str">
        <f>IF(COUNTIF(Sayfa2!$A$2:$A$8,"*"&amp;D335&amp;"*")&gt;0, Sayfa2!$A$1,
 IF(COUNTIF(Sayfa2!$B$2:$B$8, "*"&amp;D335&amp;"*")&gt;0, Sayfa2!$B$1,
 IF(COUNTIF(Sayfa2!$C$2:$C$8, "*"&amp;D335&amp;"*")&gt;0, Sayfa2!$C$1,
 IF(COUNTIF(Sayfa2!$D$2:$D$8,"*"&amp;D335&amp;"*")&gt;0, Sayfa2!$D$1,
 IF(COUNTIF(Sayfa2!$E$2:$E$8, "*"&amp;D335&amp;"*")&gt;0, Sayfa2!$E$1, "Bulunamadı")))))</f>
        <v>CUMA</v>
      </c>
    </row>
    <row r="336" spans="1:5" hidden="1" x14ac:dyDescent="0.25">
      <c r="A336" t="s">
        <v>1887</v>
      </c>
      <c r="B336" t="s">
        <v>403</v>
      </c>
      <c r="C336" t="s">
        <v>1886</v>
      </c>
      <c r="D336" s="4" t="s">
        <v>3072</v>
      </c>
      <c r="E336" t="str">
        <f>IF(COUNTIF(Sayfa2!$A$2:$A$8,"*"&amp;D336&amp;"*")&gt;0, Sayfa2!$A$1,
 IF(COUNTIF(Sayfa2!$B$2:$B$8, "*"&amp;D336&amp;"*")&gt;0, Sayfa2!$B$1,
 IF(COUNTIF(Sayfa2!$C$2:$C$8, "*"&amp;D336&amp;"*")&gt;0, Sayfa2!$C$1,
 IF(COUNTIF(Sayfa2!$D$2:$D$8,"*"&amp;D336&amp;"*")&gt;0, Sayfa2!$D$1,
 IF(COUNTIF(Sayfa2!$E$2:$E$8, "*"&amp;D336&amp;"*")&gt;0, Sayfa2!$E$1, "Bulunamadı")))))</f>
        <v>CUMA</v>
      </c>
    </row>
    <row r="337" spans="1:5" hidden="1" x14ac:dyDescent="0.25">
      <c r="A337" t="s">
        <v>1888</v>
      </c>
      <c r="B337" t="s">
        <v>404</v>
      </c>
      <c r="C337" t="s">
        <v>1886</v>
      </c>
      <c r="D337" s="4" t="s">
        <v>3072</v>
      </c>
      <c r="E337" t="str">
        <f>IF(COUNTIF(Sayfa2!$A$2:$A$8,"*"&amp;D337&amp;"*")&gt;0, Sayfa2!$A$1,
 IF(COUNTIF(Sayfa2!$B$2:$B$8, "*"&amp;D337&amp;"*")&gt;0, Sayfa2!$B$1,
 IF(COUNTIF(Sayfa2!$C$2:$C$8, "*"&amp;D337&amp;"*")&gt;0, Sayfa2!$C$1,
 IF(COUNTIF(Sayfa2!$D$2:$D$8,"*"&amp;D337&amp;"*")&gt;0, Sayfa2!$D$1,
 IF(COUNTIF(Sayfa2!$E$2:$E$8, "*"&amp;D337&amp;"*")&gt;0, Sayfa2!$E$1, "Bulunamadı")))))</f>
        <v>CUMA</v>
      </c>
    </row>
    <row r="338" spans="1:5" hidden="1" x14ac:dyDescent="0.25">
      <c r="A338" t="s">
        <v>1889</v>
      </c>
      <c r="B338" t="s">
        <v>405</v>
      </c>
      <c r="C338" t="s">
        <v>1886</v>
      </c>
      <c r="D338" s="4" t="s">
        <v>3072</v>
      </c>
      <c r="E338" t="str">
        <f>IF(COUNTIF(Sayfa2!$A$2:$A$8,"*"&amp;D338&amp;"*")&gt;0, Sayfa2!$A$1,
 IF(COUNTIF(Sayfa2!$B$2:$B$8, "*"&amp;D338&amp;"*")&gt;0, Sayfa2!$B$1,
 IF(COUNTIF(Sayfa2!$C$2:$C$8, "*"&amp;D338&amp;"*")&gt;0, Sayfa2!$C$1,
 IF(COUNTIF(Sayfa2!$D$2:$D$8,"*"&amp;D338&amp;"*")&gt;0, Sayfa2!$D$1,
 IF(COUNTIF(Sayfa2!$E$2:$E$8, "*"&amp;D338&amp;"*")&gt;0, Sayfa2!$E$1, "Bulunamadı")))))</f>
        <v>CUMA</v>
      </c>
    </row>
    <row r="339" spans="1:5" hidden="1" x14ac:dyDescent="0.25">
      <c r="A339" t="s">
        <v>1890</v>
      </c>
      <c r="B339" t="s">
        <v>406</v>
      </c>
      <c r="C339" t="s">
        <v>1886</v>
      </c>
      <c r="D339" s="4" t="s">
        <v>3072</v>
      </c>
      <c r="E339" t="str">
        <f>IF(COUNTIF(Sayfa2!$A$2:$A$8,"*"&amp;D339&amp;"*")&gt;0, Sayfa2!$A$1,
 IF(COUNTIF(Sayfa2!$B$2:$B$8, "*"&amp;D339&amp;"*")&gt;0, Sayfa2!$B$1,
 IF(COUNTIF(Sayfa2!$C$2:$C$8, "*"&amp;D339&amp;"*")&gt;0, Sayfa2!$C$1,
 IF(COUNTIF(Sayfa2!$D$2:$D$8,"*"&amp;D339&amp;"*")&gt;0, Sayfa2!$D$1,
 IF(COUNTIF(Sayfa2!$E$2:$E$8, "*"&amp;D339&amp;"*")&gt;0, Sayfa2!$E$1, "Bulunamadı")))))</f>
        <v>CUMA</v>
      </c>
    </row>
    <row r="340" spans="1:5" hidden="1" x14ac:dyDescent="0.25">
      <c r="A340" t="s">
        <v>1891</v>
      </c>
      <c r="B340" t="s">
        <v>407</v>
      </c>
      <c r="C340" t="s">
        <v>1886</v>
      </c>
      <c r="D340" s="4" t="s">
        <v>3072</v>
      </c>
      <c r="E340" t="str">
        <f>IF(COUNTIF(Sayfa2!$A$2:$A$8,"*"&amp;D340&amp;"*")&gt;0, Sayfa2!$A$1,
 IF(COUNTIF(Sayfa2!$B$2:$B$8, "*"&amp;D340&amp;"*")&gt;0, Sayfa2!$B$1,
 IF(COUNTIF(Sayfa2!$C$2:$C$8, "*"&amp;D340&amp;"*")&gt;0, Sayfa2!$C$1,
 IF(COUNTIF(Sayfa2!$D$2:$D$8,"*"&amp;D340&amp;"*")&gt;0, Sayfa2!$D$1,
 IF(COUNTIF(Sayfa2!$E$2:$E$8, "*"&amp;D340&amp;"*")&gt;0, Sayfa2!$E$1, "Bulunamadı")))))</f>
        <v>CUMA</v>
      </c>
    </row>
    <row r="341" spans="1:5" hidden="1" x14ac:dyDescent="0.25">
      <c r="A341" t="s">
        <v>1892</v>
      </c>
      <c r="B341" t="s">
        <v>408</v>
      </c>
      <c r="C341" t="s">
        <v>1886</v>
      </c>
      <c r="D341" s="4" t="s">
        <v>3072</v>
      </c>
      <c r="E341" t="str">
        <f>IF(COUNTIF(Sayfa2!$A$2:$A$8,"*"&amp;D341&amp;"*")&gt;0, Sayfa2!$A$1,
 IF(COUNTIF(Sayfa2!$B$2:$B$8, "*"&amp;D341&amp;"*")&gt;0, Sayfa2!$B$1,
 IF(COUNTIF(Sayfa2!$C$2:$C$8, "*"&amp;D341&amp;"*")&gt;0, Sayfa2!$C$1,
 IF(COUNTIF(Sayfa2!$D$2:$D$8,"*"&amp;D341&amp;"*")&gt;0, Sayfa2!$D$1,
 IF(COUNTIF(Sayfa2!$E$2:$E$8, "*"&amp;D341&amp;"*")&gt;0, Sayfa2!$E$1, "Bulunamadı")))))</f>
        <v>CUMA</v>
      </c>
    </row>
    <row r="342" spans="1:5" hidden="1" x14ac:dyDescent="0.25">
      <c r="A342" t="s">
        <v>1893</v>
      </c>
      <c r="B342" t="s">
        <v>409</v>
      </c>
      <c r="C342" t="s">
        <v>1886</v>
      </c>
      <c r="D342" s="4" t="s">
        <v>3072</v>
      </c>
      <c r="E342" t="str">
        <f>IF(COUNTIF(Sayfa2!$A$2:$A$8,"*"&amp;D342&amp;"*")&gt;0, Sayfa2!$A$1,
 IF(COUNTIF(Sayfa2!$B$2:$B$8, "*"&amp;D342&amp;"*")&gt;0, Sayfa2!$B$1,
 IF(COUNTIF(Sayfa2!$C$2:$C$8, "*"&amp;D342&amp;"*")&gt;0, Sayfa2!$C$1,
 IF(COUNTIF(Sayfa2!$D$2:$D$8,"*"&amp;D342&amp;"*")&gt;0, Sayfa2!$D$1,
 IF(COUNTIF(Sayfa2!$E$2:$E$8, "*"&amp;D342&amp;"*")&gt;0, Sayfa2!$E$1, "Bulunamadı")))))</f>
        <v>CUMA</v>
      </c>
    </row>
    <row r="343" spans="1:5" hidden="1" x14ac:dyDescent="0.25">
      <c r="A343" t="s">
        <v>1894</v>
      </c>
      <c r="B343" t="s">
        <v>410</v>
      </c>
      <c r="C343" t="s">
        <v>1886</v>
      </c>
      <c r="D343" s="4" t="s">
        <v>3072</v>
      </c>
      <c r="E343" t="str">
        <f>IF(COUNTIF(Sayfa2!$A$2:$A$8,"*"&amp;D343&amp;"*")&gt;0, Sayfa2!$A$1,
 IF(COUNTIF(Sayfa2!$B$2:$B$8, "*"&amp;D343&amp;"*")&gt;0, Sayfa2!$B$1,
 IF(COUNTIF(Sayfa2!$C$2:$C$8, "*"&amp;D343&amp;"*")&gt;0, Sayfa2!$C$1,
 IF(COUNTIF(Sayfa2!$D$2:$D$8,"*"&amp;D343&amp;"*")&gt;0, Sayfa2!$D$1,
 IF(COUNTIF(Sayfa2!$E$2:$E$8, "*"&amp;D343&amp;"*")&gt;0, Sayfa2!$E$1, "Bulunamadı")))))</f>
        <v>CUMA</v>
      </c>
    </row>
    <row r="344" spans="1:5" hidden="1" x14ac:dyDescent="0.25">
      <c r="A344" t="s">
        <v>1895</v>
      </c>
      <c r="B344" t="s">
        <v>411</v>
      </c>
      <c r="C344" t="s">
        <v>1886</v>
      </c>
      <c r="D344" s="4" t="s">
        <v>3072</v>
      </c>
      <c r="E344" t="str">
        <f>IF(COUNTIF(Sayfa2!$A$2:$A$8,"*"&amp;D344&amp;"*")&gt;0, Sayfa2!$A$1,
 IF(COUNTIF(Sayfa2!$B$2:$B$8, "*"&amp;D344&amp;"*")&gt;0, Sayfa2!$B$1,
 IF(COUNTIF(Sayfa2!$C$2:$C$8, "*"&amp;D344&amp;"*")&gt;0, Sayfa2!$C$1,
 IF(COUNTIF(Sayfa2!$D$2:$D$8,"*"&amp;D344&amp;"*")&gt;0, Sayfa2!$D$1,
 IF(COUNTIF(Sayfa2!$E$2:$E$8, "*"&amp;D344&amp;"*")&gt;0, Sayfa2!$E$1, "Bulunamadı")))))</f>
        <v>CUMA</v>
      </c>
    </row>
    <row r="345" spans="1:5" hidden="1" x14ac:dyDescent="0.25">
      <c r="A345" t="s">
        <v>1896</v>
      </c>
      <c r="B345" t="s">
        <v>412</v>
      </c>
      <c r="C345" t="s">
        <v>1886</v>
      </c>
      <c r="D345" s="4" t="s">
        <v>3072</v>
      </c>
      <c r="E345" t="str">
        <f>IF(COUNTIF(Sayfa2!$A$2:$A$8,"*"&amp;D345&amp;"*")&gt;0, Sayfa2!$A$1,
 IF(COUNTIF(Sayfa2!$B$2:$B$8, "*"&amp;D345&amp;"*")&gt;0, Sayfa2!$B$1,
 IF(COUNTIF(Sayfa2!$C$2:$C$8, "*"&amp;D345&amp;"*")&gt;0, Sayfa2!$C$1,
 IF(COUNTIF(Sayfa2!$D$2:$D$8,"*"&amp;D345&amp;"*")&gt;0, Sayfa2!$D$1,
 IF(COUNTIF(Sayfa2!$E$2:$E$8, "*"&amp;D345&amp;"*")&gt;0, Sayfa2!$E$1, "Bulunamadı")))))</f>
        <v>CUMA</v>
      </c>
    </row>
    <row r="346" spans="1:5" hidden="1" x14ac:dyDescent="0.25">
      <c r="A346" t="s">
        <v>1897</v>
      </c>
      <c r="B346" t="s">
        <v>413</v>
      </c>
      <c r="C346" t="s">
        <v>1886</v>
      </c>
      <c r="D346" s="4" t="s">
        <v>3072</v>
      </c>
      <c r="E346" t="str">
        <f>IF(COUNTIF(Sayfa2!$A$2:$A$8,"*"&amp;D346&amp;"*")&gt;0, Sayfa2!$A$1,
 IF(COUNTIF(Sayfa2!$B$2:$B$8, "*"&amp;D346&amp;"*")&gt;0, Sayfa2!$B$1,
 IF(COUNTIF(Sayfa2!$C$2:$C$8, "*"&amp;D346&amp;"*")&gt;0, Sayfa2!$C$1,
 IF(COUNTIF(Sayfa2!$D$2:$D$8,"*"&amp;D346&amp;"*")&gt;0, Sayfa2!$D$1,
 IF(COUNTIF(Sayfa2!$E$2:$E$8, "*"&amp;D346&amp;"*")&gt;0, Sayfa2!$E$1, "Bulunamadı")))))</f>
        <v>CUMA</v>
      </c>
    </row>
    <row r="347" spans="1:5" hidden="1" x14ac:dyDescent="0.25">
      <c r="A347" t="s">
        <v>1898</v>
      </c>
      <c r="B347" t="s">
        <v>414</v>
      </c>
      <c r="C347" t="s">
        <v>1886</v>
      </c>
      <c r="D347" s="4" t="s">
        <v>3072</v>
      </c>
      <c r="E347" t="str">
        <f>IF(COUNTIF(Sayfa2!$A$2:$A$8,"*"&amp;D347&amp;"*")&gt;0, Sayfa2!$A$1,
 IF(COUNTIF(Sayfa2!$B$2:$B$8, "*"&amp;D347&amp;"*")&gt;0, Sayfa2!$B$1,
 IF(COUNTIF(Sayfa2!$C$2:$C$8, "*"&amp;D347&amp;"*")&gt;0, Sayfa2!$C$1,
 IF(COUNTIF(Sayfa2!$D$2:$D$8,"*"&amp;D347&amp;"*")&gt;0, Sayfa2!$D$1,
 IF(COUNTIF(Sayfa2!$E$2:$E$8, "*"&amp;D347&amp;"*")&gt;0, Sayfa2!$E$1, "Bulunamadı")))))</f>
        <v>CUMA</v>
      </c>
    </row>
    <row r="348" spans="1:5" hidden="1" x14ac:dyDescent="0.25">
      <c r="A348" t="s">
        <v>1899</v>
      </c>
      <c r="B348" t="s">
        <v>415</v>
      </c>
      <c r="C348" t="s">
        <v>1886</v>
      </c>
      <c r="D348" s="4" t="s">
        <v>3072</v>
      </c>
      <c r="E348" t="str">
        <f>IF(COUNTIF(Sayfa2!$A$2:$A$8,"*"&amp;D348&amp;"*")&gt;0, Sayfa2!$A$1,
 IF(COUNTIF(Sayfa2!$B$2:$B$8, "*"&amp;D348&amp;"*")&gt;0, Sayfa2!$B$1,
 IF(COUNTIF(Sayfa2!$C$2:$C$8, "*"&amp;D348&amp;"*")&gt;0, Sayfa2!$C$1,
 IF(COUNTIF(Sayfa2!$D$2:$D$8,"*"&amp;D348&amp;"*")&gt;0, Sayfa2!$D$1,
 IF(COUNTIF(Sayfa2!$E$2:$E$8, "*"&amp;D348&amp;"*")&gt;0, Sayfa2!$E$1, "Bulunamadı")))))</f>
        <v>CUMA</v>
      </c>
    </row>
    <row r="349" spans="1:5" hidden="1" x14ac:dyDescent="0.25">
      <c r="A349" t="s">
        <v>1900</v>
      </c>
      <c r="B349" t="s">
        <v>416</v>
      </c>
      <c r="C349" t="s">
        <v>1886</v>
      </c>
      <c r="D349" s="4" t="s">
        <v>3072</v>
      </c>
      <c r="E349" t="str">
        <f>IF(COUNTIF(Sayfa2!$A$2:$A$8,"*"&amp;D349&amp;"*")&gt;0, Sayfa2!$A$1,
 IF(COUNTIF(Sayfa2!$B$2:$B$8, "*"&amp;D349&amp;"*")&gt;0, Sayfa2!$B$1,
 IF(COUNTIF(Sayfa2!$C$2:$C$8, "*"&amp;D349&amp;"*")&gt;0, Sayfa2!$C$1,
 IF(COUNTIF(Sayfa2!$D$2:$D$8,"*"&amp;D349&amp;"*")&gt;0, Sayfa2!$D$1,
 IF(COUNTIF(Sayfa2!$E$2:$E$8, "*"&amp;D349&amp;"*")&gt;0, Sayfa2!$E$1, "Bulunamadı")))))</f>
        <v>CUMA</v>
      </c>
    </row>
    <row r="350" spans="1:5" hidden="1" x14ac:dyDescent="0.25">
      <c r="A350" t="s">
        <v>1901</v>
      </c>
      <c r="B350" t="s">
        <v>417</v>
      </c>
      <c r="C350" t="s">
        <v>1902</v>
      </c>
      <c r="D350" s="4" t="s">
        <v>3066</v>
      </c>
      <c r="E350" t="str">
        <f>IF(COUNTIF(Sayfa2!$A$2:$A$8,"*"&amp;D350&amp;"*")&gt;0, Sayfa2!$A$1,
 IF(COUNTIF(Sayfa2!$B$2:$B$8, "*"&amp;D350&amp;"*")&gt;0, Sayfa2!$B$1,
 IF(COUNTIF(Sayfa2!$C$2:$C$8, "*"&amp;D350&amp;"*")&gt;0, Sayfa2!$C$1,
 IF(COUNTIF(Sayfa2!$D$2:$D$8,"*"&amp;D350&amp;"*")&gt;0, Sayfa2!$D$1,
 IF(COUNTIF(Sayfa2!$E$2:$E$8, "*"&amp;D350&amp;"*")&gt;0, Sayfa2!$E$1, "Bulunamadı")))))</f>
        <v>PERŞEMBE</v>
      </c>
    </row>
    <row r="351" spans="1:5" hidden="1" x14ac:dyDescent="0.25">
      <c r="A351" t="s">
        <v>1903</v>
      </c>
      <c r="B351" t="s">
        <v>418</v>
      </c>
      <c r="C351" t="s">
        <v>1904</v>
      </c>
      <c r="D351" s="4" t="s">
        <v>3065</v>
      </c>
      <c r="E351" t="str">
        <f>IF(COUNTIF(Sayfa2!$A$2:$A$8,"*"&amp;D351&amp;"*")&gt;0, Sayfa2!$A$1,
 IF(COUNTIF(Sayfa2!$B$2:$B$8, "*"&amp;D351&amp;"*")&gt;0, Sayfa2!$B$1,
 IF(COUNTIF(Sayfa2!$C$2:$C$8, "*"&amp;D351&amp;"*")&gt;0, Sayfa2!$C$1,
 IF(COUNTIF(Sayfa2!$D$2:$D$8,"*"&amp;D351&amp;"*")&gt;0, Sayfa2!$D$1,
 IF(COUNTIF(Sayfa2!$E$2:$E$8, "*"&amp;D351&amp;"*")&gt;0, Sayfa2!$E$1, "Bulunamadı")))))</f>
        <v>ÇARŞAMBA</v>
      </c>
    </row>
    <row r="352" spans="1:5" hidden="1" x14ac:dyDescent="0.25">
      <c r="A352" t="s">
        <v>1905</v>
      </c>
      <c r="B352" t="s">
        <v>419</v>
      </c>
      <c r="C352" t="s">
        <v>1904</v>
      </c>
      <c r="D352" s="4" t="s">
        <v>3065</v>
      </c>
      <c r="E352" t="str">
        <f>IF(COUNTIF(Sayfa2!$A$2:$A$8,"*"&amp;D352&amp;"*")&gt;0, Sayfa2!$A$1,
 IF(COUNTIF(Sayfa2!$B$2:$B$8, "*"&amp;D352&amp;"*")&gt;0, Sayfa2!$B$1,
 IF(COUNTIF(Sayfa2!$C$2:$C$8, "*"&amp;D352&amp;"*")&gt;0, Sayfa2!$C$1,
 IF(COUNTIF(Sayfa2!$D$2:$D$8,"*"&amp;D352&amp;"*")&gt;0, Sayfa2!$D$1,
 IF(COUNTIF(Sayfa2!$E$2:$E$8, "*"&amp;D352&amp;"*")&gt;0, Sayfa2!$E$1, "Bulunamadı")))))</f>
        <v>ÇARŞAMBA</v>
      </c>
    </row>
    <row r="353" spans="1:5" hidden="1" x14ac:dyDescent="0.25">
      <c r="A353" t="s">
        <v>1906</v>
      </c>
      <c r="B353" t="s">
        <v>420</v>
      </c>
      <c r="C353" t="s">
        <v>1902</v>
      </c>
      <c r="D353" s="4" t="s">
        <v>3066</v>
      </c>
      <c r="E353" t="str">
        <f>IF(COUNTIF(Sayfa2!$A$2:$A$8,"*"&amp;D353&amp;"*")&gt;0, Sayfa2!$A$1,
 IF(COUNTIF(Sayfa2!$B$2:$B$8, "*"&amp;D353&amp;"*")&gt;0, Sayfa2!$B$1,
 IF(COUNTIF(Sayfa2!$C$2:$C$8, "*"&amp;D353&amp;"*")&gt;0, Sayfa2!$C$1,
 IF(COUNTIF(Sayfa2!$D$2:$D$8,"*"&amp;D353&amp;"*")&gt;0, Sayfa2!$D$1,
 IF(COUNTIF(Sayfa2!$E$2:$E$8, "*"&amp;D353&amp;"*")&gt;0, Sayfa2!$E$1, "Bulunamadı")))))</f>
        <v>PERŞEMBE</v>
      </c>
    </row>
    <row r="354" spans="1:5" hidden="1" x14ac:dyDescent="0.25">
      <c r="A354" t="s">
        <v>1907</v>
      </c>
      <c r="B354" t="s">
        <v>421</v>
      </c>
      <c r="C354" t="s">
        <v>1902</v>
      </c>
      <c r="D354" s="4" t="s">
        <v>3066</v>
      </c>
      <c r="E354" t="str">
        <f>IF(COUNTIF(Sayfa2!$A$2:$A$8,"*"&amp;D354&amp;"*")&gt;0, Sayfa2!$A$1,
 IF(COUNTIF(Sayfa2!$B$2:$B$8, "*"&amp;D354&amp;"*")&gt;0, Sayfa2!$B$1,
 IF(COUNTIF(Sayfa2!$C$2:$C$8, "*"&amp;D354&amp;"*")&gt;0, Sayfa2!$C$1,
 IF(COUNTIF(Sayfa2!$D$2:$D$8,"*"&amp;D354&amp;"*")&gt;0, Sayfa2!$D$1,
 IF(COUNTIF(Sayfa2!$E$2:$E$8, "*"&amp;D354&amp;"*")&gt;0, Sayfa2!$E$1, "Bulunamadı")))))</f>
        <v>PERŞEMBE</v>
      </c>
    </row>
    <row r="355" spans="1:5" hidden="1" x14ac:dyDescent="0.25">
      <c r="A355" t="s">
        <v>1908</v>
      </c>
      <c r="B355" t="s">
        <v>422</v>
      </c>
      <c r="C355" t="s">
        <v>1902</v>
      </c>
      <c r="D355" s="4" t="s">
        <v>3066</v>
      </c>
      <c r="E355" t="str">
        <f>IF(COUNTIF(Sayfa2!$A$2:$A$8,"*"&amp;D355&amp;"*")&gt;0, Sayfa2!$A$1,
 IF(COUNTIF(Sayfa2!$B$2:$B$8, "*"&amp;D355&amp;"*")&gt;0, Sayfa2!$B$1,
 IF(COUNTIF(Sayfa2!$C$2:$C$8, "*"&amp;D355&amp;"*")&gt;0, Sayfa2!$C$1,
 IF(COUNTIF(Sayfa2!$D$2:$D$8,"*"&amp;D355&amp;"*")&gt;0, Sayfa2!$D$1,
 IF(COUNTIF(Sayfa2!$E$2:$E$8, "*"&amp;D355&amp;"*")&gt;0, Sayfa2!$E$1, "Bulunamadı")))))</f>
        <v>PERŞEMBE</v>
      </c>
    </row>
    <row r="356" spans="1:5" hidden="1" x14ac:dyDescent="0.25">
      <c r="A356" t="s">
        <v>1909</v>
      </c>
      <c r="B356" t="s">
        <v>423</v>
      </c>
      <c r="C356" t="s">
        <v>1904</v>
      </c>
      <c r="D356" s="4" t="s">
        <v>3065</v>
      </c>
      <c r="E356" t="str">
        <f>IF(COUNTIF(Sayfa2!$A$2:$A$8,"*"&amp;D356&amp;"*")&gt;0, Sayfa2!$A$1,
 IF(COUNTIF(Sayfa2!$B$2:$B$8, "*"&amp;D356&amp;"*")&gt;0, Sayfa2!$B$1,
 IF(COUNTIF(Sayfa2!$C$2:$C$8, "*"&amp;D356&amp;"*")&gt;0, Sayfa2!$C$1,
 IF(COUNTIF(Sayfa2!$D$2:$D$8,"*"&amp;D356&amp;"*")&gt;0, Sayfa2!$D$1,
 IF(COUNTIF(Sayfa2!$E$2:$E$8, "*"&amp;D356&amp;"*")&gt;0, Sayfa2!$E$1, "Bulunamadı")))))</f>
        <v>ÇARŞAMBA</v>
      </c>
    </row>
    <row r="357" spans="1:5" hidden="1" x14ac:dyDescent="0.25">
      <c r="A357" t="s">
        <v>1910</v>
      </c>
      <c r="B357" t="s">
        <v>424</v>
      </c>
      <c r="C357" t="s">
        <v>1904</v>
      </c>
      <c r="D357" s="4" t="s">
        <v>3065</v>
      </c>
      <c r="E357" t="str">
        <f>IF(COUNTIF(Sayfa2!$A$2:$A$8,"*"&amp;D357&amp;"*")&gt;0, Sayfa2!$A$1,
 IF(COUNTIF(Sayfa2!$B$2:$B$8, "*"&amp;D357&amp;"*")&gt;0, Sayfa2!$B$1,
 IF(COUNTIF(Sayfa2!$C$2:$C$8, "*"&amp;D357&amp;"*")&gt;0, Sayfa2!$C$1,
 IF(COUNTIF(Sayfa2!$D$2:$D$8,"*"&amp;D357&amp;"*")&gt;0, Sayfa2!$D$1,
 IF(COUNTIF(Sayfa2!$E$2:$E$8, "*"&amp;D357&amp;"*")&gt;0, Sayfa2!$E$1, "Bulunamadı")))))</f>
        <v>ÇARŞAMBA</v>
      </c>
    </row>
    <row r="358" spans="1:5" hidden="1" x14ac:dyDescent="0.25">
      <c r="A358" t="s">
        <v>1911</v>
      </c>
      <c r="B358" t="s">
        <v>425</v>
      </c>
      <c r="C358" t="s">
        <v>1904</v>
      </c>
      <c r="D358" s="4" t="s">
        <v>3065</v>
      </c>
      <c r="E358" t="str">
        <f>IF(COUNTIF(Sayfa2!$A$2:$A$8,"*"&amp;D358&amp;"*")&gt;0, Sayfa2!$A$1,
 IF(COUNTIF(Sayfa2!$B$2:$B$8, "*"&amp;D358&amp;"*")&gt;0, Sayfa2!$B$1,
 IF(COUNTIF(Sayfa2!$C$2:$C$8, "*"&amp;D358&amp;"*")&gt;0, Sayfa2!$C$1,
 IF(COUNTIF(Sayfa2!$D$2:$D$8,"*"&amp;D358&amp;"*")&gt;0, Sayfa2!$D$1,
 IF(COUNTIF(Sayfa2!$E$2:$E$8, "*"&amp;D358&amp;"*")&gt;0, Sayfa2!$E$1, "Bulunamadı")))))</f>
        <v>ÇARŞAMBA</v>
      </c>
    </row>
    <row r="359" spans="1:5" hidden="1" x14ac:dyDescent="0.25">
      <c r="A359" t="s">
        <v>1912</v>
      </c>
      <c r="B359" t="s">
        <v>426</v>
      </c>
      <c r="C359" t="s">
        <v>1913</v>
      </c>
      <c r="D359" s="4" t="s">
        <v>3062</v>
      </c>
      <c r="E359" t="str">
        <f>IF(COUNTIF(Sayfa2!$A$2:$A$8,"*"&amp;D359&amp;"*")&gt;0, Sayfa2!$A$1,
 IF(COUNTIF(Sayfa2!$B$2:$B$8, "*"&amp;D359&amp;"*")&gt;0, Sayfa2!$B$1,
 IF(COUNTIF(Sayfa2!$C$2:$C$8, "*"&amp;D359&amp;"*")&gt;0, Sayfa2!$C$1,
 IF(COUNTIF(Sayfa2!$D$2:$D$8,"*"&amp;D359&amp;"*")&gt;0, Sayfa2!$D$1,
 IF(COUNTIF(Sayfa2!$E$2:$E$8, "*"&amp;D359&amp;"*")&gt;0, Sayfa2!$E$1, "Bulunamadı")))))</f>
        <v>CUMA</v>
      </c>
    </row>
    <row r="360" spans="1:5" hidden="1" x14ac:dyDescent="0.25">
      <c r="A360" t="s">
        <v>1914</v>
      </c>
      <c r="B360" t="s">
        <v>427</v>
      </c>
      <c r="C360" t="s">
        <v>1915</v>
      </c>
      <c r="D360" s="4" t="s">
        <v>3063</v>
      </c>
      <c r="E360" t="str">
        <f>IF(COUNTIF(Sayfa2!$A$2:$A$8,"*"&amp;D360&amp;"*")&gt;0, Sayfa2!$A$1,
 IF(COUNTIF(Sayfa2!$B$2:$B$8, "*"&amp;D360&amp;"*")&gt;0, Sayfa2!$B$1,
 IF(COUNTIF(Sayfa2!$C$2:$C$8, "*"&amp;D360&amp;"*")&gt;0, Sayfa2!$C$1,
 IF(COUNTIF(Sayfa2!$D$2:$D$8,"*"&amp;D360&amp;"*")&gt;0, Sayfa2!$D$1,
 IF(COUNTIF(Sayfa2!$E$2:$E$8, "*"&amp;D360&amp;"*")&gt;0, Sayfa2!$E$1, "Bulunamadı")))))</f>
        <v>PAZARTESİ</v>
      </c>
    </row>
    <row r="361" spans="1:5" hidden="1" x14ac:dyDescent="0.25">
      <c r="A361" t="s">
        <v>1916</v>
      </c>
      <c r="B361" t="s">
        <v>428</v>
      </c>
      <c r="C361" t="s">
        <v>1915</v>
      </c>
      <c r="D361" s="4" t="s">
        <v>3063</v>
      </c>
      <c r="E361" t="str">
        <f>IF(COUNTIF(Sayfa2!$A$2:$A$8,"*"&amp;D361&amp;"*")&gt;0, Sayfa2!$A$1,
 IF(COUNTIF(Sayfa2!$B$2:$B$8, "*"&amp;D361&amp;"*")&gt;0, Sayfa2!$B$1,
 IF(COUNTIF(Sayfa2!$C$2:$C$8, "*"&amp;D361&amp;"*")&gt;0, Sayfa2!$C$1,
 IF(COUNTIF(Sayfa2!$D$2:$D$8,"*"&amp;D361&amp;"*")&gt;0, Sayfa2!$D$1,
 IF(COUNTIF(Sayfa2!$E$2:$E$8, "*"&amp;D361&amp;"*")&gt;0, Sayfa2!$E$1, "Bulunamadı")))))</f>
        <v>PAZARTESİ</v>
      </c>
    </row>
    <row r="362" spans="1:5" x14ac:dyDescent="0.25">
      <c r="A362" t="s">
        <v>1917</v>
      </c>
      <c r="B362" t="s">
        <v>429</v>
      </c>
      <c r="C362" t="s">
        <v>1918</v>
      </c>
      <c r="D362" s="4" t="s">
        <v>3101</v>
      </c>
      <c r="E362" t="str">
        <f>IF(COUNTIF(Sayfa2!$A$2:$A$8,"*"&amp;D362&amp;"*")&gt;0, Sayfa2!$A$1,
 IF(COUNTIF(Sayfa2!$B$2:$B$8, "*"&amp;D362&amp;"*")&gt;0, Sayfa2!$B$1,
 IF(COUNTIF(Sayfa2!$C$2:$C$8, "*"&amp;D362&amp;"*")&gt;0, Sayfa2!$C$1,
 IF(COUNTIF(Sayfa2!$D$2:$D$8,"*"&amp;D362&amp;"*")&gt;0, Sayfa2!$D$1,
 IF(COUNTIF(Sayfa2!$E$2:$E$8, "*"&amp;D362&amp;"*")&gt;0, Sayfa2!$E$1, "Bulunamadı")))))</f>
        <v>Bulunamadı</v>
      </c>
    </row>
    <row r="363" spans="1:5" hidden="1" x14ac:dyDescent="0.25">
      <c r="A363" t="s">
        <v>1919</v>
      </c>
      <c r="B363" t="s">
        <v>430</v>
      </c>
      <c r="C363" t="s">
        <v>1915</v>
      </c>
      <c r="D363" s="4" t="s">
        <v>3063</v>
      </c>
      <c r="E363" t="str">
        <f>IF(COUNTIF(Sayfa2!$A$2:$A$8,"*"&amp;D363&amp;"*")&gt;0, Sayfa2!$A$1,
 IF(COUNTIF(Sayfa2!$B$2:$B$8, "*"&amp;D363&amp;"*")&gt;0, Sayfa2!$B$1,
 IF(COUNTIF(Sayfa2!$C$2:$C$8, "*"&amp;D363&amp;"*")&gt;0, Sayfa2!$C$1,
 IF(COUNTIF(Sayfa2!$D$2:$D$8,"*"&amp;D363&amp;"*")&gt;0, Sayfa2!$D$1,
 IF(COUNTIF(Sayfa2!$E$2:$E$8, "*"&amp;D363&amp;"*")&gt;0, Sayfa2!$E$1, "Bulunamadı")))))</f>
        <v>PAZARTESİ</v>
      </c>
    </row>
    <row r="364" spans="1:5" hidden="1" x14ac:dyDescent="0.25">
      <c r="A364" t="s">
        <v>1920</v>
      </c>
      <c r="B364" t="s">
        <v>431</v>
      </c>
      <c r="C364" t="s">
        <v>1913</v>
      </c>
      <c r="D364" s="4" t="s">
        <v>3062</v>
      </c>
      <c r="E364" t="str">
        <f>IF(COUNTIF(Sayfa2!$A$2:$A$8,"*"&amp;D364&amp;"*")&gt;0, Sayfa2!$A$1,
 IF(COUNTIF(Sayfa2!$B$2:$B$8, "*"&amp;D364&amp;"*")&gt;0, Sayfa2!$B$1,
 IF(COUNTIF(Sayfa2!$C$2:$C$8, "*"&amp;D364&amp;"*")&gt;0, Sayfa2!$C$1,
 IF(COUNTIF(Sayfa2!$D$2:$D$8,"*"&amp;D364&amp;"*")&gt;0, Sayfa2!$D$1,
 IF(COUNTIF(Sayfa2!$E$2:$E$8, "*"&amp;D364&amp;"*")&gt;0, Sayfa2!$E$1, "Bulunamadı")))))</f>
        <v>CUMA</v>
      </c>
    </row>
    <row r="365" spans="1:5" hidden="1" x14ac:dyDescent="0.25">
      <c r="A365" t="s">
        <v>1921</v>
      </c>
      <c r="B365" t="s">
        <v>432</v>
      </c>
      <c r="C365" t="s">
        <v>1913</v>
      </c>
      <c r="D365" s="4" t="s">
        <v>3062</v>
      </c>
      <c r="E365" t="str">
        <f>IF(COUNTIF(Sayfa2!$A$2:$A$8,"*"&amp;D365&amp;"*")&gt;0, Sayfa2!$A$1,
 IF(COUNTIF(Sayfa2!$B$2:$B$8, "*"&amp;D365&amp;"*")&gt;0, Sayfa2!$B$1,
 IF(COUNTIF(Sayfa2!$C$2:$C$8, "*"&amp;D365&amp;"*")&gt;0, Sayfa2!$C$1,
 IF(COUNTIF(Sayfa2!$D$2:$D$8,"*"&amp;D365&amp;"*")&gt;0, Sayfa2!$D$1,
 IF(COUNTIF(Sayfa2!$E$2:$E$8, "*"&amp;D365&amp;"*")&gt;0, Sayfa2!$E$1, "Bulunamadı")))))</f>
        <v>CUMA</v>
      </c>
    </row>
    <row r="366" spans="1:5" hidden="1" x14ac:dyDescent="0.25">
      <c r="A366" t="s">
        <v>1922</v>
      </c>
      <c r="B366" t="s">
        <v>433</v>
      </c>
      <c r="C366" t="s">
        <v>1923</v>
      </c>
      <c r="D366" s="4" t="s">
        <v>3071</v>
      </c>
      <c r="E366" t="str">
        <f>IF(COUNTIF(Sayfa2!$A$2:$A$8,"*"&amp;D366&amp;"*")&gt;0, Sayfa2!$A$1,
 IF(COUNTIF(Sayfa2!$B$2:$B$8, "*"&amp;D366&amp;"*")&gt;0, Sayfa2!$B$1,
 IF(COUNTIF(Sayfa2!$C$2:$C$8, "*"&amp;D366&amp;"*")&gt;0, Sayfa2!$C$1,
 IF(COUNTIF(Sayfa2!$D$2:$D$8,"*"&amp;D366&amp;"*")&gt;0, Sayfa2!$D$1,
 IF(COUNTIF(Sayfa2!$E$2:$E$8, "*"&amp;D366&amp;"*")&gt;0, Sayfa2!$E$1, "Bulunamadı")))))</f>
        <v>PERŞEMBE</v>
      </c>
    </row>
    <row r="367" spans="1:5" hidden="1" x14ac:dyDescent="0.25">
      <c r="A367" t="s">
        <v>1924</v>
      </c>
      <c r="B367" t="s">
        <v>435</v>
      </c>
      <c r="C367" t="s">
        <v>1925</v>
      </c>
      <c r="D367" s="4" t="s">
        <v>3067</v>
      </c>
      <c r="E367" t="str">
        <f>IF(COUNTIF(Sayfa2!$A$2:$A$8,"*"&amp;D367&amp;"*")&gt;0, Sayfa2!$A$1,
 IF(COUNTIF(Sayfa2!$B$2:$B$8, "*"&amp;D367&amp;"*")&gt;0, Sayfa2!$B$1,
 IF(COUNTIF(Sayfa2!$C$2:$C$8, "*"&amp;D367&amp;"*")&gt;0, Sayfa2!$C$1,
 IF(COUNTIF(Sayfa2!$D$2:$D$8,"*"&amp;D367&amp;"*")&gt;0, Sayfa2!$D$1,
 IF(COUNTIF(Sayfa2!$E$2:$E$8, "*"&amp;D367&amp;"*")&gt;0, Sayfa2!$E$1, "Bulunamadı")))))</f>
        <v>CUMA</v>
      </c>
    </row>
    <row r="368" spans="1:5" hidden="1" x14ac:dyDescent="0.25">
      <c r="A368" t="s">
        <v>1926</v>
      </c>
      <c r="B368" t="s">
        <v>436</v>
      </c>
      <c r="C368" t="s">
        <v>1923</v>
      </c>
      <c r="D368" s="4" t="s">
        <v>3071</v>
      </c>
      <c r="E368" t="str">
        <f>IF(COUNTIF(Sayfa2!$A$2:$A$8,"*"&amp;D368&amp;"*")&gt;0, Sayfa2!$A$1,
 IF(COUNTIF(Sayfa2!$B$2:$B$8, "*"&amp;D368&amp;"*")&gt;0, Sayfa2!$B$1,
 IF(COUNTIF(Sayfa2!$C$2:$C$8, "*"&amp;D368&amp;"*")&gt;0, Sayfa2!$C$1,
 IF(COUNTIF(Sayfa2!$D$2:$D$8,"*"&amp;D368&amp;"*")&gt;0, Sayfa2!$D$1,
 IF(COUNTIF(Sayfa2!$E$2:$E$8, "*"&amp;D368&amp;"*")&gt;0, Sayfa2!$E$1, "Bulunamadı")))))</f>
        <v>PERŞEMBE</v>
      </c>
    </row>
    <row r="369" spans="1:5" hidden="1" x14ac:dyDescent="0.25">
      <c r="A369" t="s">
        <v>1927</v>
      </c>
      <c r="B369" t="s">
        <v>437</v>
      </c>
      <c r="C369" t="s">
        <v>1928</v>
      </c>
      <c r="D369" s="4" t="s">
        <v>3069</v>
      </c>
      <c r="E369" t="str">
        <f>IF(COUNTIF(Sayfa2!$A$2:$A$8,"*"&amp;D369&amp;"*")&gt;0, Sayfa2!$A$1,
 IF(COUNTIF(Sayfa2!$B$2:$B$8, "*"&amp;D369&amp;"*")&gt;0, Sayfa2!$B$1,
 IF(COUNTIF(Sayfa2!$C$2:$C$8, "*"&amp;D369&amp;"*")&gt;0, Sayfa2!$C$1,
 IF(COUNTIF(Sayfa2!$D$2:$D$8,"*"&amp;D369&amp;"*")&gt;0, Sayfa2!$D$1,
 IF(COUNTIF(Sayfa2!$E$2:$E$8, "*"&amp;D369&amp;"*")&gt;0, Sayfa2!$E$1, "Bulunamadı")))))</f>
        <v>SALI</v>
      </c>
    </row>
    <row r="370" spans="1:5" hidden="1" x14ac:dyDescent="0.25">
      <c r="A370" t="s">
        <v>1929</v>
      </c>
      <c r="B370" t="s">
        <v>439</v>
      </c>
      <c r="C370" t="s">
        <v>1930</v>
      </c>
      <c r="D370" s="4" t="s">
        <v>3066</v>
      </c>
      <c r="E370" t="str">
        <f>IF(COUNTIF(Sayfa2!$A$2:$A$8,"*"&amp;D370&amp;"*")&gt;0, Sayfa2!$A$1,
 IF(COUNTIF(Sayfa2!$B$2:$B$8, "*"&amp;D370&amp;"*")&gt;0, Sayfa2!$B$1,
 IF(COUNTIF(Sayfa2!$C$2:$C$8, "*"&amp;D370&amp;"*")&gt;0, Sayfa2!$C$1,
 IF(COUNTIF(Sayfa2!$D$2:$D$8,"*"&amp;D370&amp;"*")&gt;0, Sayfa2!$D$1,
 IF(COUNTIF(Sayfa2!$E$2:$E$8, "*"&amp;D370&amp;"*")&gt;0, Sayfa2!$E$1, "Bulunamadı")))))</f>
        <v>PERŞEMBE</v>
      </c>
    </row>
    <row r="371" spans="1:5" hidden="1" x14ac:dyDescent="0.25">
      <c r="A371" t="s">
        <v>1931</v>
      </c>
      <c r="B371" t="s">
        <v>440</v>
      </c>
      <c r="C371" t="s">
        <v>1932</v>
      </c>
      <c r="D371" s="4" t="s">
        <v>3065</v>
      </c>
      <c r="E371" t="str">
        <f>IF(COUNTIF(Sayfa2!$A$2:$A$8,"*"&amp;D371&amp;"*")&gt;0, Sayfa2!$A$1,
 IF(COUNTIF(Sayfa2!$B$2:$B$8, "*"&amp;D371&amp;"*")&gt;0, Sayfa2!$B$1,
 IF(COUNTIF(Sayfa2!$C$2:$C$8, "*"&amp;D371&amp;"*")&gt;0, Sayfa2!$C$1,
 IF(COUNTIF(Sayfa2!$D$2:$D$8,"*"&amp;D371&amp;"*")&gt;0, Sayfa2!$D$1,
 IF(COUNTIF(Sayfa2!$E$2:$E$8, "*"&amp;D371&amp;"*")&gt;0, Sayfa2!$E$1, "Bulunamadı")))))</f>
        <v>ÇARŞAMBA</v>
      </c>
    </row>
    <row r="372" spans="1:5" hidden="1" x14ac:dyDescent="0.25">
      <c r="A372" t="s">
        <v>1933</v>
      </c>
      <c r="B372" t="s">
        <v>441</v>
      </c>
      <c r="C372" t="s">
        <v>1930</v>
      </c>
      <c r="D372" s="4" t="s">
        <v>3066</v>
      </c>
      <c r="E372" t="str">
        <f>IF(COUNTIF(Sayfa2!$A$2:$A$8,"*"&amp;D372&amp;"*")&gt;0, Sayfa2!$A$1,
 IF(COUNTIF(Sayfa2!$B$2:$B$8, "*"&amp;D372&amp;"*")&gt;0, Sayfa2!$B$1,
 IF(COUNTIF(Sayfa2!$C$2:$C$8, "*"&amp;D372&amp;"*")&gt;0, Sayfa2!$C$1,
 IF(COUNTIF(Sayfa2!$D$2:$D$8,"*"&amp;D372&amp;"*")&gt;0, Sayfa2!$D$1,
 IF(COUNTIF(Sayfa2!$E$2:$E$8, "*"&amp;D372&amp;"*")&gt;0, Sayfa2!$E$1, "Bulunamadı")))))</f>
        <v>PERŞEMBE</v>
      </c>
    </row>
    <row r="373" spans="1:5" hidden="1" x14ac:dyDescent="0.25">
      <c r="A373" t="s">
        <v>1934</v>
      </c>
      <c r="B373" t="s">
        <v>442</v>
      </c>
      <c r="C373" t="s">
        <v>1932</v>
      </c>
      <c r="D373" s="4" t="s">
        <v>3065</v>
      </c>
      <c r="E373" t="str">
        <f>IF(COUNTIF(Sayfa2!$A$2:$A$8,"*"&amp;D373&amp;"*")&gt;0, Sayfa2!$A$1,
 IF(COUNTIF(Sayfa2!$B$2:$B$8, "*"&amp;D373&amp;"*")&gt;0, Sayfa2!$B$1,
 IF(COUNTIF(Sayfa2!$C$2:$C$8, "*"&amp;D373&amp;"*")&gt;0, Sayfa2!$C$1,
 IF(COUNTIF(Sayfa2!$D$2:$D$8,"*"&amp;D373&amp;"*")&gt;0, Sayfa2!$D$1,
 IF(COUNTIF(Sayfa2!$E$2:$E$8, "*"&amp;D373&amp;"*")&gt;0, Sayfa2!$E$1, "Bulunamadı")))))</f>
        <v>ÇARŞAMBA</v>
      </c>
    </row>
    <row r="374" spans="1:5" hidden="1" x14ac:dyDescent="0.25">
      <c r="A374" t="s">
        <v>1935</v>
      </c>
      <c r="B374" t="s">
        <v>443</v>
      </c>
      <c r="C374" t="s">
        <v>1930</v>
      </c>
      <c r="D374" s="4" t="s">
        <v>3066</v>
      </c>
      <c r="E374" t="str">
        <f>IF(COUNTIF(Sayfa2!$A$2:$A$8,"*"&amp;D374&amp;"*")&gt;0, Sayfa2!$A$1,
 IF(COUNTIF(Sayfa2!$B$2:$B$8, "*"&amp;D374&amp;"*")&gt;0, Sayfa2!$B$1,
 IF(COUNTIF(Sayfa2!$C$2:$C$8, "*"&amp;D374&amp;"*")&gt;0, Sayfa2!$C$1,
 IF(COUNTIF(Sayfa2!$D$2:$D$8,"*"&amp;D374&amp;"*")&gt;0, Sayfa2!$D$1,
 IF(COUNTIF(Sayfa2!$E$2:$E$8, "*"&amp;D374&amp;"*")&gt;0, Sayfa2!$E$1, "Bulunamadı")))))</f>
        <v>PERŞEMBE</v>
      </c>
    </row>
    <row r="375" spans="1:5" hidden="1" x14ac:dyDescent="0.25">
      <c r="A375" t="s">
        <v>1936</v>
      </c>
      <c r="B375" t="s">
        <v>444</v>
      </c>
      <c r="C375" t="s">
        <v>1932</v>
      </c>
      <c r="D375" s="4" t="s">
        <v>3065</v>
      </c>
      <c r="E375" t="str">
        <f>IF(COUNTIF(Sayfa2!$A$2:$A$8,"*"&amp;D375&amp;"*")&gt;0, Sayfa2!$A$1,
 IF(COUNTIF(Sayfa2!$B$2:$B$8, "*"&amp;D375&amp;"*")&gt;0, Sayfa2!$B$1,
 IF(COUNTIF(Sayfa2!$C$2:$C$8, "*"&amp;D375&amp;"*")&gt;0, Sayfa2!$C$1,
 IF(COUNTIF(Sayfa2!$D$2:$D$8,"*"&amp;D375&amp;"*")&gt;0, Sayfa2!$D$1,
 IF(COUNTIF(Sayfa2!$E$2:$E$8, "*"&amp;D375&amp;"*")&gt;0, Sayfa2!$E$1, "Bulunamadı")))))</f>
        <v>ÇARŞAMBA</v>
      </c>
    </row>
    <row r="376" spans="1:5" hidden="1" x14ac:dyDescent="0.25">
      <c r="A376" t="s">
        <v>1937</v>
      </c>
      <c r="B376" t="s">
        <v>445</v>
      </c>
      <c r="C376" t="s">
        <v>1932</v>
      </c>
      <c r="D376" s="4" t="s">
        <v>3065</v>
      </c>
      <c r="E376" t="str">
        <f>IF(COUNTIF(Sayfa2!$A$2:$A$8,"*"&amp;D376&amp;"*")&gt;0, Sayfa2!$A$1,
 IF(COUNTIF(Sayfa2!$B$2:$B$8, "*"&amp;D376&amp;"*")&gt;0, Sayfa2!$B$1,
 IF(COUNTIF(Sayfa2!$C$2:$C$8, "*"&amp;D376&amp;"*")&gt;0, Sayfa2!$C$1,
 IF(COUNTIF(Sayfa2!$D$2:$D$8,"*"&amp;D376&amp;"*")&gt;0, Sayfa2!$D$1,
 IF(COUNTIF(Sayfa2!$E$2:$E$8, "*"&amp;D376&amp;"*")&gt;0, Sayfa2!$E$1, "Bulunamadı")))))</f>
        <v>ÇARŞAMBA</v>
      </c>
    </row>
    <row r="377" spans="1:5" hidden="1" x14ac:dyDescent="0.25">
      <c r="A377" t="s">
        <v>1938</v>
      </c>
      <c r="B377" t="s">
        <v>446</v>
      </c>
      <c r="C377" t="s">
        <v>1932</v>
      </c>
      <c r="D377" s="4" t="s">
        <v>3065</v>
      </c>
      <c r="E377" t="str">
        <f>IF(COUNTIF(Sayfa2!$A$2:$A$8,"*"&amp;D377&amp;"*")&gt;0, Sayfa2!$A$1,
 IF(COUNTIF(Sayfa2!$B$2:$B$8, "*"&amp;D377&amp;"*")&gt;0, Sayfa2!$B$1,
 IF(COUNTIF(Sayfa2!$C$2:$C$8, "*"&amp;D377&amp;"*")&gt;0, Sayfa2!$C$1,
 IF(COUNTIF(Sayfa2!$D$2:$D$8,"*"&amp;D377&amp;"*")&gt;0, Sayfa2!$D$1,
 IF(COUNTIF(Sayfa2!$E$2:$E$8, "*"&amp;D377&amp;"*")&gt;0, Sayfa2!$E$1, "Bulunamadı")))))</f>
        <v>ÇARŞAMBA</v>
      </c>
    </row>
    <row r="378" spans="1:5" hidden="1" x14ac:dyDescent="0.25">
      <c r="A378" t="s">
        <v>1939</v>
      </c>
      <c r="B378" t="s">
        <v>447</v>
      </c>
      <c r="C378" t="s">
        <v>1932</v>
      </c>
      <c r="D378" s="4" t="s">
        <v>3065</v>
      </c>
      <c r="E378" t="str">
        <f>IF(COUNTIF(Sayfa2!$A$2:$A$8,"*"&amp;D378&amp;"*")&gt;0, Sayfa2!$A$1,
 IF(COUNTIF(Sayfa2!$B$2:$B$8, "*"&amp;D378&amp;"*")&gt;0, Sayfa2!$B$1,
 IF(COUNTIF(Sayfa2!$C$2:$C$8, "*"&amp;D378&amp;"*")&gt;0, Sayfa2!$C$1,
 IF(COUNTIF(Sayfa2!$D$2:$D$8,"*"&amp;D378&amp;"*")&gt;0, Sayfa2!$D$1,
 IF(COUNTIF(Sayfa2!$E$2:$E$8, "*"&amp;D378&amp;"*")&gt;0, Sayfa2!$E$1, "Bulunamadı")))))</f>
        <v>ÇARŞAMBA</v>
      </c>
    </row>
    <row r="379" spans="1:5" hidden="1" x14ac:dyDescent="0.25">
      <c r="A379" t="s">
        <v>1940</v>
      </c>
      <c r="B379" t="s">
        <v>448</v>
      </c>
      <c r="C379" t="s">
        <v>1932</v>
      </c>
      <c r="D379" s="4" t="s">
        <v>3065</v>
      </c>
      <c r="E379" t="str">
        <f>IF(COUNTIF(Sayfa2!$A$2:$A$8,"*"&amp;D379&amp;"*")&gt;0, Sayfa2!$A$1,
 IF(COUNTIF(Sayfa2!$B$2:$B$8, "*"&amp;D379&amp;"*")&gt;0, Sayfa2!$B$1,
 IF(COUNTIF(Sayfa2!$C$2:$C$8, "*"&amp;D379&amp;"*")&gt;0, Sayfa2!$C$1,
 IF(COUNTIF(Sayfa2!$D$2:$D$8,"*"&amp;D379&amp;"*")&gt;0, Sayfa2!$D$1,
 IF(COUNTIF(Sayfa2!$E$2:$E$8, "*"&amp;D379&amp;"*")&gt;0, Sayfa2!$E$1, "Bulunamadı")))))</f>
        <v>ÇARŞAMBA</v>
      </c>
    </row>
    <row r="380" spans="1:5" hidden="1" x14ac:dyDescent="0.25">
      <c r="A380" t="s">
        <v>1941</v>
      </c>
      <c r="B380" t="s">
        <v>449</v>
      </c>
      <c r="C380" t="s">
        <v>1932</v>
      </c>
      <c r="D380" s="4" t="s">
        <v>3065</v>
      </c>
      <c r="E380" t="str">
        <f>IF(COUNTIF(Sayfa2!$A$2:$A$8,"*"&amp;D380&amp;"*")&gt;0, Sayfa2!$A$1,
 IF(COUNTIF(Sayfa2!$B$2:$B$8, "*"&amp;D380&amp;"*")&gt;0, Sayfa2!$B$1,
 IF(COUNTIF(Sayfa2!$C$2:$C$8, "*"&amp;D380&amp;"*")&gt;0, Sayfa2!$C$1,
 IF(COUNTIF(Sayfa2!$D$2:$D$8,"*"&amp;D380&amp;"*")&gt;0, Sayfa2!$D$1,
 IF(COUNTIF(Sayfa2!$E$2:$E$8, "*"&amp;D380&amp;"*")&gt;0, Sayfa2!$E$1, "Bulunamadı")))))</f>
        <v>ÇARŞAMBA</v>
      </c>
    </row>
    <row r="381" spans="1:5" hidden="1" x14ac:dyDescent="0.25">
      <c r="A381" t="s">
        <v>1942</v>
      </c>
      <c r="B381" t="s">
        <v>450</v>
      </c>
      <c r="C381" t="s">
        <v>1932</v>
      </c>
      <c r="D381" s="4" t="s">
        <v>3065</v>
      </c>
      <c r="E381" t="str">
        <f>IF(COUNTIF(Sayfa2!$A$2:$A$8,"*"&amp;D381&amp;"*")&gt;0, Sayfa2!$A$1,
 IF(COUNTIF(Sayfa2!$B$2:$B$8, "*"&amp;D381&amp;"*")&gt;0, Sayfa2!$B$1,
 IF(COUNTIF(Sayfa2!$C$2:$C$8, "*"&amp;D381&amp;"*")&gt;0, Sayfa2!$C$1,
 IF(COUNTIF(Sayfa2!$D$2:$D$8,"*"&amp;D381&amp;"*")&gt;0, Sayfa2!$D$1,
 IF(COUNTIF(Sayfa2!$E$2:$E$8, "*"&amp;D381&amp;"*")&gt;0, Sayfa2!$E$1, "Bulunamadı")))))</f>
        <v>ÇARŞAMBA</v>
      </c>
    </row>
    <row r="382" spans="1:5" hidden="1" x14ac:dyDescent="0.25">
      <c r="A382" t="s">
        <v>1943</v>
      </c>
      <c r="B382" t="s">
        <v>451</v>
      </c>
      <c r="C382" t="s">
        <v>1930</v>
      </c>
      <c r="D382" s="4" t="s">
        <v>3066</v>
      </c>
      <c r="E382" t="str">
        <f>IF(COUNTIF(Sayfa2!$A$2:$A$8,"*"&amp;D382&amp;"*")&gt;0, Sayfa2!$A$1,
 IF(COUNTIF(Sayfa2!$B$2:$B$8, "*"&amp;D382&amp;"*")&gt;0, Sayfa2!$B$1,
 IF(COUNTIF(Sayfa2!$C$2:$C$8, "*"&amp;D382&amp;"*")&gt;0, Sayfa2!$C$1,
 IF(COUNTIF(Sayfa2!$D$2:$D$8,"*"&amp;D382&amp;"*")&gt;0, Sayfa2!$D$1,
 IF(COUNTIF(Sayfa2!$E$2:$E$8, "*"&amp;D382&amp;"*")&gt;0, Sayfa2!$E$1, "Bulunamadı")))))</f>
        <v>PERŞEMBE</v>
      </c>
    </row>
    <row r="383" spans="1:5" hidden="1" x14ac:dyDescent="0.25">
      <c r="A383" t="s">
        <v>1944</v>
      </c>
      <c r="B383" t="s">
        <v>452</v>
      </c>
      <c r="C383" t="s">
        <v>1930</v>
      </c>
      <c r="D383" s="4" t="s">
        <v>3066</v>
      </c>
      <c r="E383" t="str">
        <f>IF(COUNTIF(Sayfa2!$A$2:$A$8,"*"&amp;D383&amp;"*")&gt;0, Sayfa2!$A$1,
 IF(COUNTIF(Sayfa2!$B$2:$B$8, "*"&amp;D383&amp;"*")&gt;0, Sayfa2!$B$1,
 IF(COUNTIF(Sayfa2!$C$2:$C$8, "*"&amp;D383&amp;"*")&gt;0, Sayfa2!$C$1,
 IF(COUNTIF(Sayfa2!$D$2:$D$8,"*"&amp;D383&amp;"*")&gt;0, Sayfa2!$D$1,
 IF(COUNTIF(Sayfa2!$E$2:$E$8, "*"&amp;D383&amp;"*")&gt;0, Sayfa2!$E$1, "Bulunamadı")))))</f>
        <v>PERŞEMBE</v>
      </c>
    </row>
    <row r="384" spans="1:5" hidden="1" x14ac:dyDescent="0.25">
      <c r="A384" t="s">
        <v>1945</v>
      </c>
      <c r="B384" t="s">
        <v>453</v>
      </c>
      <c r="C384" t="s">
        <v>1932</v>
      </c>
      <c r="D384" s="4" t="s">
        <v>3065</v>
      </c>
      <c r="E384" t="str">
        <f>IF(COUNTIF(Sayfa2!$A$2:$A$8,"*"&amp;D384&amp;"*")&gt;0, Sayfa2!$A$1,
 IF(COUNTIF(Sayfa2!$B$2:$B$8, "*"&amp;D384&amp;"*")&gt;0, Sayfa2!$B$1,
 IF(COUNTIF(Sayfa2!$C$2:$C$8, "*"&amp;D384&amp;"*")&gt;0, Sayfa2!$C$1,
 IF(COUNTIF(Sayfa2!$D$2:$D$8,"*"&amp;D384&amp;"*")&gt;0, Sayfa2!$D$1,
 IF(COUNTIF(Sayfa2!$E$2:$E$8, "*"&amp;D384&amp;"*")&gt;0, Sayfa2!$E$1, "Bulunamadı")))))</f>
        <v>ÇARŞAMBA</v>
      </c>
    </row>
    <row r="385" spans="1:5" hidden="1" x14ac:dyDescent="0.25">
      <c r="A385" t="s">
        <v>1946</v>
      </c>
      <c r="B385" t="s">
        <v>454</v>
      </c>
      <c r="C385" t="s">
        <v>1930</v>
      </c>
      <c r="D385" s="4" t="s">
        <v>3066</v>
      </c>
      <c r="E385" t="str">
        <f>IF(COUNTIF(Sayfa2!$A$2:$A$8,"*"&amp;D385&amp;"*")&gt;0, Sayfa2!$A$1,
 IF(COUNTIF(Sayfa2!$B$2:$B$8, "*"&amp;D385&amp;"*")&gt;0, Sayfa2!$B$1,
 IF(COUNTIF(Sayfa2!$C$2:$C$8, "*"&amp;D385&amp;"*")&gt;0, Sayfa2!$C$1,
 IF(COUNTIF(Sayfa2!$D$2:$D$8,"*"&amp;D385&amp;"*")&gt;0, Sayfa2!$D$1,
 IF(COUNTIF(Sayfa2!$E$2:$E$8, "*"&amp;D385&amp;"*")&gt;0, Sayfa2!$E$1, "Bulunamadı")))))</f>
        <v>PERŞEMBE</v>
      </c>
    </row>
    <row r="386" spans="1:5" hidden="1" x14ac:dyDescent="0.25">
      <c r="A386" t="s">
        <v>1947</v>
      </c>
      <c r="B386" t="s">
        <v>455</v>
      </c>
      <c r="C386" t="s">
        <v>1930</v>
      </c>
      <c r="D386" s="4" t="s">
        <v>3066</v>
      </c>
      <c r="E386" t="str">
        <f>IF(COUNTIF(Sayfa2!$A$2:$A$8,"*"&amp;D386&amp;"*")&gt;0, Sayfa2!$A$1,
 IF(COUNTIF(Sayfa2!$B$2:$B$8, "*"&amp;D386&amp;"*")&gt;0, Sayfa2!$B$1,
 IF(COUNTIF(Sayfa2!$C$2:$C$8, "*"&amp;D386&amp;"*")&gt;0, Sayfa2!$C$1,
 IF(COUNTIF(Sayfa2!$D$2:$D$8,"*"&amp;D386&amp;"*")&gt;0, Sayfa2!$D$1,
 IF(COUNTIF(Sayfa2!$E$2:$E$8, "*"&amp;D386&amp;"*")&gt;0, Sayfa2!$E$1, "Bulunamadı")))))</f>
        <v>PERŞEMBE</v>
      </c>
    </row>
    <row r="387" spans="1:5" hidden="1" x14ac:dyDescent="0.25">
      <c r="A387" t="s">
        <v>1948</v>
      </c>
      <c r="B387" t="s">
        <v>456</v>
      </c>
      <c r="C387" t="s">
        <v>1932</v>
      </c>
      <c r="D387" s="4" t="s">
        <v>3065</v>
      </c>
      <c r="E387" t="str">
        <f>IF(COUNTIF(Sayfa2!$A$2:$A$8,"*"&amp;D387&amp;"*")&gt;0, Sayfa2!$A$1,
 IF(COUNTIF(Sayfa2!$B$2:$B$8, "*"&amp;D387&amp;"*")&gt;0, Sayfa2!$B$1,
 IF(COUNTIF(Sayfa2!$C$2:$C$8, "*"&amp;D387&amp;"*")&gt;0, Sayfa2!$C$1,
 IF(COUNTIF(Sayfa2!$D$2:$D$8,"*"&amp;D387&amp;"*")&gt;0, Sayfa2!$D$1,
 IF(COUNTIF(Sayfa2!$E$2:$E$8, "*"&amp;D387&amp;"*")&gt;0, Sayfa2!$E$1, "Bulunamadı")))))</f>
        <v>ÇARŞAMBA</v>
      </c>
    </row>
    <row r="388" spans="1:5" hidden="1" x14ac:dyDescent="0.25">
      <c r="A388" t="s">
        <v>1949</v>
      </c>
      <c r="B388" t="s">
        <v>457</v>
      </c>
      <c r="C388" t="s">
        <v>1932</v>
      </c>
      <c r="D388" s="4" t="s">
        <v>3065</v>
      </c>
      <c r="E388" t="str">
        <f>IF(COUNTIF(Sayfa2!$A$2:$A$8,"*"&amp;D388&amp;"*")&gt;0, Sayfa2!$A$1,
 IF(COUNTIF(Sayfa2!$B$2:$B$8, "*"&amp;D388&amp;"*")&gt;0, Sayfa2!$B$1,
 IF(COUNTIF(Sayfa2!$C$2:$C$8, "*"&amp;D388&amp;"*")&gt;0, Sayfa2!$C$1,
 IF(COUNTIF(Sayfa2!$D$2:$D$8,"*"&amp;D388&amp;"*")&gt;0, Sayfa2!$D$1,
 IF(COUNTIF(Sayfa2!$E$2:$E$8, "*"&amp;D388&amp;"*")&gt;0, Sayfa2!$E$1, "Bulunamadı")))))</f>
        <v>ÇARŞAMBA</v>
      </c>
    </row>
    <row r="389" spans="1:5" hidden="1" x14ac:dyDescent="0.25">
      <c r="A389" t="s">
        <v>1950</v>
      </c>
      <c r="B389" t="s">
        <v>458</v>
      </c>
      <c r="C389" t="s">
        <v>1930</v>
      </c>
      <c r="D389" s="4" t="s">
        <v>3066</v>
      </c>
      <c r="E389" t="str">
        <f>IF(COUNTIF(Sayfa2!$A$2:$A$8,"*"&amp;D389&amp;"*")&gt;0, Sayfa2!$A$1,
 IF(COUNTIF(Sayfa2!$B$2:$B$8, "*"&amp;D389&amp;"*")&gt;0, Sayfa2!$B$1,
 IF(COUNTIF(Sayfa2!$C$2:$C$8, "*"&amp;D389&amp;"*")&gt;0, Sayfa2!$C$1,
 IF(COUNTIF(Sayfa2!$D$2:$D$8,"*"&amp;D389&amp;"*")&gt;0, Sayfa2!$D$1,
 IF(COUNTIF(Sayfa2!$E$2:$E$8, "*"&amp;D389&amp;"*")&gt;0, Sayfa2!$E$1, "Bulunamadı")))))</f>
        <v>PERŞEMBE</v>
      </c>
    </row>
    <row r="390" spans="1:5" hidden="1" x14ac:dyDescent="0.25">
      <c r="A390" t="s">
        <v>1951</v>
      </c>
      <c r="B390" t="s">
        <v>459</v>
      </c>
      <c r="C390" t="s">
        <v>1930</v>
      </c>
      <c r="D390" s="4" t="s">
        <v>3066</v>
      </c>
      <c r="E390" t="str">
        <f>IF(COUNTIF(Sayfa2!$A$2:$A$8,"*"&amp;D390&amp;"*")&gt;0, Sayfa2!$A$1,
 IF(COUNTIF(Sayfa2!$B$2:$B$8, "*"&amp;D390&amp;"*")&gt;0, Sayfa2!$B$1,
 IF(COUNTIF(Sayfa2!$C$2:$C$8, "*"&amp;D390&amp;"*")&gt;0, Sayfa2!$C$1,
 IF(COUNTIF(Sayfa2!$D$2:$D$8,"*"&amp;D390&amp;"*")&gt;0, Sayfa2!$D$1,
 IF(COUNTIF(Sayfa2!$E$2:$E$8, "*"&amp;D390&amp;"*")&gt;0, Sayfa2!$E$1, "Bulunamadı")))))</f>
        <v>PERŞEMBE</v>
      </c>
    </row>
    <row r="391" spans="1:5" hidden="1" x14ac:dyDescent="0.25">
      <c r="A391" t="s">
        <v>1952</v>
      </c>
      <c r="B391" t="s">
        <v>460</v>
      </c>
      <c r="C391" t="s">
        <v>1932</v>
      </c>
      <c r="D391" s="4" t="s">
        <v>3065</v>
      </c>
      <c r="E391" t="str">
        <f>IF(COUNTIF(Sayfa2!$A$2:$A$8,"*"&amp;D391&amp;"*")&gt;0, Sayfa2!$A$1,
 IF(COUNTIF(Sayfa2!$B$2:$B$8, "*"&amp;D391&amp;"*")&gt;0, Sayfa2!$B$1,
 IF(COUNTIF(Sayfa2!$C$2:$C$8, "*"&amp;D391&amp;"*")&gt;0, Sayfa2!$C$1,
 IF(COUNTIF(Sayfa2!$D$2:$D$8,"*"&amp;D391&amp;"*")&gt;0, Sayfa2!$D$1,
 IF(COUNTIF(Sayfa2!$E$2:$E$8, "*"&amp;D391&amp;"*")&gt;0, Sayfa2!$E$1, "Bulunamadı")))))</f>
        <v>ÇARŞAMBA</v>
      </c>
    </row>
    <row r="392" spans="1:5" hidden="1" x14ac:dyDescent="0.25">
      <c r="A392" t="s">
        <v>1953</v>
      </c>
      <c r="B392" t="s">
        <v>461</v>
      </c>
      <c r="C392" t="s">
        <v>1932</v>
      </c>
      <c r="D392" s="4" t="s">
        <v>3065</v>
      </c>
      <c r="E392" t="str">
        <f>IF(COUNTIF(Sayfa2!$A$2:$A$8,"*"&amp;D392&amp;"*")&gt;0, Sayfa2!$A$1,
 IF(COUNTIF(Sayfa2!$B$2:$B$8, "*"&amp;D392&amp;"*")&gt;0, Sayfa2!$B$1,
 IF(COUNTIF(Sayfa2!$C$2:$C$8, "*"&amp;D392&amp;"*")&gt;0, Sayfa2!$C$1,
 IF(COUNTIF(Sayfa2!$D$2:$D$8,"*"&amp;D392&amp;"*")&gt;0, Sayfa2!$D$1,
 IF(COUNTIF(Sayfa2!$E$2:$E$8, "*"&amp;D392&amp;"*")&gt;0, Sayfa2!$E$1, "Bulunamadı")))))</f>
        <v>ÇARŞAMBA</v>
      </c>
    </row>
    <row r="393" spans="1:5" hidden="1" x14ac:dyDescent="0.25">
      <c r="A393" t="s">
        <v>1954</v>
      </c>
      <c r="B393" t="s">
        <v>462</v>
      </c>
      <c r="C393" t="s">
        <v>1930</v>
      </c>
      <c r="D393" s="4" t="s">
        <v>3066</v>
      </c>
      <c r="E393" t="str">
        <f>IF(COUNTIF(Sayfa2!$A$2:$A$8,"*"&amp;D393&amp;"*")&gt;0, Sayfa2!$A$1,
 IF(COUNTIF(Sayfa2!$B$2:$B$8, "*"&amp;D393&amp;"*")&gt;0, Sayfa2!$B$1,
 IF(COUNTIF(Sayfa2!$C$2:$C$8, "*"&amp;D393&amp;"*")&gt;0, Sayfa2!$C$1,
 IF(COUNTIF(Sayfa2!$D$2:$D$8,"*"&amp;D393&amp;"*")&gt;0, Sayfa2!$D$1,
 IF(COUNTIF(Sayfa2!$E$2:$E$8, "*"&amp;D393&amp;"*")&gt;0, Sayfa2!$E$1, "Bulunamadı")))))</f>
        <v>PERŞEMBE</v>
      </c>
    </row>
    <row r="394" spans="1:5" hidden="1" x14ac:dyDescent="0.25">
      <c r="A394" t="s">
        <v>1955</v>
      </c>
      <c r="B394" t="s">
        <v>463</v>
      </c>
      <c r="C394" t="s">
        <v>1930</v>
      </c>
      <c r="D394" s="4" t="s">
        <v>3066</v>
      </c>
      <c r="E394" t="str">
        <f>IF(COUNTIF(Sayfa2!$A$2:$A$8,"*"&amp;D394&amp;"*")&gt;0, Sayfa2!$A$1,
 IF(COUNTIF(Sayfa2!$B$2:$B$8, "*"&amp;D394&amp;"*")&gt;0, Sayfa2!$B$1,
 IF(COUNTIF(Sayfa2!$C$2:$C$8, "*"&amp;D394&amp;"*")&gt;0, Sayfa2!$C$1,
 IF(COUNTIF(Sayfa2!$D$2:$D$8,"*"&amp;D394&amp;"*")&gt;0, Sayfa2!$D$1,
 IF(COUNTIF(Sayfa2!$E$2:$E$8, "*"&amp;D394&amp;"*")&gt;0, Sayfa2!$E$1, "Bulunamadı")))))</f>
        <v>PERŞEMBE</v>
      </c>
    </row>
    <row r="395" spans="1:5" hidden="1" x14ac:dyDescent="0.25">
      <c r="A395" t="s">
        <v>1956</v>
      </c>
      <c r="B395" t="s">
        <v>464</v>
      </c>
      <c r="C395" t="s">
        <v>1930</v>
      </c>
      <c r="D395" s="4" t="s">
        <v>3066</v>
      </c>
      <c r="E395" t="str">
        <f>IF(COUNTIF(Sayfa2!$A$2:$A$8,"*"&amp;D395&amp;"*")&gt;0, Sayfa2!$A$1,
 IF(COUNTIF(Sayfa2!$B$2:$B$8, "*"&amp;D395&amp;"*")&gt;0, Sayfa2!$B$1,
 IF(COUNTIF(Sayfa2!$C$2:$C$8, "*"&amp;D395&amp;"*")&gt;0, Sayfa2!$C$1,
 IF(COUNTIF(Sayfa2!$D$2:$D$8,"*"&amp;D395&amp;"*")&gt;0, Sayfa2!$D$1,
 IF(COUNTIF(Sayfa2!$E$2:$E$8, "*"&amp;D395&amp;"*")&gt;0, Sayfa2!$E$1, "Bulunamadı")))))</f>
        <v>PERŞEMBE</v>
      </c>
    </row>
    <row r="396" spans="1:5" hidden="1" x14ac:dyDescent="0.25">
      <c r="A396" t="s">
        <v>1957</v>
      </c>
      <c r="B396" t="s">
        <v>465</v>
      </c>
      <c r="C396" t="s">
        <v>1930</v>
      </c>
      <c r="D396" s="4" t="s">
        <v>3066</v>
      </c>
      <c r="E396" t="str">
        <f>IF(COUNTIF(Sayfa2!$A$2:$A$8,"*"&amp;D396&amp;"*")&gt;0, Sayfa2!$A$1,
 IF(COUNTIF(Sayfa2!$B$2:$B$8, "*"&amp;D396&amp;"*")&gt;0, Sayfa2!$B$1,
 IF(COUNTIF(Sayfa2!$C$2:$C$8, "*"&amp;D396&amp;"*")&gt;0, Sayfa2!$C$1,
 IF(COUNTIF(Sayfa2!$D$2:$D$8,"*"&amp;D396&amp;"*")&gt;0, Sayfa2!$D$1,
 IF(COUNTIF(Sayfa2!$E$2:$E$8, "*"&amp;D396&amp;"*")&gt;0, Sayfa2!$E$1, "Bulunamadı")))))</f>
        <v>PERŞEMBE</v>
      </c>
    </row>
    <row r="397" spans="1:5" hidden="1" x14ac:dyDescent="0.25">
      <c r="A397" t="s">
        <v>1958</v>
      </c>
      <c r="B397" t="s">
        <v>466</v>
      </c>
      <c r="C397" t="s">
        <v>1932</v>
      </c>
      <c r="D397" s="4" t="s">
        <v>3065</v>
      </c>
      <c r="E397" t="str">
        <f>IF(COUNTIF(Sayfa2!$A$2:$A$8,"*"&amp;D397&amp;"*")&gt;0, Sayfa2!$A$1,
 IF(COUNTIF(Sayfa2!$B$2:$B$8, "*"&amp;D397&amp;"*")&gt;0, Sayfa2!$B$1,
 IF(COUNTIF(Sayfa2!$C$2:$C$8, "*"&amp;D397&amp;"*")&gt;0, Sayfa2!$C$1,
 IF(COUNTIF(Sayfa2!$D$2:$D$8,"*"&amp;D397&amp;"*")&gt;0, Sayfa2!$D$1,
 IF(COUNTIF(Sayfa2!$E$2:$E$8, "*"&amp;D397&amp;"*")&gt;0, Sayfa2!$E$1, "Bulunamadı")))))</f>
        <v>ÇARŞAMBA</v>
      </c>
    </row>
    <row r="398" spans="1:5" hidden="1" x14ac:dyDescent="0.25">
      <c r="A398" t="s">
        <v>1959</v>
      </c>
      <c r="B398" t="s">
        <v>467</v>
      </c>
      <c r="C398" t="s">
        <v>1932</v>
      </c>
      <c r="D398" s="4" t="s">
        <v>3065</v>
      </c>
      <c r="E398" t="str">
        <f>IF(COUNTIF(Sayfa2!$A$2:$A$8,"*"&amp;D398&amp;"*")&gt;0, Sayfa2!$A$1,
 IF(COUNTIF(Sayfa2!$B$2:$B$8, "*"&amp;D398&amp;"*")&gt;0, Sayfa2!$B$1,
 IF(COUNTIF(Sayfa2!$C$2:$C$8, "*"&amp;D398&amp;"*")&gt;0, Sayfa2!$C$1,
 IF(COUNTIF(Sayfa2!$D$2:$D$8,"*"&amp;D398&amp;"*")&gt;0, Sayfa2!$D$1,
 IF(COUNTIF(Sayfa2!$E$2:$E$8, "*"&amp;D398&amp;"*")&gt;0, Sayfa2!$E$1, "Bulunamadı")))))</f>
        <v>ÇARŞAMBA</v>
      </c>
    </row>
    <row r="399" spans="1:5" hidden="1" x14ac:dyDescent="0.25">
      <c r="A399" t="s">
        <v>1960</v>
      </c>
      <c r="B399" t="s">
        <v>468</v>
      </c>
      <c r="C399" t="s">
        <v>1932</v>
      </c>
      <c r="D399" s="4" t="s">
        <v>3065</v>
      </c>
      <c r="E399" t="str">
        <f>IF(COUNTIF(Sayfa2!$A$2:$A$8,"*"&amp;D399&amp;"*")&gt;0, Sayfa2!$A$1,
 IF(COUNTIF(Sayfa2!$B$2:$B$8, "*"&amp;D399&amp;"*")&gt;0, Sayfa2!$B$1,
 IF(COUNTIF(Sayfa2!$C$2:$C$8, "*"&amp;D399&amp;"*")&gt;0, Sayfa2!$C$1,
 IF(COUNTIF(Sayfa2!$D$2:$D$8,"*"&amp;D399&amp;"*")&gt;0, Sayfa2!$D$1,
 IF(COUNTIF(Sayfa2!$E$2:$E$8, "*"&amp;D399&amp;"*")&gt;0, Sayfa2!$E$1, "Bulunamadı")))))</f>
        <v>ÇARŞAMBA</v>
      </c>
    </row>
    <row r="400" spans="1:5" hidden="1" x14ac:dyDescent="0.25">
      <c r="A400" t="s">
        <v>1961</v>
      </c>
      <c r="B400" t="s">
        <v>469</v>
      </c>
      <c r="C400" t="s">
        <v>1962</v>
      </c>
      <c r="D400" s="4" t="s">
        <v>3065</v>
      </c>
      <c r="E400" t="str">
        <f>IF(COUNTIF(Sayfa2!$A$2:$A$8,"*"&amp;D400&amp;"*")&gt;0, Sayfa2!$A$1,
 IF(COUNTIF(Sayfa2!$B$2:$B$8, "*"&amp;D400&amp;"*")&gt;0, Sayfa2!$B$1,
 IF(COUNTIF(Sayfa2!$C$2:$C$8, "*"&amp;D400&amp;"*")&gt;0, Sayfa2!$C$1,
 IF(COUNTIF(Sayfa2!$D$2:$D$8,"*"&amp;D400&amp;"*")&gt;0, Sayfa2!$D$1,
 IF(COUNTIF(Sayfa2!$E$2:$E$8, "*"&amp;D400&amp;"*")&gt;0, Sayfa2!$E$1, "Bulunamadı")))))</f>
        <v>ÇARŞAMBA</v>
      </c>
    </row>
    <row r="401" spans="1:5" hidden="1" x14ac:dyDescent="0.25">
      <c r="A401" t="s">
        <v>1963</v>
      </c>
      <c r="B401" t="s">
        <v>470</v>
      </c>
      <c r="C401" t="s">
        <v>1962</v>
      </c>
      <c r="D401" s="4" t="s">
        <v>3065</v>
      </c>
      <c r="E401" t="str">
        <f>IF(COUNTIF(Sayfa2!$A$2:$A$8,"*"&amp;D401&amp;"*")&gt;0, Sayfa2!$A$1,
 IF(COUNTIF(Sayfa2!$B$2:$B$8, "*"&amp;D401&amp;"*")&gt;0, Sayfa2!$B$1,
 IF(COUNTIF(Sayfa2!$C$2:$C$8, "*"&amp;D401&amp;"*")&gt;0, Sayfa2!$C$1,
 IF(COUNTIF(Sayfa2!$D$2:$D$8,"*"&amp;D401&amp;"*")&gt;0, Sayfa2!$D$1,
 IF(COUNTIF(Sayfa2!$E$2:$E$8, "*"&amp;D401&amp;"*")&gt;0, Sayfa2!$E$1, "Bulunamadı")))))</f>
        <v>ÇARŞAMBA</v>
      </c>
    </row>
    <row r="402" spans="1:5" hidden="1" x14ac:dyDescent="0.25">
      <c r="A402" t="s">
        <v>1964</v>
      </c>
      <c r="B402" t="s">
        <v>471</v>
      </c>
      <c r="C402" t="s">
        <v>1965</v>
      </c>
      <c r="D402" s="4" t="s">
        <v>3066</v>
      </c>
      <c r="E402" t="str">
        <f>IF(COUNTIF(Sayfa2!$A$2:$A$8,"*"&amp;D402&amp;"*")&gt;0, Sayfa2!$A$1,
 IF(COUNTIF(Sayfa2!$B$2:$B$8, "*"&amp;D402&amp;"*")&gt;0, Sayfa2!$B$1,
 IF(COUNTIF(Sayfa2!$C$2:$C$8, "*"&amp;D402&amp;"*")&gt;0, Sayfa2!$C$1,
 IF(COUNTIF(Sayfa2!$D$2:$D$8,"*"&amp;D402&amp;"*")&gt;0, Sayfa2!$D$1,
 IF(COUNTIF(Sayfa2!$E$2:$E$8, "*"&amp;D402&amp;"*")&gt;0, Sayfa2!$E$1, "Bulunamadı")))))</f>
        <v>PERŞEMBE</v>
      </c>
    </row>
    <row r="403" spans="1:5" hidden="1" x14ac:dyDescent="0.25">
      <c r="A403" t="s">
        <v>1966</v>
      </c>
      <c r="B403" t="s">
        <v>472</v>
      </c>
      <c r="C403" t="s">
        <v>1965</v>
      </c>
      <c r="D403" s="4" t="s">
        <v>3066</v>
      </c>
      <c r="E403" t="str">
        <f>IF(COUNTIF(Sayfa2!$A$2:$A$8,"*"&amp;D403&amp;"*")&gt;0, Sayfa2!$A$1,
 IF(COUNTIF(Sayfa2!$B$2:$B$8, "*"&amp;D403&amp;"*")&gt;0, Sayfa2!$B$1,
 IF(COUNTIF(Sayfa2!$C$2:$C$8, "*"&amp;D403&amp;"*")&gt;0, Sayfa2!$C$1,
 IF(COUNTIF(Sayfa2!$D$2:$D$8,"*"&amp;D403&amp;"*")&gt;0, Sayfa2!$D$1,
 IF(COUNTIF(Sayfa2!$E$2:$E$8, "*"&amp;D403&amp;"*")&gt;0, Sayfa2!$E$1, "Bulunamadı")))))</f>
        <v>PERŞEMBE</v>
      </c>
    </row>
    <row r="404" spans="1:5" hidden="1" x14ac:dyDescent="0.25">
      <c r="A404" t="s">
        <v>1967</v>
      </c>
      <c r="B404" t="s">
        <v>473</v>
      </c>
      <c r="C404" t="s">
        <v>1962</v>
      </c>
      <c r="D404" s="4" t="s">
        <v>3065</v>
      </c>
      <c r="E404" t="str">
        <f>IF(COUNTIF(Sayfa2!$A$2:$A$8,"*"&amp;D404&amp;"*")&gt;0, Sayfa2!$A$1,
 IF(COUNTIF(Sayfa2!$B$2:$B$8, "*"&amp;D404&amp;"*")&gt;0, Sayfa2!$B$1,
 IF(COUNTIF(Sayfa2!$C$2:$C$8, "*"&amp;D404&amp;"*")&gt;0, Sayfa2!$C$1,
 IF(COUNTIF(Sayfa2!$D$2:$D$8,"*"&amp;D404&amp;"*")&gt;0, Sayfa2!$D$1,
 IF(COUNTIF(Sayfa2!$E$2:$E$8, "*"&amp;D404&amp;"*")&gt;0, Sayfa2!$E$1, "Bulunamadı")))))</f>
        <v>ÇARŞAMBA</v>
      </c>
    </row>
    <row r="405" spans="1:5" hidden="1" x14ac:dyDescent="0.25">
      <c r="A405" t="s">
        <v>1968</v>
      </c>
      <c r="B405" t="s">
        <v>474</v>
      </c>
      <c r="C405" t="s">
        <v>1965</v>
      </c>
      <c r="D405" s="4" t="s">
        <v>3066</v>
      </c>
      <c r="E405" t="str">
        <f>IF(COUNTIF(Sayfa2!$A$2:$A$8,"*"&amp;D405&amp;"*")&gt;0, Sayfa2!$A$1,
 IF(COUNTIF(Sayfa2!$B$2:$B$8, "*"&amp;D405&amp;"*")&gt;0, Sayfa2!$B$1,
 IF(COUNTIF(Sayfa2!$C$2:$C$8, "*"&amp;D405&amp;"*")&gt;0, Sayfa2!$C$1,
 IF(COUNTIF(Sayfa2!$D$2:$D$8,"*"&amp;D405&amp;"*")&gt;0, Sayfa2!$D$1,
 IF(COUNTIF(Sayfa2!$E$2:$E$8, "*"&amp;D405&amp;"*")&gt;0, Sayfa2!$E$1, "Bulunamadı")))))</f>
        <v>PERŞEMBE</v>
      </c>
    </row>
    <row r="406" spans="1:5" hidden="1" x14ac:dyDescent="0.25">
      <c r="A406" t="s">
        <v>1969</v>
      </c>
      <c r="B406" t="s">
        <v>475</v>
      </c>
      <c r="C406" t="s">
        <v>1962</v>
      </c>
      <c r="D406" s="4" t="s">
        <v>3065</v>
      </c>
      <c r="E406" t="str">
        <f>IF(COUNTIF(Sayfa2!$A$2:$A$8,"*"&amp;D406&amp;"*")&gt;0, Sayfa2!$A$1,
 IF(COUNTIF(Sayfa2!$B$2:$B$8, "*"&amp;D406&amp;"*")&gt;0, Sayfa2!$B$1,
 IF(COUNTIF(Sayfa2!$C$2:$C$8, "*"&amp;D406&amp;"*")&gt;0, Sayfa2!$C$1,
 IF(COUNTIF(Sayfa2!$D$2:$D$8,"*"&amp;D406&amp;"*")&gt;0, Sayfa2!$D$1,
 IF(COUNTIF(Sayfa2!$E$2:$E$8, "*"&amp;D406&amp;"*")&gt;0, Sayfa2!$E$1, "Bulunamadı")))))</f>
        <v>ÇARŞAMBA</v>
      </c>
    </row>
    <row r="407" spans="1:5" hidden="1" x14ac:dyDescent="0.25">
      <c r="A407" t="s">
        <v>1970</v>
      </c>
      <c r="B407" t="s">
        <v>476</v>
      </c>
      <c r="C407" t="s">
        <v>1962</v>
      </c>
      <c r="D407" s="4" t="s">
        <v>3065</v>
      </c>
      <c r="E407" t="str">
        <f>IF(COUNTIF(Sayfa2!$A$2:$A$8,"*"&amp;D407&amp;"*")&gt;0, Sayfa2!$A$1,
 IF(COUNTIF(Sayfa2!$B$2:$B$8, "*"&amp;D407&amp;"*")&gt;0, Sayfa2!$B$1,
 IF(COUNTIF(Sayfa2!$C$2:$C$8, "*"&amp;D407&amp;"*")&gt;0, Sayfa2!$C$1,
 IF(COUNTIF(Sayfa2!$D$2:$D$8,"*"&amp;D407&amp;"*")&gt;0, Sayfa2!$D$1,
 IF(COUNTIF(Sayfa2!$E$2:$E$8, "*"&amp;D407&amp;"*")&gt;0, Sayfa2!$E$1, "Bulunamadı")))))</f>
        <v>ÇARŞAMBA</v>
      </c>
    </row>
    <row r="408" spans="1:5" hidden="1" x14ac:dyDescent="0.25">
      <c r="A408" t="s">
        <v>1971</v>
      </c>
      <c r="B408" t="s">
        <v>477</v>
      </c>
      <c r="C408" t="s">
        <v>1965</v>
      </c>
      <c r="D408" s="4" t="s">
        <v>3066</v>
      </c>
      <c r="E408" t="str">
        <f>IF(COUNTIF(Sayfa2!$A$2:$A$8,"*"&amp;D408&amp;"*")&gt;0, Sayfa2!$A$1,
 IF(COUNTIF(Sayfa2!$B$2:$B$8, "*"&amp;D408&amp;"*")&gt;0, Sayfa2!$B$1,
 IF(COUNTIF(Sayfa2!$C$2:$C$8, "*"&amp;D408&amp;"*")&gt;0, Sayfa2!$C$1,
 IF(COUNTIF(Sayfa2!$D$2:$D$8,"*"&amp;D408&amp;"*")&gt;0, Sayfa2!$D$1,
 IF(COUNTIF(Sayfa2!$E$2:$E$8, "*"&amp;D408&amp;"*")&gt;0, Sayfa2!$E$1, "Bulunamadı")))))</f>
        <v>PERŞEMBE</v>
      </c>
    </row>
    <row r="409" spans="1:5" hidden="1" x14ac:dyDescent="0.25">
      <c r="A409" t="s">
        <v>1972</v>
      </c>
      <c r="B409" t="s">
        <v>478</v>
      </c>
      <c r="C409" t="s">
        <v>1965</v>
      </c>
      <c r="D409" s="4" t="s">
        <v>3066</v>
      </c>
      <c r="E409" t="str">
        <f>IF(COUNTIF(Sayfa2!$A$2:$A$8,"*"&amp;D409&amp;"*")&gt;0, Sayfa2!$A$1,
 IF(COUNTIF(Sayfa2!$B$2:$B$8, "*"&amp;D409&amp;"*")&gt;0, Sayfa2!$B$1,
 IF(COUNTIF(Sayfa2!$C$2:$C$8, "*"&amp;D409&amp;"*")&gt;0, Sayfa2!$C$1,
 IF(COUNTIF(Sayfa2!$D$2:$D$8,"*"&amp;D409&amp;"*")&gt;0, Sayfa2!$D$1,
 IF(COUNTIF(Sayfa2!$E$2:$E$8, "*"&amp;D409&amp;"*")&gt;0, Sayfa2!$E$1, "Bulunamadı")))))</f>
        <v>PERŞEMBE</v>
      </c>
    </row>
    <row r="410" spans="1:5" hidden="1" x14ac:dyDescent="0.25">
      <c r="A410" t="s">
        <v>1973</v>
      </c>
      <c r="B410" t="s">
        <v>479</v>
      </c>
      <c r="C410" t="s">
        <v>1965</v>
      </c>
      <c r="D410" s="4" t="s">
        <v>3066</v>
      </c>
      <c r="E410" t="str">
        <f>IF(COUNTIF(Sayfa2!$A$2:$A$8,"*"&amp;D410&amp;"*")&gt;0, Sayfa2!$A$1,
 IF(COUNTIF(Sayfa2!$B$2:$B$8, "*"&amp;D410&amp;"*")&gt;0, Sayfa2!$B$1,
 IF(COUNTIF(Sayfa2!$C$2:$C$8, "*"&amp;D410&amp;"*")&gt;0, Sayfa2!$C$1,
 IF(COUNTIF(Sayfa2!$D$2:$D$8,"*"&amp;D410&amp;"*")&gt;0, Sayfa2!$D$1,
 IF(COUNTIF(Sayfa2!$E$2:$E$8, "*"&amp;D410&amp;"*")&gt;0, Sayfa2!$E$1, "Bulunamadı")))))</f>
        <v>PERŞEMBE</v>
      </c>
    </row>
    <row r="411" spans="1:5" hidden="1" x14ac:dyDescent="0.25">
      <c r="A411" t="s">
        <v>1974</v>
      </c>
      <c r="B411" t="s">
        <v>480</v>
      </c>
      <c r="C411" t="s">
        <v>1975</v>
      </c>
      <c r="D411" s="4" t="s">
        <v>3066</v>
      </c>
      <c r="E411" t="str">
        <f>IF(COUNTIF(Sayfa2!$A$2:$A$8,"*"&amp;D411&amp;"*")&gt;0, Sayfa2!$A$1,
 IF(COUNTIF(Sayfa2!$B$2:$B$8, "*"&amp;D411&amp;"*")&gt;0, Sayfa2!$B$1,
 IF(COUNTIF(Sayfa2!$C$2:$C$8, "*"&amp;D411&amp;"*")&gt;0, Sayfa2!$C$1,
 IF(COUNTIF(Sayfa2!$D$2:$D$8,"*"&amp;D411&amp;"*")&gt;0, Sayfa2!$D$1,
 IF(COUNTIF(Sayfa2!$E$2:$E$8, "*"&amp;D411&amp;"*")&gt;0, Sayfa2!$E$1, "Bulunamadı")))))</f>
        <v>PERŞEMBE</v>
      </c>
    </row>
    <row r="412" spans="1:5" hidden="1" x14ac:dyDescent="0.25">
      <c r="A412" t="s">
        <v>1976</v>
      </c>
      <c r="B412" t="s">
        <v>481</v>
      </c>
      <c r="C412" t="s">
        <v>1975</v>
      </c>
      <c r="D412" s="4" t="s">
        <v>3066</v>
      </c>
      <c r="E412" t="str">
        <f>IF(COUNTIF(Sayfa2!$A$2:$A$8,"*"&amp;D412&amp;"*")&gt;0, Sayfa2!$A$1,
 IF(COUNTIF(Sayfa2!$B$2:$B$8, "*"&amp;D412&amp;"*")&gt;0, Sayfa2!$B$1,
 IF(COUNTIF(Sayfa2!$C$2:$C$8, "*"&amp;D412&amp;"*")&gt;0, Sayfa2!$C$1,
 IF(COUNTIF(Sayfa2!$D$2:$D$8,"*"&amp;D412&amp;"*")&gt;0, Sayfa2!$D$1,
 IF(COUNTIF(Sayfa2!$E$2:$E$8, "*"&amp;D412&amp;"*")&gt;0, Sayfa2!$E$1, "Bulunamadı")))))</f>
        <v>PERŞEMBE</v>
      </c>
    </row>
    <row r="413" spans="1:5" hidden="1" x14ac:dyDescent="0.25">
      <c r="A413" t="s">
        <v>1977</v>
      </c>
      <c r="B413" t="s">
        <v>482</v>
      </c>
      <c r="C413" t="s">
        <v>1978</v>
      </c>
      <c r="D413" s="4" t="s">
        <v>3072</v>
      </c>
      <c r="E413" t="str">
        <f>IF(COUNTIF(Sayfa2!$A$2:$A$8,"*"&amp;D413&amp;"*")&gt;0, Sayfa2!$A$1,
 IF(COUNTIF(Sayfa2!$B$2:$B$8, "*"&amp;D413&amp;"*")&gt;0, Sayfa2!$B$1,
 IF(COUNTIF(Sayfa2!$C$2:$C$8, "*"&amp;D413&amp;"*")&gt;0, Sayfa2!$C$1,
 IF(COUNTIF(Sayfa2!$D$2:$D$8,"*"&amp;D413&amp;"*")&gt;0, Sayfa2!$D$1,
 IF(COUNTIF(Sayfa2!$E$2:$E$8, "*"&amp;D413&amp;"*")&gt;0, Sayfa2!$E$1, "Bulunamadı")))))</f>
        <v>CUMA</v>
      </c>
    </row>
    <row r="414" spans="1:5" hidden="1" x14ac:dyDescent="0.25">
      <c r="A414" t="s">
        <v>1979</v>
      </c>
      <c r="B414" t="s">
        <v>484</v>
      </c>
      <c r="C414" t="s">
        <v>1980</v>
      </c>
      <c r="D414" s="4" t="s">
        <v>3066</v>
      </c>
      <c r="E414" t="str">
        <f>IF(COUNTIF(Sayfa2!$A$2:$A$8,"*"&amp;D414&amp;"*")&gt;0, Sayfa2!$A$1,
 IF(COUNTIF(Sayfa2!$B$2:$B$8, "*"&amp;D414&amp;"*")&gt;0, Sayfa2!$B$1,
 IF(COUNTIF(Sayfa2!$C$2:$C$8, "*"&amp;D414&amp;"*")&gt;0, Sayfa2!$C$1,
 IF(COUNTIF(Sayfa2!$D$2:$D$8,"*"&amp;D414&amp;"*")&gt;0, Sayfa2!$D$1,
 IF(COUNTIF(Sayfa2!$E$2:$E$8, "*"&amp;D414&amp;"*")&gt;0, Sayfa2!$E$1, "Bulunamadı")))))</f>
        <v>PERŞEMBE</v>
      </c>
    </row>
    <row r="415" spans="1:5" hidden="1" x14ac:dyDescent="0.25">
      <c r="A415" t="s">
        <v>1981</v>
      </c>
      <c r="B415" t="s">
        <v>486</v>
      </c>
      <c r="C415" t="s">
        <v>1980</v>
      </c>
      <c r="D415" s="4" t="s">
        <v>3066</v>
      </c>
      <c r="E415" t="str">
        <f>IF(COUNTIF(Sayfa2!$A$2:$A$8,"*"&amp;D415&amp;"*")&gt;0, Sayfa2!$A$1,
 IF(COUNTIF(Sayfa2!$B$2:$B$8, "*"&amp;D415&amp;"*")&gt;0, Sayfa2!$B$1,
 IF(COUNTIF(Sayfa2!$C$2:$C$8, "*"&amp;D415&amp;"*")&gt;0, Sayfa2!$C$1,
 IF(COUNTIF(Sayfa2!$D$2:$D$8,"*"&amp;D415&amp;"*")&gt;0, Sayfa2!$D$1,
 IF(COUNTIF(Sayfa2!$E$2:$E$8, "*"&amp;D415&amp;"*")&gt;0, Sayfa2!$E$1, "Bulunamadı")))))</f>
        <v>PERŞEMBE</v>
      </c>
    </row>
    <row r="416" spans="1:5" hidden="1" x14ac:dyDescent="0.25">
      <c r="A416" t="s">
        <v>1982</v>
      </c>
      <c r="B416" t="s">
        <v>487</v>
      </c>
      <c r="C416" t="s">
        <v>1983</v>
      </c>
      <c r="D416" s="4" t="s">
        <v>3063</v>
      </c>
      <c r="E416" t="str">
        <f>IF(COUNTIF(Sayfa2!$A$2:$A$8,"*"&amp;D416&amp;"*")&gt;0, Sayfa2!$A$1,
 IF(COUNTIF(Sayfa2!$B$2:$B$8, "*"&amp;D416&amp;"*")&gt;0, Sayfa2!$B$1,
 IF(COUNTIF(Sayfa2!$C$2:$C$8, "*"&amp;D416&amp;"*")&gt;0, Sayfa2!$C$1,
 IF(COUNTIF(Sayfa2!$D$2:$D$8,"*"&amp;D416&amp;"*")&gt;0, Sayfa2!$D$1,
 IF(COUNTIF(Sayfa2!$E$2:$E$8, "*"&amp;D416&amp;"*")&gt;0, Sayfa2!$E$1, "Bulunamadı")))))</f>
        <v>PAZARTESİ</v>
      </c>
    </row>
    <row r="417" spans="1:5" x14ac:dyDescent="0.25">
      <c r="A417" t="s">
        <v>1984</v>
      </c>
      <c r="B417" t="s">
        <v>488</v>
      </c>
      <c r="C417" t="s">
        <v>1985</v>
      </c>
      <c r="D417" s="4" t="s">
        <v>3101</v>
      </c>
      <c r="E417" t="str">
        <f>IF(COUNTIF(Sayfa2!$A$2:$A$8,"*"&amp;D417&amp;"*")&gt;0, Sayfa2!$A$1,
 IF(COUNTIF(Sayfa2!$B$2:$B$8, "*"&amp;D417&amp;"*")&gt;0, Sayfa2!$B$1,
 IF(COUNTIF(Sayfa2!$C$2:$C$8, "*"&amp;D417&amp;"*")&gt;0, Sayfa2!$C$1,
 IF(COUNTIF(Sayfa2!$D$2:$D$8,"*"&amp;D417&amp;"*")&gt;0, Sayfa2!$D$1,
 IF(COUNTIF(Sayfa2!$E$2:$E$8, "*"&amp;D417&amp;"*")&gt;0, Sayfa2!$E$1, "Bulunamadı")))))</f>
        <v>Bulunamadı</v>
      </c>
    </row>
    <row r="418" spans="1:5" hidden="1" x14ac:dyDescent="0.25">
      <c r="A418" t="s">
        <v>1986</v>
      </c>
      <c r="B418" t="s">
        <v>489</v>
      </c>
      <c r="C418" t="s">
        <v>1987</v>
      </c>
      <c r="D418" s="4" t="s">
        <v>3064</v>
      </c>
      <c r="E418" t="str">
        <f>IF(COUNTIF(Sayfa2!$A$2:$A$8,"*"&amp;D418&amp;"*")&gt;0, Sayfa2!$A$1,
 IF(COUNTIF(Sayfa2!$B$2:$B$8, "*"&amp;D418&amp;"*")&gt;0, Sayfa2!$B$1,
 IF(COUNTIF(Sayfa2!$C$2:$C$8, "*"&amp;D418&amp;"*")&gt;0, Sayfa2!$C$1,
 IF(COUNTIF(Sayfa2!$D$2:$D$8,"*"&amp;D418&amp;"*")&gt;0, Sayfa2!$D$1,
 IF(COUNTIF(Sayfa2!$E$2:$E$8, "*"&amp;D418&amp;"*")&gt;0, Sayfa2!$E$1, "Bulunamadı")))))</f>
        <v>SALI</v>
      </c>
    </row>
    <row r="419" spans="1:5" hidden="1" x14ac:dyDescent="0.25">
      <c r="A419" t="s">
        <v>1988</v>
      </c>
      <c r="B419" t="s">
        <v>490</v>
      </c>
      <c r="C419" t="s">
        <v>1987</v>
      </c>
      <c r="D419" s="4" t="s">
        <v>3064</v>
      </c>
      <c r="E419" t="str">
        <f>IF(COUNTIF(Sayfa2!$A$2:$A$8,"*"&amp;D419&amp;"*")&gt;0, Sayfa2!$A$1,
 IF(COUNTIF(Sayfa2!$B$2:$B$8, "*"&amp;D419&amp;"*")&gt;0, Sayfa2!$B$1,
 IF(COUNTIF(Sayfa2!$C$2:$C$8, "*"&amp;D419&amp;"*")&gt;0, Sayfa2!$C$1,
 IF(COUNTIF(Sayfa2!$D$2:$D$8,"*"&amp;D419&amp;"*")&gt;0, Sayfa2!$D$1,
 IF(COUNTIF(Sayfa2!$E$2:$E$8, "*"&amp;D419&amp;"*")&gt;0, Sayfa2!$E$1, "Bulunamadı")))))</f>
        <v>SALI</v>
      </c>
    </row>
    <row r="420" spans="1:5" hidden="1" x14ac:dyDescent="0.25">
      <c r="A420" t="s">
        <v>1989</v>
      </c>
      <c r="B420" t="s">
        <v>491</v>
      </c>
      <c r="C420" t="s">
        <v>1987</v>
      </c>
      <c r="D420" s="4" t="s">
        <v>3064</v>
      </c>
      <c r="E420" t="str">
        <f>IF(COUNTIF(Sayfa2!$A$2:$A$8,"*"&amp;D420&amp;"*")&gt;0, Sayfa2!$A$1,
 IF(COUNTIF(Sayfa2!$B$2:$B$8, "*"&amp;D420&amp;"*")&gt;0, Sayfa2!$B$1,
 IF(COUNTIF(Sayfa2!$C$2:$C$8, "*"&amp;D420&amp;"*")&gt;0, Sayfa2!$C$1,
 IF(COUNTIF(Sayfa2!$D$2:$D$8,"*"&amp;D420&amp;"*")&gt;0, Sayfa2!$D$1,
 IF(COUNTIF(Sayfa2!$E$2:$E$8, "*"&amp;D420&amp;"*")&gt;0, Sayfa2!$E$1, "Bulunamadı")))))</f>
        <v>SALI</v>
      </c>
    </row>
    <row r="421" spans="1:5" hidden="1" x14ac:dyDescent="0.25">
      <c r="A421" t="s">
        <v>1990</v>
      </c>
      <c r="B421" t="s">
        <v>492</v>
      </c>
      <c r="C421" t="s">
        <v>1987</v>
      </c>
      <c r="D421" s="4" t="s">
        <v>3064</v>
      </c>
      <c r="E421" t="str">
        <f>IF(COUNTIF(Sayfa2!$A$2:$A$8,"*"&amp;D421&amp;"*")&gt;0, Sayfa2!$A$1,
 IF(COUNTIF(Sayfa2!$B$2:$B$8, "*"&amp;D421&amp;"*")&gt;0, Sayfa2!$B$1,
 IF(COUNTIF(Sayfa2!$C$2:$C$8, "*"&amp;D421&amp;"*")&gt;0, Sayfa2!$C$1,
 IF(COUNTIF(Sayfa2!$D$2:$D$8,"*"&amp;D421&amp;"*")&gt;0, Sayfa2!$D$1,
 IF(COUNTIF(Sayfa2!$E$2:$E$8, "*"&amp;D421&amp;"*")&gt;0, Sayfa2!$E$1, "Bulunamadı")))))</f>
        <v>SALI</v>
      </c>
    </row>
    <row r="422" spans="1:5" hidden="1" x14ac:dyDescent="0.25">
      <c r="A422" t="s">
        <v>1991</v>
      </c>
      <c r="B422" t="s">
        <v>493</v>
      </c>
      <c r="C422" t="s">
        <v>1987</v>
      </c>
      <c r="D422" s="4" t="s">
        <v>3064</v>
      </c>
      <c r="E422" t="str">
        <f>IF(COUNTIF(Sayfa2!$A$2:$A$8,"*"&amp;D422&amp;"*")&gt;0, Sayfa2!$A$1,
 IF(COUNTIF(Sayfa2!$B$2:$B$8, "*"&amp;D422&amp;"*")&gt;0, Sayfa2!$B$1,
 IF(COUNTIF(Sayfa2!$C$2:$C$8, "*"&amp;D422&amp;"*")&gt;0, Sayfa2!$C$1,
 IF(COUNTIF(Sayfa2!$D$2:$D$8,"*"&amp;D422&amp;"*")&gt;0, Sayfa2!$D$1,
 IF(COUNTIF(Sayfa2!$E$2:$E$8, "*"&amp;D422&amp;"*")&gt;0, Sayfa2!$E$1, "Bulunamadı")))))</f>
        <v>SALI</v>
      </c>
    </row>
    <row r="423" spans="1:5" hidden="1" x14ac:dyDescent="0.25">
      <c r="A423" t="s">
        <v>1992</v>
      </c>
      <c r="B423" t="s">
        <v>494</v>
      </c>
      <c r="C423" t="s">
        <v>1987</v>
      </c>
      <c r="D423" s="4" t="s">
        <v>3064</v>
      </c>
      <c r="E423" t="str">
        <f>IF(COUNTIF(Sayfa2!$A$2:$A$8,"*"&amp;D423&amp;"*")&gt;0, Sayfa2!$A$1,
 IF(COUNTIF(Sayfa2!$B$2:$B$8, "*"&amp;D423&amp;"*")&gt;0, Sayfa2!$B$1,
 IF(COUNTIF(Sayfa2!$C$2:$C$8, "*"&amp;D423&amp;"*")&gt;0, Sayfa2!$C$1,
 IF(COUNTIF(Sayfa2!$D$2:$D$8,"*"&amp;D423&amp;"*")&gt;0, Sayfa2!$D$1,
 IF(COUNTIF(Sayfa2!$E$2:$E$8, "*"&amp;D423&amp;"*")&gt;0, Sayfa2!$E$1, "Bulunamadı")))))</f>
        <v>SALI</v>
      </c>
    </row>
    <row r="424" spans="1:5" hidden="1" x14ac:dyDescent="0.25">
      <c r="A424" t="s">
        <v>1993</v>
      </c>
      <c r="B424" t="s">
        <v>495</v>
      </c>
      <c r="C424" t="s">
        <v>1987</v>
      </c>
      <c r="D424" s="4" t="s">
        <v>3064</v>
      </c>
      <c r="E424" t="str">
        <f>IF(COUNTIF(Sayfa2!$A$2:$A$8,"*"&amp;D424&amp;"*")&gt;0, Sayfa2!$A$1,
 IF(COUNTIF(Sayfa2!$B$2:$B$8, "*"&amp;D424&amp;"*")&gt;0, Sayfa2!$B$1,
 IF(COUNTIF(Sayfa2!$C$2:$C$8, "*"&amp;D424&amp;"*")&gt;0, Sayfa2!$C$1,
 IF(COUNTIF(Sayfa2!$D$2:$D$8,"*"&amp;D424&amp;"*")&gt;0, Sayfa2!$D$1,
 IF(COUNTIF(Sayfa2!$E$2:$E$8, "*"&amp;D424&amp;"*")&gt;0, Sayfa2!$E$1, "Bulunamadı")))))</f>
        <v>SALI</v>
      </c>
    </row>
    <row r="425" spans="1:5" hidden="1" x14ac:dyDescent="0.25">
      <c r="A425" t="s">
        <v>1994</v>
      </c>
      <c r="B425" t="s">
        <v>496</v>
      </c>
      <c r="C425" t="s">
        <v>1987</v>
      </c>
      <c r="D425" s="4" t="s">
        <v>3064</v>
      </c>
      <c r="E425" t="str">
        <f>IF(COUNTIF(Sayfa2!$A$2:$A$8,"*"&amp;D425&amp;"*")&gt;0, Sayfa2!$A$1,
 IF(COUNTIF(Sayfa2!$B$2:$B$8, "*"&amp;D425&amp;"*")&gt;0, Sayfa2!$B$1,
 IF(COUNTIF(Sayfa2!$C$2:$C$8, "*"&amp;D425&amp;"*")&gt;0, Sayfa2!$C$1,
 IF(COUNTIF(Sayfa2!$D$2:$D$8,"*"&amp;D425&amp;"*")&gt;0, Sayfa2!$D$1,
 IF(COUNTIF(Sayfa2!$E$2:$E$8, "*"&amp;D425&amp;"*")&gt;0, Sayfa2!$E$1, "Bulunamadı")))))</f>
        <v>SALI</v>
      </c>
    </row>
    <row r="426" spans="1:5" hidden="1" x14ac:dyDescent="0.25">
      <c r="A426" t="s">
        <v>1995</v>
      </c>
      <c r="B426" t="s">
        <v>497</v>
      </c>
      <c r="C426" t="s">
        <v>1983</v>
      </c>
      <c r="D426" s="4" t="s">
        <v>3063</v>
      </c>
      <c r="E426" t="str">
        <f>IF(COUNTIF(Sayfa2!$A$2:$A$8,"*"&amp;D426&amp;"*")&gt;0, Sayfa2!$A$1,
 IF(COUNTIF(Sayfa2!$B$2:$B$8, "*"&amp;D426&amp;"*")&gt;0, Sayfa2!$B$1,
 IF(COUNTIF(Sayfa2!$C$2:$C$8, "*"&amp;D426&amp;"*")&gt;0, Sayfa2!$C$1,
 IF(COUNTIF(Sayfa2!$D$2:$D$8,"*"&amp;D426&amp;"*")&gt;0, Sayfa2!$D$1,
 IF(COUNTIF(Sayfa2!$E$2:$E$8, "*"&amp;D426&amp;"*")&gt;0, Sayfa2!$E$1, "Bulunamadı")))))</f>
        <v>PAZARTESİ</v>
      </c>
    </row>
    <row r="427" spans="1:5" hidden="1" x14ac:dyDescent="0.25">
      <c r="A427" t="s">
        <v>1996</v>
      </c>
      <c r="B427" t="s">
        <v>498</v>
      </c>
      <c r="C427" t="s">
        <v>1987</v>
      </c>
      <c r="D427" s="4" t="s">
        <v>3064</v>
      </c>
      <c r="E427" t="str">
        <f>IF(COUNTIF(Sayfa2!$A$2:$A$8,"*"&amp;D427&amp;"*")&gt;0, Sayfa2!$A$1,
 IF(COUNTIF(Sayfa2!$B$2:$B$8, "*"&amp;D427&amp;"*")&gt;0, Sayfa2!$B$1,
 IF(COUNTIF(Sayfa2!$C$2:$C$8, "*"&amp;D427&amp;"*")&gt;0, Sayfa2!$C$1,
 IF(COUNTIF(Sayfa2!$D$2:$D$8,"*"&amp;D427&amp;"*")&gt;0, Sayfa2!$D$1,
 IF(COUNTIF(Sayfa2!$E$2:$E$8, "*"&amp;D427&amp;"*")&gt;0, Sayfa2!$E$1, "Bulunamadı")))))</f>
        <v>SALI</v>
      </c>
    </row>
    <row r="428" spans="1:5" hidden="1" x14ac:dyDescent="0.25">
      <c r="A428" t="s">
        <v>1997</v>
      </c>
      <c r="B428" t="s">
        <v>499</v>
      </c>
      <c r="C428" t="s">
        <v>1998</v>
      </c>
      <c r="D428" s="4" t="s">
        <v>3062</v>
      </c>
      <c r="E428" t="str">
        <f>IF(COUNTIF(Sayfa2!$A$2:$A$8,"*"&amp;D428&amp;"*")&gt;0, Sayfa2!$A$1,
 IF(COUNTIF(Sayfa2!$B$2:$B$8, "*"&amp;D428&amp;"*")&gt;0, Sayfa2!$B$1,
 IF(COUNTIF(Sayfa2!$C$2:$C$8, "*"&amp;D428&amp;"*")&gt;0, Sayfa2!$C$1,
 IF(COUNTIF(Sayfa2!$D$2:$D$8,"*"&amp;D428&amp;"*")&gt;0, Sayfa2!$D$1,
 IF(COUNTIF(Sayfa2!$E$2:$E$8, "*"&amp;D428&amp;"*")&gt;0, Sayfa2!$E$1, "Bulunamadı")))))</f>
        <v>CUMA</v>
      </c>
    </row>
    <row r="429" spans="1:5" hidden="1" x14ac:dyDescent="0.25">
      <c r="A429" t="s">
        <v>1999</v>
      </c>
      <c r="B429" t="s">
        <v>500</v>
      </c>
      <c r="C429" t="s">
        <v>1987</v>
      </c>
      <c r="D429" s="4" t="s">
        <v>3064</v>
      </c>
      <c r="E429" t="str">
        <f>IF(COUNTIF(Sayfa2!$A$2:$A$8,"*"&amp;D429&amp;"*")&gt;0, Sayfa2!$A$1,
 IF(COUNTIF(Sayfa2!$B$2:$B$8, "*"&amp;D429&amp;"*")&gt;0, Sayfa2!$B$1,
 IF(COUNTIF(Sayfa2!$C$2:$C$8, "*"&amp;D429&amp;"*")&gt;0, Sayfa2!$C$1,
 IF(COUNTIF(Sayfa2!$D$2:$D$8,"*"&amp;D429&amp;"*")&gt;0, Sayfa2!$D$1,
 IF(COUNTIF(Sayfa2!$E$2:$E$8, "*"&amp;D429&amp;"*")&gt;0, Sayfa2!$E$1, "Bulunamadı")))))</f>
        <v>SALI</v>
      </c>
    </row>
    <row r="430" spans="1:5" hidden="1" x14ac:dyDescent="0.25">
      <c r="A430" t="s">
        <v>2000</v>
      </c>
      <c r="B430" t="s">
        <v>501</v>
      </c>
      <c r="C430" t="s">
        <v>1983</v>
      </c>
      <c r="D430" s="4" t="s">
        <v>3063</v>
      </c>
      <c r="E430" t="str">
        <f>IF(COUNTIF(Sayfa2!$A$2:$A$8,"*"&amp;D430&amp;"*")&gt;0, Sayfa2!$A$1,
 IF(COUNTIF(Sayfa2!$B$2:$B$8, "*"&amp;D430&amp;"*")&gt;0, Sayfa2!$B$1,
 IF(COUNTIF(Sayfa2!$C$2:$C$8, "*"&amp;D430&amp;"*")&gt;0, Sayfa2!$C$1,
 IF(COUNTIF(Sayfa2!$D$2:$D$8,"*"&amp;D430&amp;"*")&gt;0, Sayfa2!$D$1,
 IF(COUNTIF(Sayfa2!$E$2:$E$8, "*"&amp;D430&amp;"*")&gt;0, Sayfa2!$E$1, "Bulunamadı")))))</f>
        <v>PAZARTESİ</v>
      </c>
    </row>
    <row r="431" spans="1:5" hidden="1" x14ac:dyDescent="0.25">
      <c r="A431" t="s">
        <v>2001</v>
      </c>
      <c r="B431" t="s">
        <v>502</v>
      </c>
      <c r="C431" t="s">
        <v>1987</v>
      </c>
      <c r="D431" s="4" t="s">
        <v>3064</v>
      </c>
      <c r="E431" t="str">
        <f>IF(COUNTIF(Sayfa2!$A$2:$A$8,"*"&amp;D431&amp;"*")&gt;0, Sayfa2!$A$1,
 IF(COUNTIF(Sayfa2!$B$2:$B$8, "*"&amp;D431&amp;"*")&gt;0, Sayfa2!$B$1,
 IF(COUNTIF(Sayfa2!$C$2:$C$8, "*"&amp;D431&amp;"*")&gt;0, Sayfa2!$C$1,
 IF(COUNTIF(Sayfa2!$D$2:$D$8,"*"&amp;D431&amp;"*")&gt;0, Sayfa2!$D$1,
 IF(COUNTIF(Sayfa2!$E$2:$E$8, "*"&amp;D431&amp;"*")&gt;0, Sayfa2!$E$1, "Bulunamadı")))))</f>
        <v>SALI</v>
      </c>
    </row>
    <row r="432" spans="1:5" hidden="1" x14ac:dyDescent="0.25">
      <c r="A432" t="s">
        <v>2002</v>
      </c>
      <c r="B432" t="s">
        <v>503</v>
      </c>
      <c r="C432" t="s">
        <v>1998</v>
      </c>
      <c r="D432" s="4" t="s">
        <v>3062</v>
      </c>
      <c r="E432" t="str">
        <f>IF(COUNTIF(Sayfa2!$A$2:$A$8,"*"&amp;D432&amp;"*")&gt;0, Sayfa2!$A$1,
 IF(COUNTIF(Sayfa2!$B$2:$B$8, "*"&amp;D432&amp;"*")&gt;0, Sayfa2!$B$1,
 IF(COUNTIF(Sayfa2!$C$2:$C$8, "*"&amp;D432&amp;"*")&gt;0, Sayfa2!$C$1,
 IF(COUNTIF(Sayfa2!$D$2:$D$8,"*"&amp;D432&amp;"*")&gt;0, Sayfa2!$D$1,
 IF(COUNTIF(Sayfa2!$E$2:$E$8, "*"&amp;D432&amp;"*")&gt;0, Sayfa2!$E$1, "Bulunamadı")))))</f>
        <v>CUMA</v>
      </c>
    </row>
    <row r="433" spans="1:5" hidden="1" x14ac:dyDescent="0.25">
      <c r="A433" t="s">
        <v>2003</v>
      </c>
      <c r="B433" t="s">
        <v>504</v>
      </c>
      <c r="C433" t="s">
        <v>1987</v>
      </c>
      <c r="D433" s="4" t="s">
        <v>3064</v>
      </c>
      <c r="E433" t="str">
        <f>IF(COUNTIF(Sayfa2!$A$2:$A$8,"*"&amp;D433&amp;"*")&gt;0, Sayfa2!$A$1,
 IF(COUNTIF(Sayfa2!$B$2:$B$8, "*"&amp;D433&amp;"*")&gt;0, Sayfa2!$B$1,
 IF(COUNTIF(Sayfa2!$C$2:$C$8, "*"&amp;D433&amp;"*")&gt;0, Sayfa2!$C$1,
 IF(COUNTIF(Sayfa2!$D$2:$D$8,"*"&amp;D433&amp;"*")&gt;0, Sayfa2!$D$1,
 IF(COUNTIF(Sayfa2!$E$2:$E$8, "*"&amp;D433&amp;"*")&gt;0, Sayfa2!$E$1, "Bulunamadı")))))</f>
        <v>SALI</v>
      </c>
    </row>
    <row r="434" spans="1:5" hidden="1" x14ac:dyDescent="0.25">
      <c r="A434" t="s">
        <v>2004</v>
      </c>
      <c r="B434" t="s">
        <v>505</v>
      </c>
      <c r="C434" t="s">
        <v>1987</v>
      </c>
      <c r="D434" s="4" t="s">
        <v>3064</v>
      </c>
      <c r="E434" t="str">
        <f>IF(COUNTIF(Sayfa2!$A$2:$A$8,"*"&amp;D434&amp;"*")&gt;0, Sayfa2!$A$1,
 IF(COUNTIF(Sayfa2!$B$2:$B$8, "*"&amp;D434&amp;"*")&gt;0, Sayfa2!$B$1,
 IF(COUNTIF(Sayfa2!$C$2:$C$8, "*"&amp;D434&amp;"*")&gt;0, Sayfa2!$C$1,
 IF(COUNTIF(Sayfa2!$D$2:$D$8,"*"&amp;D434&amp;"*")&gt;0, Sayfa2!$D$1,
 IF(COUNTIF(Sayfa2!$E$2:$E$8, "*"&amp;D434&amp;"*")&gt;0, Sayfa2!$E$1, "Bulunamadı")))))</f>
        <v>SALI</v>
      </c>
    </row>
    <row r="435" spans="1:5" hidden="1" x14ac:dyDescent="0.25">
      <c r="A435" t="s">
        <v>2005</v>
      </c>
      <c r="B435" t="s">
        <v>506</v>
      </c>
      <c r="C435" t="s">
        <v>1987</v>
      </c>
      <c r="D435" s="4" t="s">
        <v>3064</v>
      </c>
      <c r="E435" t="str">
        <f>IF(COUNTIF(Sayfa2!$A$2:$A$8,"*"&amp;D435&amp;"*")&gt;0, Sayfa2!$A$1,
 IF(COUNTIF(Sayfa2!$B$2:$B$8, "*"&amp;D435&amp;"*")&gt;0, Sayfa2!$B$1,
 IF(COUNTIF(Sayfa2!$C$2:$C$8, "*"&amp;D435&amp;"*")&gt;0, Sayfa2!$C$1,
 IF(COUNTIF(Sayfa2!$D$2:$D$8,"*"&amp;D435&amp;"*")&gt;0, Sayfa2!$D$1,
 IF(COUNTIF(Sayfa2!$E$2:$E$8, "*"&amp;D435&amp;"*")&gt;0, Sayfa2!$E$1, "Bulunamadı")))))</f>
        <v>SALI</v>
      </c>
    </row>
    <row r="436" spans="1:5" hidden="1" x14ac:dyDescent="0.25">
      <c r="A436" t="s">
        <v>2006</v>
      </c>
      <c r="B436" t="s">
        <v>507</v>
      </c>
      <c r="C436" t="s">
        <v>1987</v>
      </c>
      <c r="D436" s="4" t="s">
        <v>3064</v>
      </c>
      <c r="E436" t="str">
        <f>IF(COUNTIF(Sayfa2!$A$2:$A$8,"*"&amp;D436&amp;"*")&gt;0, Sayfa2!$A$1,
 IF(COUNTIF(Sayfa2!$B$2:$B$8, "*"&amp;D436&amp;"*")&gt;0, Sayfa2!$B$1,
 IF(COUNTIF(Sayfa2!$C$2:$C$8, "*"&amp;D436&amp;"*")&gt;0, Sayfa2!$C$1,
 IF(COUNTIF(Sayfa2!$D$2:$D$8,"*"&amp;D436&amp;"*")&gt;0, Sayfa2!$D$1,
 IF(COUNTIF(Sayfa2!$E$2:$E$8, "*"&amp;D436&amp;"*")&gt;0, Sayfa2!$E$1, "Bulunamadı")))))</f>
        <v>SALI</v>
      </c>
    </row>
    <row r="437" spans="1:5" hidden="1" x14ac:dyDescent="0.25">
      <c r="A437" t="s">
        <v>2007</v>
      </c>
      <c r="B437" t="s">
        <v>508</v>
      </c>
      <c r="C437" t="s">
        <v>1983</v>
      </c>
      <c r="D437" s="4" t="s">
        <v>3063</v>
      </c>
      <c r="E437" t="str">
        <f>IF(COUNTIF(Sayfa2!$A$2:$A$8,"*"&amp;D437&amp;"*")&gt;0, Sayfa2!$A$1,
 IF(COUNTIF(Sayfa2!$B$2:$B$8, "*"&amp;D437&amp;"*")&gt;0, Sayfa2!$B$1,
 IF(COUNTIF(Sayfa2!$C$2:$C$8, "*"&amp;D437&amp;"*")&gt;0, Sayfa2!$C$1,
 IF(COUNTIF(Sayfa2!$D$2:$D$8,"*"&amp;D437&amp;"*")&gt;0, Sayfa2!$D$1,
 IF(COUNTIF(Sayfa2!$E$2:$E$8, "*"&amp;D437&amp;"*")&gt;0, Sayfa2!$E$1, "Bulunamadı")))))</f>
        <v>PAZARTESİ</v>
      </c>
    </row>
    <row r="438" spans="1:5" hidden="1" x14ac:dyDescent="0.25">
      <c r="A438" t="s">
        <v>2008</v>
      </c>
      <c r="B438" t="s">
        <v>509</v>
      </c>
      <c r="C438" t="s">
        <v>1998</v>
      </c>
      <c r="D438" s="4" t="s">
        <v>3062</v>
      </c>
      <c r="E438" t="str">
        <f>IF(COUNTIF(Sayfa2!$A$2:$A$8,"*"&amp;D438&amp;"*")&gt;0, Sayfa2!$A$1,
 IF(COUNTIF(Sayfa2!$B$2:$B$8, "*"&amp;D438&amp;"*")&gt;0, Sayfa2!$B$1,
 IF(COUNTIF(Sayfa2!$C$2:$C$8, "*"&amp;D438&amp;"*")&gt;0, Sayfa2!$C$1,
 IF(COUNTIF(Sayfa2!$D$2:$D$8,"*"&amp;D438&amp;"*")&gt;0, Sayfa2!$D$1,
 IF(COUNTIF(Sayfa2!$E$2:$E$8, "*"&amp;D438&amp;"*")&gt;0, Sayfa2!$E$1, "Bulunamadı")))))</f>
        <v>CUMA</v>
      </c>
    </row>
    <row r="439" spans="1:5" hidden="1" x14ac:dyDescent="0.25">
      <c r="A439" t="s">
        <v>2009</v>
      </c>
      <c r="B439" t="s">
        <v>510</v>
      </c>
      <c r="C439" t="s">
        <v>1987</v>
      </c>
      <c r="D439" s="4" t="s">
        <v>3064</v>
      </c>
      <c r="E439" t="str">
        <f>IF(COUNTIF(Sayfa2!$A$2:$A$8,"*"&amp;D439&amp;"*")&gt;0, Sayfa2!$A$1,
 IF(COUNTIF(Sayfa2!$B$2:$B$8, "*"&amp;D439&amp;"*")&gt;0, Sayfa2!$B$1,
 IF(COUNTIF(Sayfa2!$C$2:$C$8, "*"&amp;D439&amp;"*")&gt;0, Sayfa2!$C$1,
 IF(COUNTIF(Sayfa2!$D$2:$D$8,"*"&amp;D439&amp;"*")&gt;0, Sayfa2!$D$1,
 IF(COUNTIF(Sayfa2!$E$2:$E$8, "*"&amp;D439&amp;"*")&gt;0, Sayfa2!$E$1, "Bulunamadı")))))</f>
        <v>SALI</v>
      </c>
    </row>
    <row r="440" spans="1:5" hidden="1" x14ac:dyDescent="0.25">
      <c r="A440" t="s">
        <v>2010</v>
      </c>
      <c r="B440" t="s">
        <v>511</v>
      </c>
      <c r="C440" t="s">
        <v>1983</v>
      </c>
      <c r="D440" s="4" t="s">
        <v>3063</v>
      </c>
      <c r="E440" t="str">
        <f>IF(COUNTIF(Sayfa2!$A$2:$A$8,"*"&amp;D440&amp;"*")&gt;0, Sayfa2!$A$1,
 IF(COUNTIF(Sayfa2!$B$2:$B$8, "*"&amp;D440&amp;"*")&gt;0, Sayfa2!$B$1,
 IF(COUNTIF(Sayfa2!$C$2:$C$8, "*"&amp;D440&amp;"*")&gt;0, Sayfa2!$C$1,
 IF(COUNTIF(Sayfa2!$D$2:$D$8,"*"&amp;D440&amp;"*")&gt;0, Sayfa2!$D$1,
 IF(COUNTIF(Sayfa2!$E$2:$E$8, "*"&amp;D440&amp;"*")&gt;0, Sayfa2!$E$1, "Bulunamadı")))))</f>
        <v>PAZARTESİ</v>
      </c>
    </row>
    <row r="441" spans="1:5" hidden="1" x14ac:dyDescent="0.25">
      <c r="A441" t="s">
        <v>2011</v>
      </c>
      <c r="B441" t="s">
        <v>512</v>
      </c>
      <c r="C441" t="s">
        <v>1983</v>
      </c>
      <c r="D441" s="4" t="s">
        <v>3063</v>
      </c>
      <c r="E441" t="str">
        <f>IF(COUNTIF(Sayfa2!$A$2:$A$8,"*"&amp;D441&amp;"*")&gt;0, Sayfa2!$A$1,
 IF(COUNTIF(Sayfa2!$B$2:$B$8, "*"&amp;D441&amp;"*")&gt;0, Sayfa2!$B$1,
 IF(COUNTIF(Sayfa2!$C$2:$C$8, "*"&amp;D441&amp;"*")&gt;0, Sayfa2!$C$1,
 IF(COUNTIF(Sayfa2!$D$2:$D$8,"*"&amp;D441&amp;"*")&gt;0, Sayfa2!$D$1,
 IF(COUNTIF(Sayfa2!$E$2:$E$8, "*"&amp;D441&amp;"*")&gt;0, Sayfa2!$E$1, "Bulunamadı")))))</f>
        <v>PAZARTESİ</v>
      </c>
    </row>
    <row r="442" spans="1:5" hidden="1" x14ac:dyDescent="0.25">
      <c r="A442" t="s">
        <v>2012</v>
      </c>
      <c r="B442" t="s">
        <v>513</v>
      </c>
      <c r="C442" t="s">
        <v>1987</v>
      </c>
      <c r="D442" s="4" t="s">
        <v>3064</v>
      </c>
      <c r="E442" t="str">
        <f>IF(COUNTIF(Sayfa2!$A$2:$A$8,"*"&amp;D442&amp;"*")&gt;0, Sayfa2!$A$1,
 IF(COUNTIF(Sayfa2!$B$2:$B$8, "*"&amp;D442&amp;"*")&gt;0, Sayfa2!$B$1,
 IF(COUNTIF(Sayfa2!$C$2:$C$8, "*"&amp;D442&amp;"*")&gt;0, Sayfa2!$C$1,
 IF(COUNTIF(Sayfa2!$D$2:$D$8,"*"&amp;D442&amp;"*")&gt;0, Sayfa2!$D$1,
 IF(COUNTIF(Sayfa2!$E$2:$E$8, "*"&amp;D442&amp;"*")&gt;0, Sayfa2!$E$1, "Bulunamadı")))))</f>
        <v>SALI</v>
      </c>
    </row>
    <row r="443" spans="1:5" hidden="1" x14ac:dyDescent="0.25">
      <c r="A443" t="s">
        <v>2013</v>
      </c>
      <c r="B443" t="s">
        <v>514</v>
      </c>
      <c r="C443" t="s">
        <v>1987</v>
      </c>
      <c r="D443" s="4" t="s">
        <v>3064</v>
      </c>
      <c r="E443" t="str">
        <f>IF(COUNTIF(Sayfa2!$A$2:$A$8,"*"&amp;D443&amp;"*")&gt;0, Sayfa2!$A$1,
 IF(COUNTIF(Sayfa2!$B$2:$B$8, "*"&amp;D443&amp;"*")&gt;0, Sayfa2!$B$1,
 IF(COUNTIF(Sayfa2!$C$2:$C$8, "*"&amp;D443&amp;"*")&gt;0, Sayfa2!$C$1,
 IF(COUNTIF(Sayfa2!$D$2:$D$8,"*"&amp;D443&amp;"*")&gt;0, Sayfa2!$D$1,
 IF(COUNTIF(Sayfa2!$E$2:$E$8, "*"&amp;D443&amp;"*")&gt;0, Sayfa2!$E$1, "Bulunamadı")))))</f>
        <v>SALI</v>
      </c>
    </row>
    <row r="444" spans="1:5" hidden="1" x14ac:dyDescent="0.25">
      <c r="A444" t="s">
        <v>2014</v>
      </c>
      <c r="B444" t="s">
        <v>515</v>
      </c>
      <c r="C444" t="s">
        <v>1983</v>
      </c>
      <c r="D444" s="4" t="s">
        <v>3063</v>
      </c>
      <c r="E444" t="str">
        <f>IF(COUNTIF(Sayfa2!$A$2:$A$8,"*"&amp;D444&amp;"*")&gt;0, Sayfa2!$A$1,
 IF(COUNTIF(Sayfa2!$B$2:$B$8, "*"&amp;D444&amp;"*")&gt;0, Sayfa2!$B$1,
 IF(COUNTIF(Sayfa2!$C$2:$C$8, "*"&amp;D444&amp;"*")&gt;0, Sayfa2!$C$1,
 IF(COUNTIF(Sayfa2!$D$2:$D$8,"*"&amp;D444&amp;"*")&gt;0, Sayfa2!$D$1,
 IF(COUNTIF(Sayfa2!$E$2:$E$8, "*"&amp;D444&amp;"*")&gt;0, Sayfa2!$E$1, "Bulunamadı")))))</f>
        <v>PAZARTESİ</v>
      </c>
    </row>
    <row r="445" spans="1:5" hidden="1" x14ac:dyDescent="0.25">
      <c r="A445" t="s">
        <v>2015</v>
      </c>
      <c r="B445" t="s">
        <v>516</v>
      </c>
      <c r="C445" t="s">
        <v>1987</v>
      </c>
      <c r="D445" s="4" t="s">
        <v>3064</v>
      </c>
      <c r="E445" t="str">
        <f>IF(COUNTIF(Sayfa2!$A$2:$A$8,"*"&amp;D445&amp;"*")&gt;0, Sayfa2!$A$1,
 IF(COUNTIF(Sayfa2!$B$2:$B$8, "*"&amp;D445&amp;"*")&gt;0, Sayfa2!$B$1,
 IF(COUNTIF(Sayfa2!$C$2:$C$8, "*"&amp;D445&amp;"*")&gt;0, Sayfa2!$C$1,
 IF(COUNTIF(Sayfa2!$D$2:$D$8,"*"&amp;D445&amp;"*")&gt;0, Sayfa2!$D$1,
 IF(COUNTIF(Sayfa2!$E$2:$E$8, "*"&amp;D445&amp;"*")&gt;0, Sayfa2!$E$1, "Bulunamadı")))))</f>
        <v>SALI</v>
      </c>
    </row>
    <row r="446" spans="1:5" hidden="1" x14ac:dyDescent="0.25">
      <c r="A446" t="s">
        <v>2016</v>
      </c>
      <c r="B446" t="s">
        <v>517</v>
      </c>
      <c r="C446" t="s">
        <v>1987</v>
      </c>
      <c r="D446" s="4" t="s">
        <v>3064</v>
      </c>
      <c r="E446" t="str">
        <f>IF(COUNTIF(Sayfa2!$A$2:$A$8,"*"&amp;D446&amp;"*")&gt;0, Sayfa2!$A$1,
 IF(COUNTIF(Sayfa2!$B$2:$B$8, "*"&amp;D446&amp;"*")&gt;0, Sayfa2!$B$1,
 IF(COUNTIF(Sayfa2!$C$2:$C$8, "*"&amp;D446&amp;"*")&gt;0, Sayfa2!$C$1,
 IF(COUNTIF(Sayfa2!$D$2:$D$8,"*"&amp;D446&amp;"*")&gt;0, Sayfa2!$D$1,
 IF(COUNTIF(Sayfa2!$E$2:$E$8, "*"&amp;D446&amp;"*")&gt;0, Sayfa2!$E$1, "Bulunamadı")))))</f>
        <v>SALI</v>
      </c>
    </row>
    <row r="447" spans="1:5" hidden="1" x14ac:dyDescent="0.25">
      <c r="A447" t="s">
        <v>2017</v>
      </c>
      <c r="B447" t="s">
        <v>518</v>
      </c>
      <c r="C447" t="s">
        <v>1987</v>
      </c>
      <c r="D447" s="4" t="s">
        <v>3064</v>
      </c>
      <c r="E447" t="str">
        <f>IF(COUNTIF(Sayfa2!$A$2:$A$8,"*"&amp;D447&amp;"*")&gt;0, Sayfa2!$A$1,
 IF(COUNTIF(Sayfa2!$B$2:$B$8, "*"&amp;D447&amp;"*")&gt;0, Sayfa2!$B$1,
 IF(COUNTIF(Sayfa2!$C$2:$C$8, "*"&amp;D447&amp;"*")&gt;0, Sayfa2!$C$1,
 IF(COUNTIF(Sayfa2!$D$2:$D$8,"*"&amp;D447&amp;"*")&gt;0, Sayfa2!$D$1,
 IF(COUNTIF(Sayfa2!$E$2:$E$8, "*"&amp;D447&amp;"*")&gt;0, Sayfa2!$E$1, "Bulunamadı")))))</f>
        <v>SALI</v>
      </c>
    </row>
    <row r="448" spans="1:5" hidden="1" x14ac:dyDescent="0.25">
      <c r="A448" t="s">
        <v>2018</v>
      </c>
      <c r="B448" t="s">
        <v>519</v>
      </c>
      <c r="C448" t="s">
        <v>1998</v>
      </c>
      <c r="D448" s="4" t="s">
        <v>3062</v>
      </c>
      <c r="E448" t="str">
        <f>IF(COUNTIF(Sayfa2!$A$2:$A$8,"*"&amp;D448&amp;"*")&gt;0, Sayfa2!$A$1,
 IF(COUNTIF(Sayfa2!$B$2:$B$8, "*"&amp;D448&amp;"*")&gt;0, Sayfa2!$B$1,
 IF(COUNTIF(Sayfa2!$C$2:$C$8, "*"&amp;D448&amp;"*")&gt;0, Sayfa2!$C$1,
 IF(COUNTIF(Sayfa2!$D$2:$D$8,"*"&amp;D448&amp;"*")&gt;0, Sayfa2!$D$1,
 IF(COUNTIF(Sayfa2!$E$2:$E$8, "*"&amp;D448&amp;"*")&gt;0, Sayfa2!$E$1, "Bulunamadı")))))</f>
        <v>CUMA</v>
      </c>
    </row>
    <row r="449" spans="1:5" hidden="1" x14ac:dyDescent="0.25">
      <c r="A449" t="s">
        <v>2019</v>
      </c>
      <c r="B449" t="s">
        <v>520</v>
      </c>
      <c r="C449" t="s">
        <v>1983</v>
      </c>
      <c r="D449" s="4" t="s">
        <v>3063</v>
      </c>
      <c r="E449" t="str">
        <f>IF(COUNTIF(Sayfa2!$A$2:$A$8,"*"&amp;D449&amp;"*")&gt;0, Sayfa2!$A$1,
 IF(COUNTIF(Sayfa2!$B$2:$B$8, "*"&amp;D449&amp;"*")&gt;0, Sayfa2!$B$1,
 IF(COUNTIF(Sayfa2!$C$2:$C$8, "*"&amp;D449&amp;"*")&gt;0, Sayfa2!$C$1,
 IF(COUNTIF(Sayfa2!$D$2:$D$8,"*"&amp;D449&amp;"*")&gt;0, Sayfa2!$D$1,
 IF(COUNTIF(Sayfa2!$E$2:$E$8, "*"&amp;D449&amp;"*")&gt;0, Sayfa2!$E$1, "Bulunamadı")))))</f>
        <v>PAZARTESİ</v>
      </c>
    </row>
    <row r="450" spans="1:5" hidden="1" x14ac:dyDescent="0.25">
      <c r="A450" t="s">
        <v>2020</v>
      </c>
      <c r="B450" t="s">
        <v>521</v>
      </c>
      <c r="C450" t="s">
        <v>1987</v>
      </c>
      <c r="D450" s="4" t="s">
        <v>3064</v>
      </c>
      <c r="E450" t="str">
        <f>IF(COUNTIF(Sayfa2!$A$2:$A$8,"*"&amp;D450&amp;"*")&gt;0, Sayfa2!$A$1,
 IF(COUNTIF(Sayfa2!$B$2:$B$8, "*"&amp;D450&amp;"*")&gt;0, Sayfa2!$B$1,
 IF(COUNTIF(Sayfa2!$C$2:$C$8, "*"&amp;D450&amp;"*")&gt;0, Sayfa2!$C$1,
 IF(COUNTIF(Sayfa2!$D$2:$D$8,"*"&amp;D450&amp;"*")&gt;0, Sayfa2!$D$1,
 IF(COUNTIF(Sayfa2!$E$2:$E$8, "*"&amp;D450&amp;"*")&gt;0, Sayfa2!$E$1, "Bulunamadı")))))</f>
        <v>SALI</v>
      </c>
    </row>
    <row r="451" spans="1:5" hidden="1" x14ac:dyDescent="0.25">
      <c r="A451" t="s">
        <v>2021</v>
      </c>
      <c r="B451" t="s">
        <v>522</v>
      </c>
      <c r="C451" t="s">
        <v>1987</v>
      </c>
      <c r="D451" s="4" t="s">
        <v>3064</v>
      </c>
      <c r="E451" t="str">
        <f>IF(COUNTIF(Sayfa2!$A$2:$A$8,"*"&amp;D451&amp;"*")&gt;0, Sayfa2!$A$1,
 IF(COUNTIF(Sayfa2!$B$2:$B$8, "*"&amp;D451&amp;"*")&gt;0, Sayfa2!$B$1,
 IF(COUNTIF(Sayfa2!$C$2:$C$8, "*"&amp;D451&amp;"*")&gt;0, Sayfa2!$C$1,
 IF(COUNTIF(Sayfa2!$D$2:$D$8,"*"&amp;D451&amp;"*")&gt;0, Sayfa2!$D$1,
 IF(COUNTIF(Sayfa2!$E$2:$E$8, "*"&amp;D451&amp;"*")&gt;0, Sayfa2!$E$1, "Bulunamadı")))))</f>
        <v>SALI</v>
      </c>
    </row>
    <row r="452" spans="1:5" hidden="1" x14ac:dyDescent="0.25">
      <c r="A452" t="s">
        <v>2022</v>
      </c>
      <c r="B452" t="s">
        <v>523</v>
      </c>
      <c r="C452" t="s">
        <v>1987</v>
      </c>
      <c r="D452" s="4" t="s">
        <v>3064</v>
      </c>
      <c r="E452" t="str">
        <f>IF(COUNTIF(Sayfa2!$A$2:$A$8,"*"&amp;D452&amp;"*")&gt;0, Sayfa2!$A$1,
 IF(COUNTIF(Sayfa2!$B$2:$B$8, "*"&amp;D452&amp;"*")&gt;0, Sayfa2!$B$1,
 IF(COUNTIF(Sayfa2!$C$2:$C$8, "*"&amp;D452&amp;"*")&gt;0, Sayfa2!$C$1,
 IF(COUNTIF(Sayfa2!$D$2:$D$8,"*"&amp;D452&amp;"*")&gt;0, Sayfa2!$D$1,
 IF(COUNTIF(Sayfa2!$E$2:$E$8, "*"&amp;D452&amp;"*")&gt;0, Sayfa2!$E$1, "Bulunamadı")))))</f>
        <v>SALI</v>
      </c>
    </row>
    <row r="453" spans="1:5" hidden="1" x14ac:dyDescent="0.25">
      <c r="A453" t="s">
        <v>2023</v>
      </c>
      <c r="B453" t="s">
        <v>524</v>
      </c>
      <c r="C453" t="s">
        <v>1987</v>
      </c>
      <c r="D453" s="4" t="s">
        <v>3064</v>
      </c>
      <c r="E453" t="str">
        <f>IF(COUNTIF(Sayfa2!$A$2:$A$8,"*"&amp;D453&amp;"*")&gt;0, Sayfa2!$A$1,
 IF(COUNTIF(Sayfa2!$B$2:$B$8, "*"&amp;D453&amp;"*")&gt;0, Sayfa2!$B$1,
 IF(COUNTIF(Sayfa2!$C$2:$C$8, "*"&amp;D453&amp;"*")&gt;0, Sayfa2!$C$1,
 IF(COUNTIF(Sayfa2!$D$2:$D$8,"*"&amp;D453&amp;"*")&gt;0, Sayfa2!$D$1,
 IF(COUNTIF(Sayfa2!$E$2:$E$8, "*"&amp;D453&amp;"*")&gt;0, Sayfa2!$E$1, "Bulunamadı")))))</f>
        <v>SALI</v>
      </c>
    </row>
    <row r="454" spans="1:5" hidden="1" x14ac:dyDescent="0.25">
      <c r="A454" t="s">
        <v>2024</v>
      </c>
      <c r="B454" t="s">
        <v>525</v>
      </c>
      <c r="C454" t="s">
        <v>1987</v>
      </c>
      <c r="D454" s="4" t="s">
        <v>3064</v>
      </c>
      <c r="E454" t="str">
        <f>IF(COUNTIF(Sayfa2!$A$2:$A$8,"*"&amp;D454&amp;"*")&gt;0, Sayfa2!$A$1,
 IF(COUNTIF(Sayfa2!$B$2:$B$8, "*"&amp;D454&amp;"*")&gt;0, Sayfa2!$B$1,
 IF(COUNTIF(Sayfa2!$C$2:$C$8, "*"&amp;D454&amp;"*")&gt;0, Sayfa2!$C$1,
 IF(COUNTIF(Sayfa2!$D$2:$D$8,"*"&amp;D454&amp;"*")&gt;0, Sayfa2!$D$1,
 IF(COUNTIF(Sayfa2!$E$2:$E$8, "*"&amp;D454&amp;"*")&gt;0, Sayfa2!$E$1, "Bulunamadı")))))</f>
        <v>SALI</v>
      </c>
    </row>
    <row r="455" spans="1:5" hidden="1" x14ac:dyDescent="0.25">
      <c r="A455" t="s">
        <v>2025</v>
      </c>
      <c r="B455" t="s">
        <v>526</v>
      </c>
      <c r="C455" t="s">
        <v>1987</v>
      </c>
      <c r="D455" s="4" t="s">
        <v>3064</v>
      </c>
      <c r="E455" t="str">
        <f>IF(COUNTIF(Sayfa2!$A$2:$A$8,"*"&amp;D455&amp;"*")&gt;0, Sayfa2!$A$1,
 IF(COUNTIF(Sayfa2!$B$2:$B$8, "*"&amp;D455&amp;"*")&gt;0, Sayfa2!$B$1,
 IF(COUNTIF(Sayfa2!$C$2:$C$8, "*"&amp;D455&amp;"*")&gt;0, Sayfa2!$C$1,
 IF(COUNTIF(Sayfa2!$D$2:$D$8,"*"&amp;D455&amp;"*")&gt;0, Sayfa2!$D$1,
 IF(COUNTIF(Sayfa2!$E$2:$E$8, "*"&amp;D455&amp;"*")&gt;0, Sayfa2!$E$1, "Bulunamadı")))))</f>
        <v>SALI</v>
      </c>
    </row>
    <row r="456" spans="1:5" hidden="1" x14ac:dyDescent="0.25">
      <c r="A456" t="s">
        <v>2026</v>
      </c>
      <c r="B456" t="s">
        <v>527</v>
      </c>
      <c r="C456" t="s">
        <v>1998</v>
      </c>
      <c r="D456" s="4" t="s">
        <v>3062</v>
      </c>
      <c r="E456" t="str">
        <f>IF(COUNTIF(Sayfa2!$A$2:$A$8,"*"&amp;D456&amp;"*")&gt;0, Sayfa2!$A$1,
 IF(COUNTIF(Sayfa2!$B$2:$B$8, "*"&amp;D456&amp;"*")&gt;0, Sayfa2!$B$1,
 IF(COUNTIF(Sayfa2!$C$2:$C$8, "*"&amp;D456&amp;"*")&gt;0, Sayfa2!$C$1,
 IF(COUNTIF(Sayfa2!$D$2:$D$8,"*"&amp;D456&amp;"*")&gt;0, Sayfa2!$D$1,
 IF(COUNTIF(Sayfa2!$E$2:$E$8, "*"&amp;D456&amp;"*")&gt;0, Sayfa2!$E$1, "Bulunamadı")))))</f>
        <v>CUMA</v>
      </c>
    </row>
    <row r="457" spans="1:5" hidden="1" x14ac:dyDescent="0.25">
      <c r="A457" t="s">
        <v>2027</v>
      </c>
      <c r="B457" t="s">
        <v>528</v>
      </c>
      <c r="C457" t="s">
        <v>1987</v>
      </c>
      <c r="D457" s="4" t="s">
        <v>3064</v>
      </c>
      <c r="E457" t="str">
        <f>IF(COUNTIF(Sayfa2!$A$2:$A$8,"*"&amp;D457&amp;"*")&gt;0, Sayfa2!$A$1,
 IF(COUNTIF(Sayfa2!$B$2:$B$8, "*"&amp;D457&amp;"*")&gt;0, Sayfa2!$B$1,
 IF(COUNTIF(Sayfa2!$C$2:$C$8, "*"&amp;D457&amp;"*")&gt;0, Sayfa2!$C$1,
 IF(COUNTIF(Sayfa2!$D$2:$D$8,"*"&amp;D457&amp;"*")&gt;0, Sayfa2!$D$1,
 IF(COUNTIF(Sayfa2!$E$2:$E$8, "*"&amp;D457&amp;"*")&gt;0, Sayfa2!$E$1, "Bulunamadı")))))</f>
        <v>SALI</v>
      </c>
    </row>
    <row r="458" spans="1:5" hidden="1" x14ac:dyDescent="0.25">
      <c r="A458" t="s">
        <v>2028</v>
      </c>
      <c r="B458" t="s">
        <v>529</v>
      </c>
      <c r="C458" t="s">
        <v>1998</v>
      </c>
      <c r="D458" s="4" t="s">
        <v>3062</v>
      </c>
      <c r="E458" t="str">
        <f>IF(COUNTIF(Sayfa2!$A$2:$A$8,"*"&amp;D458&amp;"*")&gt;0, Sayfa2!$A$1,
 IF(COUNTIF(Sayfa2!$B$2:$B$8, "*"&amp;D458&amp;"*")&gt;0, Sayfa2!$B$1,
 IF(COUNTIF(Sayfa2!$C$2:$C$8, "*"&amp;D458&amp;"*")&gt;0, Sayfa2!$C$1,
 IF(COUNTIF(Sayfa2!$D$2:$D$8,"*"&amp;D458&amp;"*")&gt;0, Sayfa2!$D$1,
 IF(COUNTIF(Sayfa2!$E$2:$E$8, "*"&amp;D458&amp;"*")&gt;0, Sayfa2!$E$1, "Bulunamadı")))))</f>
        <v>CUMA</v>
      </c>
    </row>
    <row r="459" spans="1:5" hidden="1" x14ac:dyDescent="0.25">
      <c r="A459" t="s">
        <v>2029</v>
      </c>
      <c r="B459" t="s">
        <v>530</v>
      </c>
      <c r="C459" t="s">
        <v>1987</v>
      </c>
      <c r="D459" s="4" t="s">
        <v>3064</v>
      </c>
      <c r="E459" t="str">
        <f>IF(COUNTIF(Sayfa2!$A$2:$A$8,"*"&amp;D459&amp;"*")&gt;0, Sayfa2!$A$1,
 IF(COUNTIF(Sayfa2!$B$2:$B$8, "*"&amp;D459&amp;"*")&gt;0, Sayfa2!$B$1,
 IF(COUNTIF(Sayfa2!$C$2:$C$8, "*"&amp;D459&amp;"*")&gt;0, Sayfa2!$C$1,
 IF(COUNTIF(Sayfa2!$D$2:$D$8,"*"&amp;D459&amp;"*")&gt;0, Sayfa2!$D$1,
 IF(COUNTIF(Sayfa2!$E$2:$E$8, "*"&amp;D459&amp;"*")&gt;0, Sayfa2!$E$1, "Bulunamadı")))))</f>
        <v>SALI</v>
      </c>
    </row>
    <row r="460" spans="1:5" hidden="1" x14ac:dyDescent="0.25">
      <c r="A460" t="s">
        <v>2030</v>
      </c>
      <c r="B460" t="s">
        <v>531</v>
      </c>
      <c r="C460" t="s">
        <v>1983</v>
      </c>
      <c r="D460" s="4" t="s">
        <v>3063</v>
      </c>
      <c r="E460" t="str">
        <f>IF(COUNTIF(Sayfa2!$A$2:$A$8,"*"&amp;D460&amp;"*")&gt;0, Sayfa2!$A$1,
 IF(COUNTIF(Sayfa2!$B$2:$B$8, "*"&amp;D460&amp;"*")&gt;0, Sayfa2!$B$1,
 IF(COUNTIF(Sayfa2!$C$2:$C$8, "*"&amp;D460&amp;"*")&gt;0, Sayfa2!$C$1,
 IF(COUNTIF(Sayfa2!$D$2:$D$8,"*"&amp;D460&amp;"*")&gt;0, Sayfa2!$D$1,
 IF(COUNTIF(Sayfa2!$E$2:$E$8, "*"&amp;D460&amp;"*")&gt;0, Sayfa2!$E$1, "Bulunamadı")))))</f>
        <v>PAZARTESİ</v>
      </c>
    </row>
    <row r="461" spans="1:5" hidden="1" x14ac:dyDescent="0.25">
      <c r="A461" t="s">
        <v>2031</v>
      </c>
      <c r="B461" t="s">
        <v>532</v>
      </c>
      <c r="C461" t="s">
        <v>1987</v>
      </c>
      <c r="D461" s="4" t="s">
        <v>3064</v>
      </c>
      <c r="E461" t="str">
        <f>IF(COUNTIF(Sayfa2!$A$2:$A$8,"*"&amp;D461&amp;"*")&gt;0, Sayfa2!$A$1,
 IF(COUNTIF(Sayfa2!$B$2:$B$8, "*"&amp;D461&amp;"*")&gt;0, Sayfa2!$B$1,
 IF(COUNTIF(Sayfa2!$C$2:$C$8, "*"&amp;D461&amp;"*")&gt;0, Sayfa2!$C$1,
 IF(COUNTIF(Sayfa2!$D$2:$D$8,"*"&amp;D461&amp;"*")&gt;0, Sayfa2!$D$1,
 IF(COUNTIF(Sayfa2!$E$2:$E$8, "*"&amp;D461&amp;"*")&gt;0, Sayfa2!$E$1, "Bulunamadı")))))</f>
        <v>SALI</v>
      </c>
    </row>
    <row r="462" spans="1:5" hidden="1" x14ac:dyDescent="0.25">
      <c r="A462" t="s">
        <v>2032</v>
      </c>
      <c r="B462" t="s">
        <v>533</v>
      </c>
      <c r="C462" t="s">
        <v>1998</v>
      </c>
      <c r="D462" s="4" t="s">
        <v>3062</v>
      </c>
      <c r="E462" t="str">
        <f>IF(COUNTIF(Sayfa2!$A$2:$A$8,"*"&amp;D462&amp;"*")&gt;0, Sayfa2!$A$1,
 IF(COUNTIF(Sayfa2!$B$2:$B$8, "*"&amp;D462&amp;"*")&gt;0, Sayfa2!$B$1,
 IF(COUNTIF(Sayfa2!$C$2:$C$8, "*"&amp;D462&amp;"*")&gt;0, Sayfa2!$C$1,
 IF(COUNTIF(Sayfa2!$D$2:$D$8,"*"&amp;D462&amp;"*")&gt;0, Sayfa2!$D$1,
 IF(COUNTIF(Sayfa2!$E$2:$E$8, "*"&amp;D462&amp;"*")&gt;0, Sayfa2!$E$1, "Bulunamadı")))))</f>
        <v>CUMA</v>
      </c>
    </row>
    <row r="463" spans="1:5" hidden="1" x14ac:dyDescent="0.25">
      <c r="A463" t="s">
        <v>2033</v>
      </c>
      <c r="B463" t="s">
        <v>534</v>
      </c>
      <c r="C463" t="s">
        <v>1987</v>
      </c>
      <c r="D463" s="4" t="s">
        <v>3064</v>
      </c>
      <c r="E463" t="str">
        <f>IF(COUNTIF(Sayfa2!$A$2:$A$8,"*"&amp;D463&amp;"*")&gt;0, Sayfa2!$A$1,
 IF(COUNTIF(Sayfa2!$B$2:$B$8, "*"&amp;D463&amp;"*")&gt;0, Sayfa2!$B$1,
 IF(COUNTIF(Sayfa2!$C$2:$C$8, "*"&amp;D463&amp;"*")&gt;0, Sayfa2!$C$1,
 IF(COUNTIF(Sayfa2!$D$2:$D$8,"*"&amp;D463&amp;"*")&gt;0, Sayfa2!$D$1,
 IF(COUNTIF(Sayfa2!$E$2:$E$8, "*"&amp;D463&amp;"*")&gt;0, Sayfa2!$E$1, "Bulunamadı")))))</f>
        <v>SALI</v>
      </c>
    </row>
    <row r="464" spans="1:5" hidden="1" x14ac:dyDescent="0.25">
      <c r="A464" t="s">
        <v>2034</v>
      </c>
      <c r="B464" t="s">
        <v>535</v>
      </c>
      <c r="C464" t="s">
        <v>1987</v>
      </c>
      <c r="D464" s="4" t="s">
        <v>3064</v>
      </c>
      <c r="E464" t="str">
        <f>IF(COUNTIF(Sayfa2!$A$2:$A$8,"*"&amp;D464&amp;"*")&gt;0, Sayfa2!$A$1,
 IF(COUNTIF(Sayfa2!$B$2:$B$8, "*"&amp;D464&amp;"*")&gt;0, Sayfa2!$B$1,
 IF(COUNTIF(Sayfa2!$C$2:$C$8, "*"&amp;D464&amp;"*")&gt;0, Sayfa2!$C$1,
 IF(COUNTIF(Sayfa2!$D$2:$D$8,"*"&amp;D464&amp;"*")&gt;0, Sayfa2!$D$1,
 IF(COUNTIF(Sayfa2!$E$2:$E$8, "*"&amp;D464&amp;"*")&gt;0, Sayfa2!$E$1, "Bulunamadı")))))</f>
        <v>SALI</v>
      </c>
    </row>
    <row r="465" spans="1:5" hidden="1" x14ac:dyDescent="0.25">
      <c r="A465" t="s">
        <v>2035</v>
      </c>
      <c r="B465" t="s">
        <v>536</v>
      </c>
      <c r="C465" t="s">
        <v>1987</v>
      </c>
      <c r="D465" s="4" t="s">
        <v>3064</v>
      </c>
      <c r="E465" t="str">
        <f>IF(COUNTIF(Sayfa2!$A$2:$A$8,"*"&amp;D465&amp;"*")&gt;0, Sayfa2!$A$1,
 IF(COUNTIF(Sayfa2!$B$2:$B$8, "*"&amp;D465&amp;"*")&gt;0, Sayfa2!$B$1,
 IF(COUNTIF(Sayfa2!$C$2:$C$8, "*"&amp;D465&amp;"*")&gt;0, Sayfa2!$C$1,
 IF(COUNTIF(Sayfa2!$D$2:$D$8,"*"&amp;D465&amp;"*")&gt;0, Sayfa2!$D$1,
 IF(COUNTIF(Sayfa2!$E$2:$E$8, "*"&amp;D465&amp;"*")&gt;0, Sayfa2!$E$1, "Bulunamadı")))))</f>
        <v>SALI</v>
      </c>
    </row>
    <row r="466" spans="1:5" hidden="1" x14ac:dyDescent="0.25">
      <c r="A466" t="s">
        <v>2036</v>
      </c>
      <c r="B466" t="s">
        <v>537</v>
      </c>
      <c r="C466" t="s">
        <v>1987</v>
      </c>
      <c r="D466" s="4" t="s">
        <v>3064</v>
      </c>
      <c r="E466" t="str">
        <f>IF(COUNTIF(Sayfa2!$A$2:$A$8,"*"&amp;D466&amp;"*")&gt;0, Sayfa2!$A$1,
 IF(COUNTIF(Sayfa2!$B$2:$B$8, "*"&amp;D466&amp;"*")&gt;0, Sayfa2!$B$1,
 IF(COUNTIF(Sayfa2!$C$2:$C$8, "*"&amp;D466&amp;"*")&gt;0, Sayfa2!$C$1,
 IF(COUNTIF(Sayfa2!$D$2:$D$8,"*"&amp;D466&amp;"*")&gt;0, Sayfa2!$D$1,
 IF(COUNTIF(Sayfa2!$E$2:$E$8, "*"&amp;D466&amp;"*")&gt;0, Sayfa2!$E$1, "Bulunamadı")))))</f>
        <v>SALI</v>
      </c>
    </row>
    <row r="467" spans="1:5" hidden="1" x14ac:dyDescent="0.25">
      <c r="A467" t="s">
        <v>2037</v>
      </c>
      <c r="B467" t="s">
        <v>538</v>
      </c>
      <c r="C467" t="s">
        <v>1987</v>
      </c>
      <c r="D467" s="4" t="s">
        <v>3064</v>
      </c>
      <c r="E467" t="str">
        <f>IF(COUNTIF(Sayfa2!$A$2:$A$8,"*"&amp;D467&amp;"*")&gt;0, Sayfa2!$A$1,
 IF(COUNTIF(Sayfa2!$B$2:$B$8, "*"&amp;D467&amp;"*")&gt;0, Sayfa2!$B$1,
 IF(COUNTIF(Sayfa2!$C$2:$C$8, "*"&amp;D467&amp;"*")&gt;0, Sayfa2!$C$1,
 IF(COUNTIF(Sayfa2!$D$2:$D$8,"*"&amp;D467&amp;"*")&gt;0, Sayfa2!$D$1,
 IF(COUNTIF(Sayfa2!$E$2:$E$8, "*"&amp;D467&amp;"*")&gt;0, Sayfa2!$E$1, "Bulunamadı")))))</f>
        <v>SALI</v>
      </c>
    </row>
    <row r="468" spans="1:5" hidden="1" x14ac:dyDescent="0.25">
      <c r="A468" t="s">
        <v>2038</v>
      </c>
      <c r="B468" t="s">
        <v>539</v>
      </c>
      <c r="C468" t="s">
        <v>1983</v>
      </c>
      <c r="D468" s="4" t="s">
        <v>3063</v>
      </c>
      <c r="E468" t="str">
        <f>IF(COUNTIF(Sayfa2!$A$2:$A$8,"*"&amp;D468&amp;"*")&gt;0, Sayfa2!$A$1,
 IF(COUNTIF(Sayfa2!$B$2:$B$8, "*"&amp;D468&amp;"*")&gt;0, Sayfa2!$B$1,
 IF(COUNTIF(Sayfa2!$C$2:$C$8, "*"&amp;D468&amp;"*")&gt;0, Sayfa2!$C$1,
 IF(COUNTIF(Sayfa2!$D$2:$D$8,"*"&amp;D468&amp;"*")&gt;0, Sayfa2!$D$1,
 IF(COUNTIF(Sayfa2!$E$2:$E$8, "*"&amp;D468&amp;"*")&gt;0, Sayfa2!$E$1, "Bulunamadı")))))</f>
        <v>PAZARTESİ</v>
      </c>
    </row>
    <row r="469" spans="1:5" hidden="1" x14ac:dyDescent="0.25">
      <c r="A469" t="s">
        <v>2039</v>
      </c>
      <c r="B469" t="s">
        <v>540</v>
      </c>
      <c r="C469" t="s">
        <v>1987</v>
      </c>
      <c r="D469" s="4" t="s">
        <v>3064</v>
      </c>
      <c r="E469" t="str">
        <f>IF(COUNTIF(Sayfa2!$A$2:$A$8,"*"&amp;D469&amp;"*")&gt;0, Sayfa2!$A$1,
 IF(COUNTIF(Sayfa2!$B$2:$B$8, "*"&amp;D469&amp;"*")&gt;0, Sayfa2!$B$1,
 IF(COUNTIF(Sayfa2!$C$2:$C$8, "*"&amp;D469&amp;"*")&gt;0, Sayfa2!$C$1,
 IF(COUNTIF(Sayfa2!$D$2:$D$8,"*"&amp;D469&amp;"*")&gt;0, Sayfa2!$D$1,
 IF(COUNTIF(Sayfa2!$E$2:$E$8, "*"&amp;D469&amp;"*")&gt;0, Sayfa2!$E$1, "Bulunamadı")))))</f>
        <v>SALI</v>
      </c>
    </row>
    <row r="470" spans="1:5" hidden="1" x14ac:dyDescent="0.25">
      <c r="A470" t="s">
        <v>2040</v>
      </c>
      <c r="B470" t="s">
        <v>541</v>
      </c>
      <c r="C470" t="s">
        <v>1998</v>
      </c>
      <c r="D470" s="4" t="s">
        <v>3062</v>
      </c>
      <c r="E470" t="str">
        <f>IF(COUNTIF(Sayfa2!$A$2:$A$8,"*"&amp;D470&amp;"*")&gt;0, Sayfa2!$A$1,
 IF(COUNTIF(Sayfa2!$B$2:$B$8, "*"&amp;D470&amp;"*")&gt;0, Sayfa2!$B$1,
 IF(COUNTIF(Sayfa2!$C$2:$C$8, "*"&amp;D470&amp;"*")&gt;0, Sayfa2!$C$1,
 IF(COUNTIF(Sayfa2!$D$2:$D$8,"*"&amp;D470&amp;"*")&gt;0, Sayfa2!$D$1,
 IF(COUNTIF(Sayfa2!$E$2:$E$8, "*"&amp;D470&amp;"*")&gt;0, Sayfa2!$E$1, "Bulunamadı")))))</f>
        <v>CUMA</v>
      </c>
    </row>
    <row r="471" spans="1:5" hidden="1" x14ac:dyDescent="0.25">
      <c r="A471" t="s">
        <v>2041</v>
      </c>
      <c r="B471" t="s">
        <v>542</v>
      </c>
      <c r="C471" t="s">
        <v>1987</v>
      </c>
      <c r="D471" s="4" t="s">
        <v>3064</v>
      </c>
      <c r="E471" t="str">
        <f>IF(COUNTIF(Sayfa2!$A$2:$A$8,"*"&amp;D471&amp;"*")&gt;0, Sayfa2!$A$1,
 IF(COUNTIF(Sayfa2!$B$2:$B$8, "*"&amp;D471&amp;"*")&gt;0, Sayfa2!$B$1,
 IF(COUNTIF(Sayfa2!$C$2:$C$8, "*"&amp;D471&amp;"*")&gt;0, Sayfa2!$C$1,
 IF(COUNTIF(Sayfa2!$D$2:$D$8,"*"&amp;D471&amp;"*")&gt;0, Sayfa2!$D$1,
 IF(COUNTIF(Sayfa2!$E$2:$E$8, "*"&amp;D471&amp;"*")&gt;0, Sayfa2!$E$1, "Bulunamadı")))))</f>
        <v>SALI</v>
      </c>
    </row>
    <row r="472" spans="1:5" hidden="1" x14ac:dyDescent="0.25">
      <c r="A472" t="s">
        <v>2042</v>
      </c>
      <c r="B472" t="s">
        <v>543</v>
      </c>
      <c r="C472" t="s">
        <v>2043</v>
      </c>
      <c r="D472" s="4" t="s">
        <v>3062</v>
      </c>
      <c r="E472" t="str">
        <f>IF(COUNTIF(Sayfa2!$A$2:$A$8,"*"&amp;D472&amp;"*")&gt;0, Sayfa2!$A$1,
 IF(COUNTIF(Sayfa2!$B$2:$B$8, "*"&amp;D472&amp;"*")&gt;0, Sayfa2!$B$1,
 IF(COUNTIF(Sayfa2!$C$2:$C$8, "*"&amp;D472&amp;"*")&gt;0, Sayfa2!$C$1,
 IF(COUNTIF(Sayfa2!$D$2:$D$8,"*"&amp;D472&amp;"*")&gt;0, Sayfa2!$D$1,
 IF(COUNTIF(Sayfa2!$E$2:$E$8, "*"&amp;D472&amp;"*")&gt;0, Sayfa2!$E$1, "Bulunamadı")))))</f>
        <v>CUMA</v>
      </c>
    </row>
    <row r="473" spans="1:5" hidden="1" x14ac:dyDescent="0.25">
      <c r="A473" t="s">
        <v>2044</v>
      </c>
      <c r="B473" t="s">
        <v>544</v>
      </c>
      <c r="C473" t="s">
        <v>2043</v>
      </c>
      <c r="D473" s="4" t="s">
        <v>3062</v>
      </c>
      <c r="E473" t="str">
        <f>IF(COUNTIF(Sayfa2!$A$2:$A$8,"*"&amp;D473&amp;"*")&gt;0, Sayfa2!$A$1,
 IF(COUNTIF(Sayfa2!$B$2:$B$8, "*"&amp;D473&amp;"*")&gt;0, Sayfa2!$B$1,
 IF(COUNTIF(Sayfa2!$C$2:$C$8, "*"&amp;D473&amp;"*")&gt;0, Sayfa2!$C$1,
 IF(COUNTIF(Sayfa2!$D$2:$D$8,"*"&amp;D473&amp;"*")&gt;0, Sayfa2!$D$1,
 IF(COUNTIF(Sayfa2!$E$2:$E$8, "*"&amp;D473&amp;"*")&gt;0, Sayfa2!$E$1, "Bulunamadı")))))</f>
        <v>CUMA</v>
      </c>
    </row>
    <row r="474" spans="1:5" hidden="1" x14ac:dyDescent="0.25">
      <c r="A474" t="s">
        <v>2045</v>
      </c>
      <c r="B474" t="s">
        <v>545</v>
      </c>
      <c r="C474" t="s">
        <v>2043</v>
      </c>
      <c r="D474" s="4" t="s">
        <v>3062</v>
      </c>
      <c r="E474" t="str">
        <f>IF(COUNTIF(Sayfa2!$A$2:$A$8,"*"&amp;D474&amp;"*")&gt;0, Sayfa2!$A$1,
 IF(COUNTIF(Sayfa2!$B$2:$B$8, "*"&amp;D474&amp;"*")&gt;0, Sayfa2!$B$1,
 IF(COUNTIF(Sayfa2!$C$2:$C$8, "*"&amp;D474&amp;"*")&gt;0, Sayfa2!$C$1,
 IF(COUNTIF(Sayfa2!$D$2:$D$8,"*"&amp;D474&amp;"*")&gt;0, Sayfa2!$D$1,
 IF(COUNTIF(Sayfa2!$E$2:$E$8, "*"&amp;D474&amp;"*")&gt;0, Sayfa2!$E$1, "Bulunamadı")))))</f>
        <v>CUMA</v>
      </c>
    </row>
    <row r="475" spans="1:5" hidden="1" x14ac:dyDescent="0.25">
      <c r="A475" t="s">
        <v>2046</v>
      </c>
      <c r="B475" t="s">
        <v>546</v>
      </c>
      <c r="C475" t="s">
        <v>2043</v>
      </c>
      <c r="D475" s="4" t="s">
        <v>3062</v>
      </c>
      <c r="E475" t="str">
        <f>IF(COUNTIF(Sayfa2!$A$2:$A$8,"*"&amp;D475&amp;"*")&gt;0, Sayfa2!$A$1,
 IF(COUNTIF(Sayfa2!$B$2:$B$8, "*"&amp;D475&amp;"*")&gt;0, Sayfa2!$B$1,
 IF(COUNTIF(Sayfa2!$C$2:$C$8, "*"&amp;D475&amp;"*")&gt;0, Sayfa2!$C$1,
 IF(COUNTIF(Sayfa2!$D$2:$D$8,"*"&amp;D475&amp;"*")&gt;0, Sayfa2!$D$1,
 IF(COUNTIF(Sayfa2!$E$2:$E$8, "*"&amp;D475&amp;"*")&gt;0, Sayfa2!$E$1, "Bulunamadı")))))</f>
        <v>CUMA</v>
      </c>
    </row>
    <row r="476" spans="1:5" hidden="1" x14ac:dyDescent="0.25">
      <c r="A476" t="s">
        <v>2047</v>
      </c>
      <c r="B476" t="s">
        <v>547</v>
      </c>
      <c r="C476" t="s">
        <v>2043</v>
      </c>
      <c r="D476" s="4" t="s">
        <v>3062</v>
      </c>
      <c r="E476" t="str">
        <f>IF(COUNTIF(Sayfa2!$A$2:$A$8,"*"&amp;D476&amp;"*")&gt;0, Sayfa2!$A$1,
 IF(COUNTIF(Sayfa2!$B$2:$B$8, "*"&amp;D476&amp;"*")&gt;0, Sayfa2!$B$1,
 IF(COUNTIF(Sayfa2!$C$2:$C$8, "*"&amp;D476&amp;"*")&gt;0, Sayfa2!$C$1,
 IF(COUNTIF(Sayfa2!$D$2:$D$8,"*"&amp;D476&amp;"*")&gt;0, Sayfa2!$D$1,
 IF(COUNTIF(Sayfa2!$E$2:$E$8, "*"&amp;D476&amp;"*")&gt;0, Sayfa2!$E$1, "Bulunamadı")))))</f>
        <v>CUMA</v>
      </c>
    </row>
    <row r="477" spans="1:5" hidden="1" x14ac:dyDescent="0.25">
      <c r="A477" t="s">
        <v>2048</v>
      </c>
      <c r="B477" t="s">
        <v>548</v>
      </c>
      <c r="C477" t="s">
        <v>2043</v>
      </c>
      <c r="D477" s="4" t="s">
        <v>3062</v>
      </c>
      <c r="E477" t="str">
        <f>IF(COUNTIF(Sayfa2!$A$2:$A$8,"*"&amp;D477&amp;"*")&gt;0, Sayfa2!$A$1,
 IF(COUNTIF(Sayfa2!$B$2:$B$8, "*"&amp;D477&amp;"*")&gt;0, Sayfa2!$B$1,
 IF(COUNTIF(Sayfa2!$C$2:$C$8, "*"&amp;D477&amp;"*")&gt;0, Sayfa2!$C$1,
 IF(COUNTIF(Sayfa2!$D$2:$D$8,"*"&amp;D477&amp;"*")&gt;0, Sayfa2!$D$1,
 IF(COUNTIF(Sayfa2!$E$2:$E$8, "*"&amp;D477&amp;"*")&gt;0, Sayfa2!$E$1, "Bulunamadı")))))</f>
        <v>CUMA</v>
      </c>
    </row>
    <row r="478" spans="1:5" hidden="1" x14ac:dyDescent="0.25">
      <c r="A478" t="s">
        <v>2049</v>
      </c>
      <c r="B478" t="s">
        <v>549</v>
      </c>
      <c r="C478" t="s">
        <v>2043</v>
      </c>
      <c r="D478" s="4" t="s">
        <v>3062</v>
      </c>
      <c r="E478" t="str">
        <f>IF(COUNTIF(Sayfa2!$A$2:$A$8,"*"&amp;D478&amp;"*")&gt;0, Sayfa2!$A$1,
 IF(COUNTIF(Sayfa2!$B$2:$B$8, "*"&amp;D478&amp;"*")&gt;0, Sayfa2!$B$1,
 IF(COUNTIF(Sayfa2!$C$2:$C$8, "*"&amp;D478&amp;"*")&gt;0, Sayfa2!$C$1,
 IF(COUNTIF(Sayfa2!$D$2:$D$8,"*"&amp;D478&amp;"*")&gt;0, Sayfa2!$D$1,
 IF(COUNTIF(Sayfa2!$E$2:$E$8, "*"&amp;D478&amp;"*")&gt;0, Sayfa2!$E$1, "Bulunamadı")))))</f>
        <v>CUMA</v>
      </c>
    </row>
    <row r="479" spans="1:5" hidden="1" x14ac:dyDescent="0.25">
      <c r="A479" t="s">
        <v>2050</v>
      </c>
      <c r="B479" t="s">
        <v>470</v>
      </c>
      <c r="C479" t="s">
        <v>2051</v>
      </c>
      <c r="D479" s="4" t="s">
        <v>3065</v>
      </c>
      <c r="E479" t="str">
        <f>IF(COUNTIF(Sayfa2!$A$2:$A$8,"*"&amp;D479&amp;"*")&gt;0, Sayfa2!$A$1,
 IF(COUNTIF(Sayfa2!$B$2:$B$8, "*"&amp;D479&amp;"*")&gt;0, Sayfa2!$B$1,
 IF(COUNTIF(Sayfa2!$C$2:$C$8, "*"&amp;D479&amp;"*")&gt;0, Sayfa2!$C$1,
 IF(COUNTIF(Sayfa2!$D$2:$D$8,"*"&amp;D479&amp;"*")&gt;0, Sayfa2!$D$1,
 IF(COUNTIF(Sayfa2!$E$2:$E$8, "*"&amp;D479&amp;"*")&gt;0, Sayfa2!$E$1, "Bulunamadı")))))</f>
        <v>ÇARŞAMBA</v>
      </c>
    </row>
    <row r="480" spans="1:5" hidden="1" x14ac:dyDescent="0.25">
      <c r="A480" t="s">
        <v>2052</v>
      </c>
      <c r="B480" t="s">
        <v>551</v>
      </c>
      <c r="C480" t="s">
        <v>2051</v>
      </c>
      <c r="D480" s="4" t="s">
        <v>3065</v>
      </c>
      <c r="E480" t="str">
        <f>IF(COUNTIF(Sayfa2!$A$2:$A$8,"*"&amp;D480&amp;"*")&gt;0, Sayfa2!$A$1,
 IF(COUNTIF(Sayfa2!$B$2:$B$8, "*"&amp;D480&amp;"*")&gt;0, Sayfa2!$B$1,
 IF(COUNTIF(Sayfa2!$C$2:$C$8, "*"&amp;D480&amp;"*")&gt;0, Sayfa2!$C$1,
 IF(COUNTIF(Sayfa2!$D$2:$D$8,"*"&amp;D480&amp;"*")&gt;0, Sayfa2!$D$1,
 IF(COUNTIF(Sayfa2!$E$2:$E$8, "*"&amp;D480&amp;"*")&gt;0, Sayfa2!$E$1, "Bulunamadı")))))</f>
        <v>ÇARŞAMBA</v>
      </c>
    </row>
    <row r="481" spans="1:5" hidden="1" x14ac:dyDescent="0.25">
      <c r="A481" t="s">
        <v>2053</v>
      </c>
      <c r="B481" t="s">
        <v>552</v>
      </c>
      <c r="C481" t="s">
        <v>2054</v>
      </c>
      <c r="D481" s="4" t="s">
        <v>3066</v>
      </c>
      <c r="E481" t="str">
        <f>IF(COUNTIF(Sayfa2!$A$2:$A$8,"*"&amp;D481&amp;"*")&gt;0, Sayfa2!$A$1,
 IF(COUNTIF(Sayfa2!$B$2:$B$8, "*"&amp;D481&amp;"*")&gt;0, Sayfa2!$B$1,
 IF(COUNTIF(Sayfa2!$C$2:$C$8, "*"&amp;D481&amp;"*")&gt;0, Sayfa2!$C$1,
 IF(COUNTIF(Sayfa2!$D$2:$D$8,"*"&amp;D481&amp;"*")&gt;0, Sayfa2!$D$1,
 IF(COUNTIF(Sayfa2!$E$2:$E$8, "*"&amp;D481&amp;"*")&gt;0, Sayfa2!$E$1, "Bulunamadı")))))</f>
        <v>PERŞEMBE</v>
      </c>
    </row>
    <row r="482" spans="1:5" hidden="1" x14ac:dyDescent="0.25">
      <c r="A482" t="s">
        <v>2055</v>
      </c>
      <c r="B482" t="s">
        <v>553</v>
      </c>
      <c r="C482" t="s">
        <v>2056</v>
      </c>
      <c r="D482" s="4" t="s">
        <v>3062</v>
      </c>
      <c r="E482" t="str">
        <f>IF(COUNTIF(Sayfa2!$A$2:$A$8,"*"&amp;D482&amp;"*")&gt;0, Sayfa2!$A$1,
 IF(COUNTIF(Sayfa2!$B$2:$B$8, "*"&amp;D482&amp;"*")&gt;0, Sayfa2!$B$1,
 IF(COUNTIF(Sayfa2!$C$2:$C$8, "*"&amp;D482&amp;"*")&gt;0, Sayfa2!$C$1,
 IF(COUNTIF(Sayfa2!$D$2:$D$8,"*"&amp;D482&amp;"*")&gt;0, Sayfa2!$D$1,
 IF(COUNTIF(Sayfa2!$E$2:$E$8, "*"&amp;D482&amp;"*")&gt;0, Sayfa2!$E$1, "Bulunamadı")))))</f>
        <v>CUMA</v>
      </c>
    </row>
    <row r="483" spans="1:5" hidden="1" x14ac:dyDescent="0.25">
      <c r="A483" t="s">
        <v>2057</v>
      </c>
      <c r="B483" t="s">
        <v>555</v>
      </c>
      <c r="C483" t="s">
        <v>2058</v>
      </c>
      <c r="D483" s="4" t="s">
        <v>3066</v>
      </c>
      <c r="E483" t="str">
        <f>IF(COUNTIF(Sayfa2!$A$2:$A$8,"*"&amp;D483&amp;"*")&gt;0, Sayfa2!$A$1,
 IF(COUNTIF(Sayfa2!$B$2:$B$8, "*"&amp;D483&amp;"*")&gt;0, Sayfa2!$B$1,
 IF(COUNTIF(Sayfa2!$C$2:$C$8, "*"&amp;D483&amp;"*")&gt;0, Sayfa2!$C$1,
 IF(COUNTIF(Sayfa2!$D$2:$D$8,"*"&amp;D483&amp;"*")&gt;0, Sayfa2!$D$1,
 IF(COUNTIF(Sayfa2!$E$2:$E$8, "*"&amp;D483&amp;"*")&gt;0, Sayfa2!$E$1, "Bulunamadı")))))</f>
        <v>PERŞEMBE</v>
      </c>
    </row>
    <row r="484" spans="1:5" hidden="1" x14ac:dyDescent="0.25">
      <c r="A484" t="s">
        <v>2059</v>
      </c>
      <c r="B484" t="s">
        <v>557</v>
      </c>
      <c r="C484" t="s">
        <v>2060</v>
      </c>
      <c r="D484" s="4" t="s">
        <v>3072</v>
      </c>
      <c r="E484" t="str">
        <f>IF(COUNTIF(Sayfa2!$A$2:$A$8,"*"&amp;D484&amp;"*")&gt;0, Sayfa2!$A$1,
 IF(COUNTIF(Sayfa2!$B$2:$B$8, "*"&amp;D484&amp;"*")&gt;0, Sayfa2!$B$1,
 IF(COUNTIF(Sayfa2!$C$2:$C$8, "*"&amp;D484&amp;"*")&gt;0, Sayfa2!$C$1,
 IF(COUNTIF(Sayfa2!$D$2:$D$8,"*"&amp;D484&amp;"*")&gt;0, Sayfa2!$D$1,
 IF(COUNTIF(Sayfa2!$E$2:$E$8, "*"&amp;D484&amp;"*")&gt;0, Sayfa2!$E$1, "Bulunamadı")))))</f>
        <v>CUMA</v>
      </c>
    </row>
    <row r="485" spans="1:5" hidden="1" x14ac:dyDescent="0.25">
      <c r="A485" t="s">
        <v>2061</v>
      </c>
      <c r="B485" t="s">
        <v>559</v>
      </c>
      <c r="C485" t="s">
        <v>2060</v>
      </c>
      <c r="D485" s="4" t="s">
        <v>3072</v>
      </c>
      <c r="E485" t="str">
        <f>IF(COUNTIF(Sayfa2!$A$2:$A$8,"*"&amp;D485&amp;"*")&gt;0, Sayfa2!$A$1,
 IF(COUNTIF(Sayfa2!$B$2:$B$8, "*"&amp;D485&amp;"*")&gt;0, Sayfa2!$B$1,
 IF(COUNTIF(Sayfa2!$C$2:$C$8, "*"&amp;D485&amp;"*")&gt;0, Sayfa2!$C$1,
 IF(COUNTIF(Sayfa2!$D$2:$D$8,"*"&amp;D485&amp;"*")&gt;0, Sayfa2!$D$1,
 IF(COUNTIF(Sayfa2!$E$2:$E$8, "*"&amp;D485&amp;"*")&gt;0, Sayfa2!$E$1, "Bulunamadı")))))</f>
        <v>CUMA</v>
      </c>
    </row>
    <row r="486" spans="1:5" hidden="1" x14ac:dyDescent="0.25">
      <c r="A486" t="s">
        <v>2062</v>
      </c>
      <c r="B486" t="s">
        <v>560</v>
      </c>
      <c r="C486" t="s">
        <v>2060</v>
      </c>
      <c r="D486" s="4" t="s">
        <v>3072</v>
      </c>
      <c r="E486" t="str">
        <f>IF(COUNTIF(Sayfa2!$A$2:$A$8,"*"&amp;D486&amp;"*")&gt;0, Sayfa2!$A$1,
 IF(COUNTIF(Sayfa2!$B$2:$B$8, "*"&amp;D486&amp;"*")&gt;0, Sayfa2!$B$1,
 IF(COUNTIF(Sayfa2!$C$2:$C$8, "*"&amp;D486&amp;"*")&gt;0, Sayfa2!$C$1,
 IF(COUNTIF(Sayfa2!$D$2:$D$8,"*"&amp;D486&amp;"*")&gt;0, Sayfa2!$D$1,
 IF(COUNTIF(Sayfa2!$E$2:$E$8, "*"&amp;D486&amp;"*")&gt;0, Sayfa2!$E$1, "Bulunamadı")))))</f>
        <v>CUMA</v>
      </c>
    </row>
    <row r="487" spans="1:5" hidden="1" x14ac:dyDescent="0.25">
      <c r="A487" t="s">
        <v>2063</v>
      </c>
      <c r="B487" t="s">
        <v>561</v>
      </c>
      <c r="C487" t="s">
        <v>2060</v>
      </c>
      <c r="D487" s="4" t="s">
        <v>3072</v>
      </c>
      <c r="E487" t="str">
        <f>IF(COUNTIF(Sayfa2!$A$2:$A$8,"*"&amp;D487&amp;"*")&gt;0, Sayfa2!$A$1,
 IF(COUNTIF(Sayfa2!$B$2:$B$8, "*"&amp;D487&amp;"*")&gt;0, Sayfa2!$B$1,
 IF(COUNTIF(Sayfa2!$C$2:$C$8, "*"&amp;D487&amp;"*")&gt;0, Sayfa2!$C$1,
 IF(COUNTIF(Sayfa2!$D$2:$D$8,"*"&amp;D487&amp;"*")&gt;0, Sayfa2!$D$1,
 IF(COUNTIF(Sayfa2!$E$2:$E$8, "*"&amp;D487&amp;"*")&gt;0, Sayfa2!$E$1, "Bulunamadı")))))</f>
        <v>CUMA</v>
      </c>
    </row>
    <row r="488" spans="1:5" hidden="1" x14ac:dyDescent="0.25">
      <c r="A488" t="s">
        <v>2064</v>
      </c>
      <c r="B488" t="s">
        <v>562</v>
      </c>
      <c r="C488" t="s">
        <v>2060</v>
      </c>
      <c r="D488" s="4" t="s">
        <v>3072</v>
      </c>
      <c r="E488" t="str">
        <f>IF(COUNTIF(Sayfa2!$A$2:$A$8,"*"&amp;D488&amp;"*")&gt;0, Sayfa2!$A$1,
 IF(COUNTIF(Sayfa2!$B$2:$B$8, "*"&amp;D488&amp;"*")&gt;0, Sayfa2!$B$1,
 IF(COUNTIF(Sayfa2!$C$2:$C$8, "*"&amp;D488&amp;"*")&gt;0, Sayfa2!$C$1,
 IF(COUNTIF(Sayfa2!$D$2:$D$8,"*"&amp;D488&amp;"*")&gt;0, Sayfa2!$D$1,
 IF(COUNTIF(Sayfa2!$E$2:$E$8, "*"&amp;D488&amp;"*")&gt;0, Sayfa2!$E$1, "Bulunamadı")))))</f>
        <v>CUMA</v>
      </c>
    </row>
    <row r="489" spans="1:5" hidden="1" x14ac:dyDescent="0.25">
      <c r="A489" t="s">
        <v>2065</v>
      </c>
      <c r="B489" t="s">
        <v>563</v>
      </c>
      <c r="C489" t="s">
        <v>2060</v>
      </c>
      <c r="D489" s="4" t="s">
        <v>3072</v>
      </c>
      <c r="E489" t="str">
        <f>IF(COUNTIF(Sayfa2!$A$2:$A$8,"*"&amp;D489&amp;"*")&gt;0, Sayfa2!$A$1,
 IF(COUNTIF(Sayfa2!$B$2:$B$8, "*"&amp;D489&amp;"*")&gt;0, Sayfa2!$B$1,
 IF(COUNTIF(Sayfa2!$C$2:$C$8, "*"&amp;D489&amp;"*")&gt;0, Sayfa2!$C$1,
 IF(COUNTIF(Sayfa2!$D$2:$D$8,"*"&amp;D489&amp;"*")&gt;0, Sayfa2!$D$1,
 IF(COUNTIF(Sayfa2!$E$2:$E$8, "*"&amp;D489&amp;"*")&gt;0, Sayfa2!$E$1, "Bulunamadı")))))</f>
        <v>CUMA</v>
      </c>
    </row>
    <row r="490" spans="1:5" hidden="1" x14ac:dyDescent="0.25">
      <c r="A490" t="s">
        <v>2066</v>
      </c>
      <c r="B490" t="s">
        <v>564</v>
      </c>
      <c r="C490" t="s">
        <v>2060</v>
      </c>
      <c r="D490" s="4" t="s">
        <v>3072</v>
      </c>
      <c r="E490" t="str">
        <f>IF(COUNTIF(Sayfa2!$A$2:$A$8,"*"&amp;D490&amp;"*")&gt;0, Sayfa2!$A$1,
 IF(COUNTIF(Sayfa2!$B$2:$B$8, "*"&amp;D490&amp;"*")&gt;0, Sayfa2!$B$1,
 IF(COUNTIF(Sayfa2!$C$2:$C$8, "*"&amp;D490&amp;"*")&gt;0, Sayfa2!$C$1,
 IF(COUNTIF(Sayfa2!$D$2:$D$8,"*"&amp;D490&amp;"*")&gt;0, Sayfa2!$D$1,
 IF(COUNTIF(Sayfa2!$E$2:$E$8, "*"&amp;D490&amp;"*")&gt;0, Sayfa2!$E$1, "Bulunamadı")))))</f>
        <v>CUMA</v>
      </c>
    </row>
    <row r="491" spans="1:5" hidden="1" x14ac:dyDescent="0.25">
      <c r="A491" t="s">
        <v>2067</v>
      </c>
      <c r="B491" t="s">
        <v>565</v>
      </c>
      <c r="C491" t="s">
        <v>2060</v>
      </c>
      <c r="D491" s="4" t="s">
        <v>3072</v>
      </c>
      <c r="E491" t="str">
        <f>IF(COUNTIF(Sayfa2!$A$2:$A$8,"*"&amp;D491&amp;"*")&gt;0, Sayfa2!$A$1,
 IF(COUNTIF(Sayfa2!$B$2:$B$8, "*"&amp;D491&amp;"*")&gt;0, Sayfa2!$B$1,
 IF(COUNTIF(Sayfa2!$C$2:$C$8, "*"&amp;D491&amp;"*")&gt;0, Sayfa2!$C$1,
 IF(COUNTIF(Sayfa2!$D$2:$D$8,"*"&amp;D491&amp;"*")&gt;0, Sayfa2!$D$1,
 IF(COUNTIF(Sayfa2!$E$2:$E$8, "*"&amp;D491&amp;"*")&gt;0, Sayfa2!$E$1, "Bulunamadı")))))</f>
        <v>CUMA</v>
      </c>
    </row>
    <row r="492" spans="1:5" hidden="1" x14ac:dyDescent="0.25">
      <c r="A492" t="s">
        <v>2068</v>
      </c>
      <c r="B492" t="s">
        <v>566</v>
      </c>
      <c r="C492" t="s">
        <v>2060</v>
      </c>
      <c r="D492" s="4" t="s">
        <v>3072</v>
      </c>
      <c r="E492" t="str">
        <f>IF(COUNTIF(Sayfa2!$A$2:$A$8,"*"&amp;D492&amp;"*")&gt;0, Sayfa2!$A$1,
 IF(COUNTIF(Sayfa2!$B$2:$B$8, "*"&amp;D492&amp;"*")&gt;0, Sayfa2!$B$1,
 IF(COUNTIF(Sayfa2!$C$2:$C$8, "*"&amp;D492&amp;"*")&gt;0, Sayfa2!$C$1,
 IF(COUNTIF(Sayfa2!$D$2:$D$8,"*"&amp;D492&amp;"*")&gt;0, Sayfa2!$D$1,
 IF(COUNTIF(Sayfa2!$E$2:$E$8, "*"&amp;D492&amp;"*")&gt;0, Sayfa2!$E$1, "Bulunamadı")))))</f>
        <v>CUMA</v>
      </c>
    </row>
    <row r="493" spans="1:5" hidden="1" x14ac:dyDescent="0.25">
      <c r="A493" t="s">
        <v>2069</v>
      </c>
      <c r="B493" t="s">
        <v>567</v>
      </c>
      <c r="C493" t="s">
        <v>2060</v>
      </c>
      <c r="D493" s="4" t="s">
        <v>3072</v>
      </c>
      <c r="E493" t="str">
        <f>IF(COUNTIF(Sayfa2!$A$2:$A$8,"*"&amp;D493&amp;"*")&gt;0, Sayfa2!$A$1,
 IF(COUNTIF(Sayfa2!$B$2:$B$8, "*"&amp;D493&amp;"*")&gt;0, Sayfa2!$B$1,
 IF(COUNTIF(Sayfa2!$C$2:$C$8, "*"&amp;D493&amp;"*")&gt;0, Sayfa2!$C$1,
 IF(COUNTIF(Sayfa2!$D$2:$D$8,"*"&amp;D493&amp;"*")&gt;0, Sayfa2!$D$1,
 IF(COUNTIF(Sayfa2!$E$2:$E$8, "*"&amp;D493&amp;"*")&gt;0, Sayfa2!$E$1, "Bulunamadı")))))</f>
        <v>CUMA</v>
      </c>
    </row>
    <row r="494" spans="1:5" hidden="1" x14ac:dyDescent="0.25">
      <c r="A494" t="s">
        <v>2070</v>
      </c>
      <c r="B494" t="s">
        <v>568</v>
      </c>
      <c r="C494" t="s">
        <v>2060</v>
      </c>
      <c r="D494" s="4" t="s">
        <v>3072</v>
      </c>
      <c r="E494" t="str">
        <f>IF(COUNTIF(Sayfa2!$A$2:$A$8,"*"&amp;D494&amp;"*")&gt;0, Sayfa2!$A$1,
 IF(COUNTIF(Sayfa2!$B$2:$B$8, "*"&amp;D494&amp;"*")&gt;0, Sayfa2!$B$1,
 IF(COUNTIF(Sayfa2!$C$2:$C$8, "*"&amp;D494&amp;"*")&gt;0, Sayfa2!$C$1,
 IF(COUNTIF(Sayfa2!$D$2:$D$8,"*"&amp;D494&amp;"*")&gt;0, Sayfa2!$D$1,
 IF(COUNTIF(Sayfa2!$E$2:$E$8, "*"&amp;D494&amp;"*")&gt;0, Sayfa2!$E$1, "Bulunamadı")))))</f>
        <v>CUMA</v>
      </c>
    </row>
    <row r="495" spans="1:5" hidden="1" x14ac:dyDescent="0.25">
      <c r="A495" t="s">
        <v>2071</v>
      </c>
      <c r="B495" t="s">
        <v>569</v>
      </c>
      <c r="C495" t="s">
        <v>2060</v>
      </c>
      <c r="D495" s="4" t="s">
        <v>3072</v>
      </c>
      <c r="E495" t="str">
        <f>IF(COUNTIF(Sayfa2!$A$2:$A$8,"*"&amp;D495&amp;"*")&gt;0, Sayfa2!$A$1,
 IF(COUNTIF(Sayfa2!$B$2:$B$8, "*"&amp;D495&amp;"*")&gt;0, Sayfa2!$B$1,
 IF(COUNTIF(Sayfa2!$C$2:$C$8, "*"&amp;D495&amp;"*")&gt;0, Sayfa2!$C$1,
 IF(COUNTIF(Sayfa2!$D$2:$D$8,"*"&amp;D495&amp;"*")&gt;0, Sayfa2!$D$1,
 IF(COUNTIF(Sayfa2!$E$2:$E$8, "*"&amp;D495&amp;"*")&gt;0, Sayfa2!$E$1, "Bulunamadı")))))</f>
        <v>CUMA</v>
      </c>
    </row>
    <row r="496" spans="1:5" hidden="1" x14ac:dyDescent="0.25">
      <c r="A496" t="s">
        <v>2072</v>
      </c>
      <c r="B496" t="s">
        <v>570</v>
      </c>
      <c r="C496" t="s">
        <v>2073</v>
      </c>
      <c r="D496" s="4" t="s">
        <v>3065</v>
      </c>
      <c r="E496" t="str">
        <f>IF(COUNTIF(Sayfa2!$A$2:$A$8,"*"&amp;D496&amp;"*")&gt;0, Sayfa2!$A$1,
 IF(COUNTIF(Sayfa2!$B$2:$B$8, "*"&amp;D496&amp;"*")&gt;0, Sayfa2!$B$1,
 IF(COUNTIF(Sayfa2!$C$2:$C$8, "*"&amp;D496&amp;"*")&gt;0, Sayfa2!$C$1,
 IF(COUNTIF(Sayfa2!$D$2:$D$8,"*"&amp;D496&amp;"*")&gt;0, Sayfa2!$D$1,
 IF(COUNTIF(Sayfa2!$E$2:$E$8, "*"&amp;D496&amp;"*")&gt;0, Sayfa2!$E$1, "Bulunamadı")))))</f>
        <v>ÇARŞAMBA</v>
      </c>
    </row>
    <row r="497" spans="1:5" hidden="1" x14ac:dyDescent="0.25">
      <c r="A497" t="s">
        <v>2074</v>
      </c>
      <c r="B497" t="s">
        <v>571</v>
      </c>
      <c r="C497" t="s">
        <v>2073</v>
      </c>
      <c r="D497" s="4" t="s">
        <v>3065</v>
      </c>
      <c r="E497" t="str">
        <f>IF(COUNTIF(Sayfa2!$A$2:$A$8,"*"&amp;D497&amp;"*")&gt;0, Sayfa2!$A$1,
 IF(COUNTIF(Sayfa2!$B$2:$B$8, "*"&amp;D497&amp;"*")&gt;0, Sayfa2!$B$1,
 IF(COUNTIF(Sayfa2!$C$2:$C$8, "*"&amp;D497&amp;"*")&gt;0, Sayfa2!$C$1,
 IF(COUNTIF(Sayfa2!$D$2:$D$8,"*"&amp;D497&amp;"*")&gt;0, Sayfa2!$D$1,
 IF(COUNTIF(Sayfa2!$E$2:$E$8, "*"&amp;D497&amp;"*")&gt;0, Sayfa2!$E$1, "Bulunamadı")))))</f>
        <v>ÇARŞAMBA</v>
      </c>
    </row>
    <row r="498" spans="1:5" hidden="1" x14ac:dyDescent="0.25">
      <c r="A498" t="s">
        <v>2075</v>
      </c>
      <c r="B498" t="s">
        <v>572</v>
      </c>
      <c r="C498" t="s">
        <v>2073</v>
      </c>
      <c r="D498" s="4" t="s">
        <v>3065</v>
      </c>
      <c r="E498" t="str">
        <f>IF(COUNTIF(Sayfa2!$A$2:$A$8,"*"&amp;D498&amp;"*")&gt;0, Sayfa2!$A$1,
 IF(COUNTIF(Sayfa2!$B$2:$B$8, "*"&amp;D498&amp;"*")&gt;0, Sayfa2!$B$1,
 IF(COUNTIF(Sayfa2!$C$2:$C$8, "*"&amp;D498&amp;"*")&gt;0, Sayfa2!$C$1,
 IF(COUNTIF(Sayfa2!$D$2:$D$8,"*"&amp;D498&amp;"*")&gt;0, Sayfa2!$D$1,
 IF(COUNTIF(Sayfa2!$E$2:$E$8, "*"&amp;D498&amp;"*")&gt;0, Sayfa2!$E$1, "Bulunamadı")))))</f>
        <v>ÇARŞAMBA</v>
      </c>
    </row>
    <row r="499" spans="1:5" hidden="1" x14ac:dyDescent="0.25">
      <c r="A499" t="s">
        <v>2076</v>
      </c>
      <c r="B499" t="s">
        <v>573</v>
      </c>
      <c r="C499" t="s">
        <v>2077</v>
      </c>
      <c r="D499" s="4" t="s">
        <v>3072</v>
      </c>
      <c r="E499" t="str">
        <f>IF(COUNTIF(Sayfa2!$A$2:$A$8,"*"&amp;D499&amp;"*")&gt;0, Sayfa2!$A$1,
 IF(COUNTIF(Sayfa2!$B$2:$B$8, "*"&amp;D499&amp;"*")&gt;0, Sayfa2!$B$1,
 IF(COUNTIF(Sayfa2!$C$2:$C$8, "*"&amp;D499&amp;"*")&gt;0, Sayfa2!$C$1,
 IF(COUNTIF(Sayfa2!$D$2:$D$8,"*"&amp;D499&amp;"*")&gt;0, Sayfa2!$D$1,
 IF(COUNTIF(Sayfa2!$E$2:$E$8, "*"&amp;D499&amp;"*")&gt;0, Sayfa2!$E$1, "Bulunamadı")))))</f>
        <v>CUMA</v>
      </c>
    </row>
    <row r="500" spans="1:5" hidden="1" x14ac:dyDescent="0.25">
      <c r="A500" t="s">
        <v>2078</v>
      </c>
      <c r="B500" t="s">
        <v>574</v>
      </c>
      <c r="C500" t="s">
        <v>2079</v>
      </c>
      <c r="D500" s="4" t="s">
        <v>3068</v>
      </c>
      <c r="E500" t="str">
        <f>IF(COUNTIF(Sayfa2!$A$2:$A$8,"*"&amp;D500&amp;"*")&gt;0, Sayfa2!$A$1,
 IF(COUNTIF(Sayfa2!$B$2:$B$8, "*"&amp;D500&amp;"*")&gt;0, Sayfa2!$B$1,
 IF(COUNTIF(Sayfa2!$C$2:$C$8, "*"&amp;D500&amp;"*")&gt;0, Sayfa2!$C$1,
 IF(COUNTIF(Sayfa2!$D$2:$D$8,"*"&amp;D500&amp;"*")&gt;0, Sayfa2!$D$1,
 IF(COUNTIF(Sayfa2!$E$2:$E$8, "*"&amp;D500&amp;"*")&gt;0, Sayfa2!$E$1, "Bulunamadı")))))</f>
        <v>PAZARTESİ</v>
      </c>
    </row>
    <row r="501" spans="1:5" hidden="1" x14ac:dyDescent="0.25">
      <c r="A501" t="s">
        <v>2080</v>
      </c>
      <c r="B501" t="s">
        <v>575</v>
      </c>
      <c r="C501" t="s">
        <v>2081</v>
      </c>
      <c r="D501" s="4" t="s">
        <v>3063</v>
      </c>
      <c r="E501" t="str">
        <f>IF(COUNTIF(Sayfa2!$A$2:$A$8,"*"&amp;D501&amp;"*")&gt;0, Sayfa2!$A$1,
 IF(COUNTIF(Sayfa2!$B$2:$B$8, "*"&amp;D501&amp;"*")&gt;0, Sayfa2!$B$1,
 IF(COUNTIF(Sayfa2!$C$2:$C$8, "*"&amp;D501&amp;"*")&gt;0, Sayfa2!$C$1,
 IF(COUNTIF(Sayfa2!$D$2:$D$8,"*"&amp;D501&amp;"*")&gt;0, Sayfa2!$D$1,
 IF(COUNTIF(Sayfa2!$E$2:$E$8, "*"&amp;D501&amp;"*")&gt;0, Sayfa2!$E$1, "Bulunamadı")))))</f>
        <v>PAZARTESİ</v>
      </c>
    </row>
    <row r="502" spans="1:5" hidden="1" x14ac:dyDescent="0.25">
      <c r="A502" t="s">
        <v>2082</v>
      </c>
      <c r="B502" t="s">
        <v>576</v>
      </c>
      <c r="C502" t="s">
        <v>2083</v>
      </c>
      <c r="D502" s="4" t="s">
        <v>3062</v>
      </c>
      <c r="E502" t="str">
        <f>IF(COUNTIF(Sayfa2!$A$2:$A$8,"*"&amp;D502&amp;"*")&gt;0, Sayfa2!$A$1,
 IF(COUNTIF(Sayfa2!$B$2:$B$8, "*"&amp;D502&amp;"*")&gt;0, Sayfa2!$B$1,
 IF(COUNTIF(Sayfa2!$C$2:$C$8, "*"&amp;D502&amp;"*")&gt;0, Sayfa2!$C$1,
 IF(COUNTIF(Sayfa2!$D$2:$D$8,"*"&amp;D502&amp;"*")&gt;0, Sayfa2!$D$1,
 IF(COUNTIF(Sayfa2!$E$2:$E$8, "*"&amp;D502&amp;"*")&gt;0, Sayfa2!$E$1, "Bulunamadı")))))</f>
        <v>CUMA</v>
      </c>
    </row>
    <row r="503" spans="1:5" hidden="1" x14ac:dyDescent="0.25">
      <c r="A503" t="s">
        <v>2084</v>
      </c>
      <c r="B503" t="s">
        <v>577</v>
      </c>
      <c r="C503" t="s">
        <v>2083</v>
      </c>
      <c r="D503" s="4" t="s">
        <v>3062</v>
      </c>
      <c r="E503" t="str">
        <f>IF(COUNTIF(Sayfa2!$A$2:$A$8,"*"&amp;D503&amp;"*")&gt;0, Sayfa2!$A$1,
 IF(COUNTIF(Sayfa2!$B$2:$B$8, "*"&amp;D503&amp;"*")&gt;0, Sayfa2!$B$1,
 IF(COUNTIF(Sayfa2!$C$2:$C$8, "*"&amp;D503&amp;"*")&gt;0, Sayfa2!$C$1,
 IF(COUNTIF(Sayfa2!$D$2:$D$8,"*"&amp;D503&amp;"*")&gt;0, Sayfa2!$D$1,
 IF(COUNTIF(Sayfa2!$E$2:$E$8, "*"&amp;D503&amp;"*")&gt;0, Sayfa2!$E$1, "Bulunamadı")))))</f>
        <v>CUMA</v>
      </c>
    </row>
    <row r="504" spans="1:5" hidden="1" x14ac:dyDescent="0.25">
      <c r="A504" t="s">
        <v>2085</v>
      </c>
      <c r="B504" t="s">
        <v>578</v>
      </c>
      <c r="C504" t="s">
        <v>2081</v>
      </c>
      <c r="D504" s="4" t="s">
        <v>3063</v>
      </c>
      <c r="E504" t="str">
        <f>IF(COUNTIF(Sayfa2!$A$2:$A$8,"*"&amp;D504&amp;"*")&gt;0, Sayfa2!$A$1,
 IF(COUNTIF(Sayfa2!$B$2:$B$8, "*"&amp;D504&amp;"*")&gt;0, Sayfa2!$B$1,
 IF(COUNTIF(Sayfa2!$C$2:$C$8, "*"&amp;D504&amp;"*")&gt;0, Sayfa2!$C$1,
 IF(COUNTIF(Sayfa2!$D$2:$D$8,"*"&amp;D504&amp;"*")&gt;0, Sayfa2!$D$1,
 IF(COUNTIF(Sayfa2!$E$2:$E$8, "*"&amp;D504&amp;"*")&gt;0, Sayfa2!$E$1, "Bulunamadı")))))</f>
        <v>PAZARTESİ</v>
      </c>
    </row>
    <row r="505" spans="1:5" hidden="1" x14ac:dyDescent="0.25">
      <c r="A505" t="s">
        <v>2086</v>
      </c>
      <c r="B505" t="s">
        <v>579</v>
      </c>
      <c r="C505" t="s">
        <v>2081</v>
      </c>
      <c r="D505" s="4" t="s">
        <v>3063</v>
      </c>
      <c r="E505" t="str">
        <f>IF(COUNTIF(Sayfa2!$A$2:$A$8,"*"&amp;D505&amp;"*")&gt;0, Sayfa2!$A$1,
 IF(COUNTIF(Sayfa2!$B$2:$B$8, "*"&amp;D505&amp;"*")&gt;0, Sayfa2!$B$1,
 IF(COUNTIF(Sayfa2!$C$2:$C$8, "*"&amp;D505&amp;"*")&gt;0, Sayfa2!$C$1,
 IF(COUNTIF(Sayfa2!$D$2:$D$8,"*"&amp;D505&amp;"*")&gt;0, Sayfa2!$D$1,
 IF(COUNTIF(Sayfa2!$E$2:$E$8, "*"&amp;D505&amp;"*")&gt;0, Sayfa2!$E$1, "Bulunamadı")))))</f>
        <v>PAZARTESİ</v>
      </c>
    </row>
    <row r="506" spans="1:5" hidden="1" x14ac:dyDescent="0.25">
      <c r="A506" t="s">
        <v>2087</v>
      </c>
      <c r="B506" t="s">
        <v>580</v>
      </c>
      <c r="C506" t="s">
        <v>2083</v>
      </c>
      <c r="D506" s="4" t="s">
        <v>3062</v>
      </c>
      <c r="E506" t="str">
        <f>IF(COUNTIF(Sayfa2!$A$2:$A$8,"*"&amp;D506&amp;"*")&gt;0, Sayfa2!$A$1,
 IF(COUNTIF(Sayfa2!$B$2:$B$8, "*"&amp;D506&amp;"*")&gt;0, Sayfa2!$B$1,
 IF(COUNTIF(Sayfa2!$C$2:$C$8, "*"&amp;D506&amp;"*")&gt;0, Sayfa2!$C$1,
 IF(COUNTIF(Sayfa2!$D$2:$D$8,"*"&amp;D506&amp;"*")&gt;0, Sayfa2!$D$1,
 IF(COUNTIF(Sayfa2!$E$2:$E$8, "*"&amp;D506&amp;"*")&gt;0, Sayfa2!$E$1, "Bulunamadı")))))</f>
        <v>CUMA</v>
      </c>
    </row>
    <row r="507" spans="1:5" hidden="1" x14ac:dyDescent="0.25">
      <c r="A507" t="s">
        <v>2088</v>
      </c>
      <c r="B507" t="s">
        <v>581</v>
      </c>
      <c r="C507" t="s">
        <v>2083</v>
      </c>
      <c r="D507" s="4" t="s">
        <v>3062</v>
      </c>
      <c r="E507" t="str">
        <f>IF(COUNTIF(Sayfa2!$A$2:$A$8,"*"&amp;D507&amp;"*")&gt;0, Sayfa2!$A$1,
 IF(COUNTIF(Sayfa2!$B$2:$B$8, "*"&amp;D507&amp;"*")&gt;0, Sayfa2!$B$1,
 IF(COUNTIF(Sayfa2!$C$2:$C$8, "*"&amp;D507&amp;"*")&gt;0, Sayfa2!$C$1,
 IF(COUNTIF(Sayfa2!$D$2:$D$8,"*"&amp;D507&amp;"*")&gt;0, Sayfa2!$D$1,
 IF(COUNTIF(Sayfa2!$E$2:$E$8, "*"&amp;D507&amp;"*")&gt;0, Sayfa2!$E$1, "Bulunamadı")))))</f>
        <v>CUMA</v>
      </c>
    </row>
    <row r="508" spans="1:5" hidden="1" x14ac:dyDescent="0.25">
      <c r="A508" t="s">
        <v>2089</v>
      </c>
      <c r="B508" t="s">
        <v>582</v>
      </c>
      <c r="C508" t="s">
        <v>2081</v>
      </c>
      <c r="D508" s="4" t="s">
        <v>3063</v>
      </c>
      <c r="E508" t="str">
        <f>IF(COUNTIF(Sayfa2!$A$2:$A$8,"*"&amp;D508&amp;"*")&gt;0, Sayfa2!$A$1,
 IF(COUNTIF(Sayfa2!$B$2:$B$8, "*"&amp;D508&amp;"*")&gt;0, Sayfa2!$B$1,
 IF(COUNTIF(Sayfa2!$C$2:$C$8, "*"&amp;D508&amp;"*")&gt;0, Sayfa2!$C$1,
 IF(COUNTIF(Sayfa2!$D$2:$D$8,"*"&amp;D508&amp;"*")&gt;0, Sayfa2!$D$1,
 IF(COUNTIF(Sayfa2!$E$2:$E$8, "*"&amp;D508&amp;"*")&gt;0, Sayfa2!$E$1, "Bulunamadı")))))</f>
        <v>PAZARTESİ</v>
      </c>
    </row>
    <row r="509" spans="1:5" hidden="1" x14ac:dyDescent="0.25">
      <c r="A509" t="s">
        <v>2090</v>
      </c>
      <c r="B509" t="s">
        <v>583</v>
      </c>
      <c r="C509" t="s">
        <v>2081</v>
      </c>
      <c r="D509" s="4" t="s">
        <v>3063</v>
      </c>
      <c r="E509" t="str">
        <f>IF(COUNTIF(Sayfa2!$A$2:$A$8,"*"&amp;D509&amp;"*")&gt;0, Sayfa2!$A$1,
 IF(COUNTIF(Sayfa2!$B$2:$B$8, "*"&amp;D509&amp;"*")&gt;0, Sayfa2!$B$1,
 IF(COUNTIF(Sayfa2!$C$2:$C$8, "*"&amp;D509&amp;"*")&gt;0, Sayfa2!$C$1,
 IF(COUNTIF(Sayfa2!$D$2:$D$8,"*"&amp;D509&amp;"*")&gt;0, Sayfa2!$D$1,
 IF(COUNTIF(Sayfa2!$E$2:$E$8, "*"&amp;D509&amp;"*")&gt;0, Sayfa2!$E$1, "Bulunamadı")))))</f>
        <v>PAZARTESİ</v>
      </c>
    </row>
    <row r="510" spans="1:5" hidden="1" x14ac:dyDescent="0.25">
      <c r="A510" t="s">
        <v>2091</v>
      </c>
      <c r="B510" t="s">
        <v>584</v>
      </c>
      <c r="C510" t="s">
        <v>2081</v>
      </c>
      <c r="D510" s="4" t="s">
        <v>3063</v>
      </c>
      <c r="E510" t="str">
        <f>IF(COUNTIF(Sayfa2!$A$2:$A$8,"*"&amp;D510&amp;"*")&gt;0, Sayfa2!$A$1,
 IF(COUNTIF(Sayfa2!$B$2:$B$8, "*"&amp;D510&amp;"*")&gt;0, Sayfa2!$B$1,
 IF(COUNTIF(Sayfa2!$C$2:$C$8, "*"&amp;D510&amp;"*")&gt;0, Sayfa2!$C$1,
 IF(COUNTIF(Sayfa2!$D$2:$D$8,"*"&amp;D510&amp;"*")&gt;0, Sayfa2!$D$1,
 IF(COUNTIF(Sayfa2!$E$2:$E$8, "*"&amp;D510&amp;"*")&gt;0, Sayfa2!$E$1, "Bulunamadı")))))</f>
        <v>PAZARTESİ</v>
      </c>
    </row>
    <row r="511" spans="1:5" hidden="1" x14ac:dyDescent="0.25">
      <c r="A511" t="s">
        <v>2092</v>
      </c>
      <c r="B511" t="s">
        <v>585</v>
      </c>
      <c r="C511" t="s">
        <v>2081</v>
      </c>
      <c r="D511" s="4" t="s">
        <v>3063</v>
      </c>
      <c r="E511" t="str">
        <f>IF(COUNTIF(Sayfa2!$A$2:$A$8,"*"&amp;D511&amp;"*")&gt;0, Sayfa2!$A$1,
 IF(COUNTIF(Sayfa2!$B$2:$B$8, "*"&amp;D511&amp;"*")&gt;0, Sayfa2!$B$1,
 IF(COUNTIF(Sayfa2!$C$2:$C$8, "*"&amp;D511&amp;"*")&gt;0, Sayfa2!$C$1,
 IF(COUNTIF(Sayfa2!$D$2:$D$8,"*"&amp;D511&amp;"*")&gt;0, Sayfa2!$D$1,
 IF(COUNTIF(Sayfa2!$E$2:$E$8, "*"&amp;D511&amp;"*")&gt;0, Sayfa2!$E$1, "Bulunamadı")))))</f>
        <v>PAZARTESİ</v>
      </c>
    </row>
    <row r="512" spans="1:5" hidden="1" x14ac:dyDescent="0.25">
      <c r="A512" t="s">
        <v>2093</v>
      </c>
      <c r="B512" t="s">
        <v>586</v>
      </c>
      <c r="C512" t="s">
        <v>2083</v>
      </c>
      <c r="D512" s="4" t="s">
        <v>3062</v>
      </c>
      <c r="E512" t="str">
        <f>IF(COUNTIF(Sayfa2!$A$2:$A$8,"*"&amp;D512&amp;"*")&gt;0, Sayfa2!$A$1,
 IF(COUNTIF(Sayfa2!$B$2:$B$8, "*"&amp;D512&amp;"*")&gt;0, Sayfa2!$B$1,
 IF(COUNTIF(Sayfa2!$C$2:$C$8, "*"&amp;D512&amp;"*")&gt;0, Sayfa2!$C$1,
 IF(COUNTIF(Sayfa2!$D$2:$D$8,"*"&amp;D512&amp;"*")&gt;0, Sayfa2!$D$1,
 IF(COUNTIF(Sayfa2!$E$2:$E$8, "*"&amp;D512&amp;"*")&gt;0, Sayfa2!$E$1, "Bulunamadı")))))</f>
        <v>CUMA</v>
      </c>
    </row>
    <row r="513" spans="1:5" hidden="1" x14ac:dyDescent="0.25">
      <c r="A513" t="s">
        <v>2094</v>
      </c>
      <c r="B513" t="s">
        <v>587</v>
      </c>
      <c r="C513" t="s">
        <v>2081</v>
      </c>
      <c r="D513" s="4" t="s">
        <v>3063</v>
      </c>
      <c r="E513" t="str">
        <f>IF(COUNTIF(Sayfa2!$A$2:$A$8,"*"&amp;D513&amp;"*")&gt;0, Sayfa2!$A$1,
 IF(COUNTIF(Sayfa2!$B$2:$B$8, "*"&amp;D513&amp;"*")&gt;0, Sayfa2!$B$1,
 IF(COUNTIF(Sayfa2!$C$2:$C$8, "*"&amp;D513&amp;"*")&gt;0, Sayfa2!$C$1,
 IF(COUNTIF(Sayfa2!$D$2:$D$8,"*"&amp;D513&amp;"*")&gt;0, Sayfa2!$D$1,
 IF(COUNTIF(Sayfa2!$E$2:$E$8, "*"&amp;D513&amp;"*")&gt;0, Sayfa2!$E$1, "Bulunamadı")))))</f>
        <v>PAZARTESİ</v>
      </c>
    </row>
    <row r="514" spans="1:5" hidden="1" x14ac:dyDescent="0.25">
      <c r="A514" t="s">
        <v>2095</v>
      </c>
      <c r="B514" t="s">
        <v>588</v>
      </c>
      <c r="C514" t="s">
        <v>2081</v>
      </c>
      <c r="D514" s="4" t="s">
        <v>3063</v>
      </c>
      <c r="E514" t="str">
        <f>IF(COUNTIF(Sayfa2!$A$2:$A$8,"*"&amp;D514&amp;"*")&gt;0, Sayfa2!$A$1,
 IF(COUNTIF(Sayfa2!$B$2:$B$8, "*"&amp;D514&amp;"*")&gt;0, Sayfa2!$B$1,
 IF(COUNTIF(Sayfa2!$C$2:$C$8, "*"&amp;D514&amp;"*")&gt;0, Sayfa2!$C$1,
 IF(COUNTIF(Sayfa2!$D$2:$D$8,"*"&amp;D514&amp;"*")&gt;0, Sayfa2!$D$1,
 IF(COUNTIF(Sayfa2!$E$2:$E$8, "*"&amp;D514&amp;"*")&gt;0, Sayfa2!$E$1, "Bulunamadı")))))</f>
        <v>PAZARTESİ</v>
      </c>
    </row>
    <row r="515" spans="1:5" hidden="1" x14ac:dyDescent="0.25">
      <c r="A515" t="s">
        <v>2096</v>
      </c>
      <c r="B515" t="s">
        <v>589</v>
      </c>
      <c r="C515" t="s">
        <v>2081</v>
      </c>
      <c r="D515" s="4" t="s">
        <v>3063</v>
      </c>
      <c r="E515" t="str">
        <f>IF(COUNTIF(Sayfa2!$A$2:$A$8,"*"&amp;D515&amp;"*")&gt;0, Sayfa2!$A$1,
 IF(COUNTIF(Sayfa2!$B$2:$B$8, "*"&amp;D515&amp;"*")&gt;0, Sayfa2!$B$1,
 IF(COUNTIF(Sayfa2!$C$2:$C$8, "*"&amp;D515&amp;"*")&gt;0, Sayfa2!$C$1,
 IF(COUNTIF(Sayfa2!$D$2:$D$8,"*"&amp;D515&amp;"*")&gt;0, Sayfa2!$D$1,
 IF(COUNTIF(Sayfa2!$E$2:$E$8, "*"&amp;D515&amp;"*")&gt;0, Sayfa2!$E$1, "Bulunamadı")))))</f>
        <v>PAZARTESİ</v>
      </c>
    </row>
    <row r="516" spans="1:5" hidden="1" x14ac:dyDescent="0.25">
      <c r="A516" t="s">
        <v>2097</v>
      </c>
      <c r="B516" t="s">
        <v>590</v>
      </c>
      <c r="C516" t="s">
        <v>2083</v>
      </c>
      <c r="D516" s="4" t="s">
        <v>3062</v>
      </c>
      <c r="E516" t="str">
        <f>IF(COUNTIF(Sayfa2!$A$2:$A$8,"*"&amp;D516&amp;"*")&gt;0, Sayfa2!$A$1,
 IF(COUNTIF(Sayfa2!$B$2:$B$8, "*"&amp;D516&amp;"*")&gt;0, Sayfa2!$B$1,
 IF(COUNTIF(Sayfa2!$C$2:$C$8, "*"&amp;D516&amp;"*")&gt;0, Sayfa2!$C$1,
 IF(COUNTIF(Sayfa2!$D$2:$D$8,"*"&amp;D516&amp;"*")&gt;0, Sayfa2!$D$1,
 IF(COUNTIF(Sayfa2!$E$2:$E$8, "*"&amp;D516&amp;"*")&gt;0, Sayfa2!$E$1, "Bulunamadı")))))</f>
        <v>CUMA</v>
      </c>
    </row>
    <row r="517" spans="1:5" hidden="1" x14ac:dyDescent="0.25">
      <c r="A517" t="s">
        <v>2098</v>
      </c>
      <c r="B517" t="s">
        <v>591</v>
      </c>
      <c r="C517" t="s">
        <v>2083</v>
      </c>
      <c r="D517" s="4" t="s">
        <v>3062</v>
      </c>
      <c r="E517" t="str">
        <f>IF(COUNTIF(Sayfa2!$A$2:$A$8,"*"&amp;D517&amp;"*")&gt;0, Sayfa2!$A$1,
 IF(COUNTIF(Sayfa2!$B$2:$B$8, "*"&amp;D517&amp;"*")&gt;0, Sayfa2!$B$1,
 IF(COUNTIF(Sayfa2!$C$2:$C$8, "*"&amp;D517&amp;"*")&gt;0, Sayfa2!$C$1,
 IF(COUNTIF(Sayfa2!$D$2:$D$8,"*"&amp;D517&amp;"*")&gt;0, Sayfa2!$D$1,
 IF(COUNTIF(Sayfa2!$E$2:$E$8, "*"&amp;D517&amp;"*")&gt;0, Sayfa2!$E$1, "Bulunamadı")))))</f>
        <v>CUMA</v>
      </c>
    </row>
    <row r="518" spans="1:5" hidden="1" x14ac:dyDescent="0.25">
      <c r="A518" t="s">
        <v>2099</v>
      </c>
      <c r="B518" t="s">
        <v>592</v>
      </c>
      <c r="C518" t="s">
        <v>2081</v>
      </c>
      <c r="D518" s="4" t="s">
        <v>3063</v>
      </c>
      <c r="E518" t="str">
        <f>IF(COUNTIF(Sayfa2!$A$2:$A$8,"*"&amp;D518&amp;"*")&gt;0, Sayfa2!$A$1,
 IF(COUNTIF(Sayfa2!$B$2:$B$8, "*"&amp;D518&amp;"*")&gt;0, Sayfa2!$B$1,
 IF(COUNTIF(Sayfa2!$C$2:$C$8, "*"&amp;D518&amp;"*")&gt;0, Sayfa2!$C$1,
 IF(COUNTIF(Sayfa2!$D$2:$D$8,"*"&amp;D518&amp;"*")&gt;0, Sayfa2!$D$1,
 IF(COUNTIF(Sayfa2!$E$2:$E$8, "*"&amp;D518&amp;"*")&gt;0, Sayfa2!$E$1, "Bulunamadı")))))</f>
        <v>PAZARTESİ</v>
      </c>
    </row>
    <row r="519" spans="1:5" hidden="1" x14ac:dyDescent="0.25">
      <c r="A519" t="s">
        <v>2100</v>
      </c>
      <c r="B519" t="s">
        <v>593</v>
      </c>
      <c r="C519" t="s">
        <v>2083</v>
      </c>
      <c r="D519" s="4" t="s">
        <v>3062</v>
      </c>
      <c r="E519" t="str">
        <f>IF(COUNTIF(Sayfa2!$A$2:$A$8,"*"&amp;D519&amp;"*")&gt;0, Sayfa2!$A$1,
 IF(COUNTIF(Sayfa2!$B$2:$B$8, "*"&amp;D519&amp;"*")&gt;0, Sayfa2!$B$1,
 IF(COUNTIF(Sayfa2!$C$2:$C$8, "*"&amp;D519&amp;"*")&gt;0, Sayfa2!$C$1,
 IF(COUNTIF(Sayfa2!$D$2:$D$8,"*"&amp;D519&amp;"*")&gt;0, Sayfa2!$D$1,
 IF(COUNTIF(Sayfa2!$E$2:$E$8, "*"&amp;D519&amp;"*")&gt;0, Sayfa2!$E$1, "Bulunamadı")))))</f>
        <v>CUMA</v>
      </c>
    </row>
    <row r="520" spans="1:5" hidden="1" x14ac:dyDescent="0.25">
      <c r="A520" t="s">
        <v>2101</v>
      </c>
      <c r="B520" t="s">
        <v>594</v>
      </c>
      <c r="C520" t="s">
        <v>2081</v>
      </c>
      <c r="D520" s="4" t="s">
        <v>3063</v>
      </c>
      <c r="E520" t="str">
        <f>IF(COUNTIF(Sayfa2!$A$2:$A$8,"*"&amp;D520&amp;"*")&gt;0, Sayfa2!$A$1,
 IF(COUNTIF(Sayfa2!$B$2:$B$8, "*"&amp;D520&amp;"*")&gt;0, Sayfa2!$B$1,
 IF(COUNTIF(Sayfa2!$C$2:$C$8, "*"&amp;D520&amp;"*")&gt;0, Sayfa2!$C$1,
 IF(COUNTIF(Sayfa2!$D$2:$D$8,"*"&amp;D520&amp;"*")&gt;0, Sayfa2!$D$1,
 IF(COUNTIF(Sayfa2!$E$2:$E$8, "*"&amp;D520&amp;"*")&gt;0, Sayfa2!$E$1, "Bulunamadı")))))</f>
        <v>PAZARTESİ</v>
      </c>
    </row>
    <row r="521" spans="1:5" hidden="1" x14ac:dyDescent="0.25">
      <c r="A521" t="s">
        <v>2102</v>
      </c>
      <c r="B521" t="s">
        <v>595</v>
      </c>
      <c r="C521" t="s">
        <v>2081</v>
      </c>
      <c r="D521" s="4" t="s">
        <v>3063</v>
      </c>
      <c r="E521" t="str">
        <f>IF(COUNTIF(Sayfa2!$A$2:$A$8,"*"&amp;D521&amp;"*")&gt;0, Sayfa2!$A$1,
 IF(COUNTIF(Sayfa2!$B$2:$B$8, "*"&amp;D521&amp;"*")&gt;0, Sayfa2!$B$1,
 IF(COUNTIF(Sayfa2!$C$2:$C$8, "*"&amp;D521&amp;"*")&gt;0, Sayfa2!$C$1,
 IF(COUNTIF(Sayfa2!$D$2:$D$8,"*"&amp;D521&amp;"*")&gt;0, Sayfa2!$D$1,
 IF(COUNTIF(Sayfa2!$E$2:$E$8, "*"&amp;D521&amp;"*")&gt;0, Sayfa2!$E$1, "Bulunamadı")))))</f>
        <v>PAZARTESİ</v>
      </c>
    </row>
    <row r="522" spans="1:5" hidden="1" x14ac:dyDescent="0.25">
      <c r="A522" t="s">
        <v>2103</v>
      </c>
      <c r="B522" t="s">
        <v>596</v>
      </c>
      <c r="C522" t="s">
        <v>2081</v>
      </c>
      <c r="D522" s="4" t="s">
        <v>3063</v>
      </c>
      <c r="E522" t="str">
        <f>IF(COUNTIF(Sayfa2!$A$2:$A$8,"*"&amp;D522&amp;"*")&gt;0, Sayfa2!$A$1,
 IF(COUNTIF(Sayfa2!$B$2:$B$8, "*"&amp;D522&amp;"*")&gt;0, Sayfa2!$B$1,
 IF(COUNTIF(Sayfa2!$C$2:$C$8, "*"&amp;D522&amp;"*")&gt;0, Sayfa2!$C$1,
 IF(COUNTIF(Sayfa2!$D$2:$D$8,"*"&amp;D522&amp;"*")&gt;0, Sayfa2!$D$1,
 IF(COUNTIF(Sayfa2!$E$2:$E$8, "*"&amp;D522&amp;"*")&gt;0, Sayfa2!$E$1, "Bulunamadı")))))</f>
        <v>PAZARTESİ</v>
      </c>
    </row>
    <row r="523" spans="1:5" hidden="1" x14ac:dyDescent="0.25">
      <c r="A523" t="s">
        <v>2104</v>
      </c>
      <c r="B523" t="s">
        <v>597</v>
      </c>
      <c r="C523" t="s">
        <v>2083</v>
      </c>
      <c r="D523" s="4" t="s">
        <v>3062</v>
      </c>
      <c r="E523" t="str">
        <f>IF(COUNTIF(Sayfa2!$A$2:$A$8,"*"&amp;D523&amp;"*")&gt;0, Sayfa2!$A$1,
 IF(COUNTIF(Sayfa2!$B$2:$B$8, "*"&amp;D523&amp;"*")&gt;0, Sayfa2!$B$1,
 IF(COUNTIF(Sayfa2!$C$2:$C$8, "*"&amp;D523&amp;"*")&gt;0, Sayfa2!$C$1,
 IF(COUNTIF(Sayfa2!$D$2:$D$8,"*"&amp;D523&amp;"*")&gt;0, Sayfa2!$D$1,
 IF(COUNTIF(Sayfa2!$E$2:$E$8, "*"&amp;D523&amp;"*")&gt;0, Sayfa2!$E$1, "Bulunamadı")))))</f>
        <v>CUMA</v>
      </c>
    </row>
    <row r="524" spans="1:5" hidden="1" x14ac:dyDescent="0.25">
      <c r="A524" t="s">
        <v>2105</v>
      </c>
      <c r="B524" t="s">
        <v>598</v>
      </c>
      <c r="C524" t="s">
        <v>2081</v>
      </c>
      <c r="D524" s="4" t="s">
        <v>3063</v>
      </c>
      <c r="E524" t="str">
        <f>IF(COUNTIF(Sayfa2!$A$2:$A$8,"*"&amp;D524&amp;"*")&gt;0, Sayfa2!$A$1,
 IF(COUNTIF(Sayfa2!$B$2:$B$8, "*"&amp;D524&amp;"*")&gt;0, Sayfa2!$B$1,
 IF(COUNTIF(Sayfa2!$C$2:$C$8, "*"&amp;D524&amp;"*")&gt;0, Sayfa2!$C$1,
 IF(COUNTIF(Sayfa2!$D$2:$D$8,"*"&amp;D524&amp;"*")&gt;0, Sayfa2!$D$1,
 IF(COUNTIF(Sayfa2!$E$2:$E$8, "*"&amp;D524&amp;"*")&gt;0, Sayfa2!$E$1, "Bulunamadı")))))</f>
        <v>PAZARTESİ</v>
      </c>
    </row>
    <row r="525" spans="1:5" hidden="1" x14ac:dyDescent="0.25">
      <c r="A525" t="s">
        <v>2106</v>
      </c>
      <c r="B525" t="s">
        <v>599</v>
      </c>
      <c r="C525" t="s">
        <v>2081</v>
      </c>
      <c r="D525" s="4" t="s">
        <v>3063</v>
      </c>
      <c r="E525" t="str">
        <f>IF(COUNTIF(Sayfa2!$A$2:$A$8,"*"&amp;D525&amp;"*")&gt;0, Sayfa2!$A$1,
 IF(COUNTIF(Sayfa2!$B$2:$B$8, "*"&amp;D525&amp;"*")&gt;0, Sayfa2!$B$1,
 IF(COUNTIF(Sayfa2!$C$2:$C$8, "*"&amp;D525&amp;"*")&gt;0, Sayfa2!$C$1,
 IF(COUNTIF(Sayfa2!$D$2:$D$8,"*"&amp;D525&amp;"*")&gt;0, Sayfa2!$D$1,
 IF(COUNTIF(Sayfa2!$E$2:$E$8, "*"&amp;D525&amp;"*")&gt;0, Sayfa2!$E$1, "Bulunamadı")))))</f>
        <v>PAZARTESİ</v>
      </c>
    </row>
    <row r="526" spans="1:5" hidden="1" x14ac:dyDescent="0.25">
      <c r="A526" t="s">
        <v>2107</v>
      </c>
      <c r="B526" t="s">
        <v>600</v>
      </c>
      <c r="C526" t="s">
        <v>2083</v>
      </c>
      <c r="D526" s="4" t="s">
        <v>3062</v>
      </c>
      <c r="E526" t="str">
        <f>IF(COUNTIF(Sayfa2!$A$2:$A$8,"*"&amp;D526&amp;"*")&gt;0, Sayfa2!$A$1,
 IF(COUNTIF(Sayfa2!$B$2:$B$8, "*"&amp;D526&amp;"*")&gt;0, Sayfa2!$B$1,
 IF(COUNTIF(Sayfa2!$C$2:$C$8, "*"&amp;D526&amp;"*")&gt;0, Sayfa2!$C$1,
 IF(COUNTIF(Sayfa2!$D$2:$D$8,"*"&amp;D526&amp;"*")&gt;0, Sayfa2!$D$1,
 IF(COUNTIF(Sayfa2!$E$2:$E$8, "*"&amp;D526&amp;"*")&gt;0, Sayfa2!$E$1, "Bulunamadı")))))</f>
        <v>CUMA</v>
      </c>
    </row>
    <row r="527" spans="1:5" hidden="1" x14ac:dyDescent="0.25">
      <c r="A527" t="s">
        <v>2108</v>
      </c>
      <c r="B527" t="s">
        <v>601</v>
      </c>
      <c r="C527" t="s">
        <v>2083</v>
      </c>
      <c r="D527" s="4" t="s">
        <v>3062</v>
      </c>
      <c r="E527" t="str">
        <f>IF(COUNTIF(Sayfa2!$A$2:$A$8,"*"&amp;D527&amp;"*")&gt;0, Sayfa2!$A$1,
 IF(COUNTIF(Sayfa2!$B$2:$B$8, "*"&amp;D527&amp;"*")&gt;0, Sayfa2!$B$1,
 IF(COUNTIF(Sayfa2!$C$2:$C$8, "*"&amp;D527&amp;"*")&gt;0, Sayfa2!$C$1,
 IF(COUNTIF(Sayfa2!$D$2:$D$8,"*"&amp;D527&amp;"*")&gt;0, Sayfa2!$D$1,
 IF(COUNTIF(Sayfa2!$E$2:$E$8, "*"&amp;D527&amp;"*")&gt;0, Sayfa2!$E$1, "Bulunamadı")))))</f>
        <v>CUMA</v>
      </c>
    </row>
    <row r="528" spans="1:5" hidden="1" x14ac:dyDescent="0.25">
      <c r="A528" t="s">
        <v>2109</v>
      </c>
      <c r="B528" t="s">
        <v>602</v>
      </c>
      <c r="C528" t="s">
        <v>2081</v>
      </c>
      <c r="D528" s="4" t="s">
        <v>3063</v>
      </c>
      <c r="E528" t="str">
        <f>IF(COUNTIF(Sayfa2!$A$2:$A$8,"*"&amp;D528&amp;"*")&gt;0, Sayfa2!$A$1,
 IF(COUNTIF(Sayfa2!$B$2:$B$8, "*"&amp;D528&amp;"*")&gt;0, Sayfa2!$B$1,
 IF(COUNTIF(Sayfa2!$C$2:$C$8, "*"&amp;D528&amp;"*")&gt;0, Sayfa2!$C$1,
 IF(COUNTIF(Sayfa2!$D$2:$D$8,"*"&amp;D528&amp;"*")&gt;0, Sayfa2!$D$1,
 IF(COUNTIF(Sayfa2!$E$2:$E$8, "*"&amp;D528&amp;"*")&gt;0, Sayfa2!$E$1, "Bulunamadı")))))</f>
        <v>PAZARTESİ</v>
      </c>
    </row>
    <row r="529" spans="1:5" hidden="1" x14ac:dyDescent="0.25">
      <c r="A529" t="s">
        <v>2110</v>
      </c>
      <c r="B529" t="s">
        <v>603</v>
      </c>
      <c r="C529" t="s">
        <v>2081</v>
      </c>
      <c r="D529" s="4" t="s">
        <v>3063</v>
      </c>
      <c r="E529" t="str">
        <f>IF(COUNTIF(Sayfa2!$A$2:$A$8,"*"&amp;D529&amp;"*")&gt;0, Sayfa2!$A$1,
 IF(COUNTIF(Sayfa2!$B$2:$B$8, "*"&amp;D529&amp;"*")&gt;0, Sayfa2!$B$1,
 IF(COUNTIF(Sayfa2!$C$2:$C$8, "*"&amp;D529&amp;"*")&gt;0, Sayfa2!$C$1,
 IF(COUNTIF(Sayfa2!$D$2:$D$8,"*"&amp;D529&amp;"*")&gt;0, Sayfa2!$D$1,
 IF(COUNTIF(Sayfa2!$E$2:$E$8, "*"&amp;D529&amp;"*")&gt;0, Sayfa2!$E$1, "Bulunamadı")))))</f>
        <v>PAZARTESİ</v>
      </c>
    </row>
    <row r="530" spans="1:5" hidden="1" x14ac:dyDescent="0.25">
      <c r="A530" t="s">
        <v>2111</v>
      </c>
      <c r="B530" t="s">
        <v>604</v>
      </c>
      <c r="C530" t="s">
        <v>2083</v>
      </c>
      <c r="D530" s="4" t="s">
        <v>3062</v>
      </c>
      <c r="E530" t="str">
        <f>IF(COUNTIF(Sayfa2!$A$2:$A$8,"*"&amp;D530&amp;"*")&gt;0, Sayfa2!$A$1,
 IF(COUNTIF(Sayfa2!$B$2:$B$8, "*"&amp;D530&amp;"*")&gt;0, Sayfa2!$B$1,
 IF(COUNTIF(Sayfa2!$C$2:$C$8, "*"&amp;D530&amp;"*")&gt;0, Sayfa2!$C$1,
 IF(COUNTIF(Sayfa2!$D$2:$D$8,"*"&amp;D530&amp;"*")&gt;0, Sayfa2!$D$1,
 IF(COUNTIF(Sayfa2!$E$2:$E$8, "*"&amp;D530&amp;"*")&gt;0, Sayfa2!$E$1, "Bulunamadı")))))</f>
        <v>CUMA</v>
      </c>
    </row>
    <row r="531" spans="1:5" hidden="1" x14ac:dyDescent="0.25">
      <c r="A531" t="s">
        <v>2112</v>
      </c>
      <c r="B531" t="s">
        <v>605</v>
      </c>
      <c r="C531" t="s">
        <v>2081</v>
      </c>
      <c r="D531" s="4" t="s">
        <v>3063</v>
      </c>
      <c r="E531" t="str">
        <f>IF(COUNTIF(Sayfa2!$A$2:$A$8,"*"&amp;D531&amp;"*")&gt;0, Sayfa2!$A$1,
 IF(COUNTIF(Sayfa2!$B$2:$B$8, "*"&amp;D531&amp;"*")&gt;0, Sayfa2!$B$1,
 IF(COUNTIF(Sayfa2!$C$2:$C$8, "*"&amp;D531&amp;"*")&gt;0, Sayfa2!$C$1,
 IF(COUNTIF(Sayfa2!$D$2:$D$8,"*"&amp;D531&amp;"*")&gt;0, Sayfa2!$D$1,
 IF(COUNTIF(Sayfa2!$E$2:$E$8, "*"&amp;D531&amp;"*")&gt;0, Sayfa2!$E$1, "Bulunamadı")))))</f>
        <v>PAZARTESİ</v>
      </c>
    </row>
    <row r="532" spans="1:5" hidden="1" x14ac:dyDescent="0.25">
      <c r="A532" t="s">
        <v>2113</v>
      </c>
      <c r="B532" t="s">
        <v>606</v>
      </c>
      <c r="C532" t="s">
        <v>2083</v>
      </c>
      <c r="D532" s="4" t="s">
        <v>3062</v>
      </c>
      <c r="E532" t="str">
        <f>IF(COUNTIF(Sayfa2!$A$2:$A$8,"*"&amp;D532&amp;"*")&gt;0, Sayfa2!$A$1,
 IF(COUNTIF(Sayfa2!$B$2:$B$8, "*"&amp;D532&amp;"*")&gt;0, Sayfa2!$B$1,
 IF(COUNTIF(Sayfa2!$C$2:$C$8, "*"&amp;D532&amp;"*")&gt;0, Sayfa2!$C$1,
 IF(COUNTIF(Sayfa2!$D$2:$D$8,"*"&amp;D532&amp;"*")&gt;0, Sayfa2!$D$1,
 IF(COUNTIF(Sayfa2!$E$2:$E$8, "*"&amp;D532&amp;"*")&gt;0, Sayfa2!$E$1, "Bulunamadı")))))</f>
        <v>CUMA</v>
      </c>
    </row>
    <row r="533" spans="1:5" hidden="1" x14ac:dyDescent="0.25">
      <c r="A533" t="s">
        <v>2114</v>
      </c>
      <c r="B533" t="s">
        <v>607</v>
      </c>
      <c r="C533" t="s">
        <v>2083</v>
      </c>
      <c r="D533" s="4" t="s">
        <v>3062</v>
      </c>
      <c r="E533" t="str">
        <f>IF(COUNTIF(Sayfa2!$A$2:$A$8,"*"&amp;D533&amp;"*")&gt;0, Sayfa2!$A$1,
 IF(COUNTIF(Sayfa2!$B$2:$B$8, "*"&amp;D533&amp;"*")&gt;0, Sayfa2!$B$1,
 IF(COUNTIF(Sayfa2!$C$2:$C$8, "*"&amp;D533&amp;"*")&gt;0, Sayfa2!$C$1,
 IF(COUNTIF(Sayfa2!$D$2:$D$8,"*"&amp;D533&amp;"*")&gt;0, Sayfa2!$D$1,
 IF(COUNTIF(Sayfa2!$E$2:$E$8, "*"&amp;D533&amp;"*")&gt;0, Sayfa2!$E$1, "Bulunamadı")))))</f>
        <v>CUMA</v>
      </c>
    </row>
    <row r="534" spans="1:5" hidden="1" x14ac:dyDescent="0.25">
      <c r="A534" t="s">
        <v>2115</v>
      </c>
      <c r="B534" t="s">
        <v>608</v>
      </c>
      <c r="C534" t="s">
        <v>2081</v>
      </c>
      <c r="D534" s="4" t="s">
        <v>3063</v>
      </c>
      <c r="E534" t="str">
        <f>IF(COUNTIF(Sayfa2!$A$2:$A$8,"*"&amp;D534&amp;"*")&gt;0, Sayfa2!$A$1,
 IF(COUNTIF(Sayfa2!$B$2:$B$8, "*"&amp;D534&amp;"*")&gt;0, Sayfa2!$B$1,
 IF(COUNTIF(Sayfa2!$C$2:$C$8, "*"&amp;D534&amp;"*")&gt;0, Sayfa2!$C$1,
 IF(COUNTIF(Sayfa2!$D$2:$D$8,"*"&amp;D534&amp;"*")&gt;0, Sayfa2!$D$1,
 IF(COUNTIF(Sayfa2!$E$2:$E$8, "*"&amp;D534&amp;"*")&gt;0, Sayfa2!$E$1, "Bulunamadı")))))</f>
        <v>PAZARTESİ</v>
      </c>
    </row>
    <row r="535" spans="1:5" hidden="1" x14ac:dyDescent="0.25">
      <c r="A535" t="s">
        <v>2116</v>
      </c>
      <c r="B535" t="s">
        <v>609</v>
      </c>
      <c r="C535" t="s">
        <v>2081</v>
      </c>
      <c r="D535" s="4" t="s">
        <v>3063</v>
      </c>
      <c r="E535" t="str">
        <f>IF(COUNTIF(Sayfa2!$A$2:$A$8,"*"&amp;D535&amp;"*")&gt;0, Sayfa2!$A$1,
 IF(COUNTIF(Sayfa2!$B$2:$B$8, "*"&amp;D535&amp;"*")&gt;0, Sayfa2!$B$1,
 IF(COUNTIF(Sayfa2!$C$2:$C$8, "*"&amp;D535&amp;"*")&gt;0, Sayfa2!$C$1,
 IF(COUNTIF(Sayfa2!$D$2:$D$8,"*"&amp;D535&amp;"*")&gt;0, Sayfa2!$D$1,
 IF(COUNTIF(Sayfa2!$E$2:$E$8, "*"&amp;D535&amp;"*")&gt;0, Sayfa2!$E$1, "Bulunamadı")))))</f>
        <v>PAZARTESİ</v>
      </c>
    </row>
    <row r="536" spans="1:5" hidden="1" x14ac:dyDescent="0.25">
      <c r="A536" t="s">
        <v>2117</v>
      </c>
      <c r="B536" t="s">
        <v>610</v>
      </c>
      <c r="C536" t="s">
        <v>2083</v>
      </c>
      <c r="D536" s="4" t="s">
        <v>3062</v>
      </c>
      <c r="E536" t="str">
        <f>IF(COUNTIF(Sayfa2!$A$2:$A$8,"*"&amp;D536&amp;"*")&gt;0, Sayfa2!$A$1,
 IF(COUNTIF(Sayfa2!$B$2:$B$8, "*"&amp;D536&amp;"*")&gt;0, Sayfa2!$B$1,
 IF(COUNTIF(Sayfa2!$C$2:$C$8, "*"&amp;D536&amp;"*")&gt;0, Sayfa2!$C$1,
 IF(COUNTIF(Sayfa2!$D$2:$D$8,"*"&amp;D536&amp;"*")&gt;0, Sayfa2!$D$1,
 IF(COUNTIF(Sayfa2!$E$2:$E$8, "*"&amp;D536&amp;"*")&gt;0, Sayfa2!$E$1, "Bulunamadı")))))</f>
        <v>CUMA</v>
      </c>
    </row>
    <row r="537" spans="1:5" hidden="1" x14ac:dyDescent="0.25">
      <c r="A537" t="s">
        <v>1926</v>
      </c>
      <c r="B537" t="s">
        <v>611</v>
      </c>
      <c r="C537" t="s">
        <v>2081</v>
      </c>
      <c r="D537" s="4" t="s">
        <v>3063</v>
      </c>
      <c r="E537" t="str">
        <f>IF(COUNTIF(Sayfa2!$A$2:$A$8,"*"&amp;D537&amp;"*")&gt;0, Sayfa2!$A$1,
 IF(COUNTIF(Sayfa2!$B$2:$B$8, "*"&amp;D537&amp;"*")&gt;0, Sayfa2!$B$1,
 IF(COUNTIF(Sayfa2!$C$2:$C$8, "*"&amp;D537&amp;"*")&gt;0, Sayfa2!$C$1,
 IF(COUNTIF(Sayfa2!$D$2:$D$8,"*"&amp;D537&amp;"*")&gt;0, Sayfa2!$D$1,
 IF(COUNTIF(Sayfa2!$E$2:$E$8, "*"&amp;D537&amp;"*")&gt;0, Sayfa2!$E$1, "Bulunamadı")))))</f>
        <v>PAZARTESİ</v>
      </c>
    </row>
    <row r="538" spans="1:5" hidden="1" x14ac:dyDescent="0.25">
      <c r="A538" t="s">
        <v>2118</v>
      </c>
      <c r="B538" t="s">
        <v>612</v>
      </c>
      <c r="C538" t="s">
        <v>2081</v>
      </c>
      <c r="D538" s="4" t="s">
        <v>3063</v>
      </c>
      <c r="E538" t="str">
        <f>IF(COUNTIF(Sayfa2!$A$2:$A$8,"*"&amp;D538&amp;"*")&gt;0, Sayfa2!$A$1,
 IF(COUNTIF(Sayfa2!$B$2:$B$8, "*"&amp;D538&amp;"*")&gt;0, Sayfa2!$B$1,
 IF(COUNTIF(Sayfa2!$C$2:$C$8, "*"&amp;D538&amp;"*")&gt;0, Sayfa2!$C$1,
 IF(COUNTIF(Sayfa2!$D$2:$D$8,"*"&amp;D538&amp;"*")&gt;0, Sayfa2!$D$1,
 IF(COUNTIF(Sayfa2!$E$2:$E$8, "*"&amp;D538&amp;"*")&gt;0, Sayfa2!$E$1, "Bulunamadı")))))</f>
        <v>PAZARTESİ</v>
      </c>
    </row>
    <row r="539" spans="1:5" hidden="1" x14ac:dyDescent="0.25">
      <c r="A539" t="s">
        <v>2119</v>
      </c>
      <c r="B539" t="s">
        <v>613</v>
      </c>
      <c r="C539" t="s">
        <v>2081</v>
      </c>
      <c r="D539" s="4" t="s">
        <v>3063</v>
      </c>
      <c r="E539" t="str">
        <f>IF(COUNTIF(Sayfa2!$A$2:$A$8,"*"&amp;D539&amp;"*")&gt;0, Sayfa2!$A$1,
 IF(COUNTIF(Sayfa2!$B$2:$B$8, "*"&amp;D539&amp;"*")&gt;0, Sayfa2!$B$1,
 IF(COUNTIF(Sayfa2!$C$2:$C$8, "*"&amp;D539&amp;"*")&gt;0, Sayfa2!$C$1,
 IF(COUNTIF(Sayfa2!$D$2:$D$8,"*"&amp;D539&amp;"*")&gt;0, Sayfa2!$D$1,
 IF(COUNTIF(Sayfa2!$E$2:$E$8, "*"&amp;D539&amp;"*")&gt;0, Sayfa2!$E$1, "Bulunamadı")))))</f>
        <v>PAZARTESİ</v>
      </c>
    </row>
    <row r="540" spans="1:5" hidden="1" x14ac:dyDescent="0.25">
      <c r="A540" t="s">
        <v>2120</v>
      </c>
      <c r="B540" t="s">
        <v>614</v>
      </c>
      <c r="C540" t="s">
        <v>2081</v>
      </c>
      <c r="D540" s="4" t="s">
        <v>3063</v>
      </c>
      <c r="E540" t="str">
        <f>IF(COUNTIF(Sayfa2!$A$2:$A$8,"*"&amp;D540&amp;"*")&gt;0, Sayfa2!$A$1,
 IF(COUNTIF(Sayfa2!$B$2:$B$8, "*"&amp;D540&amp;"*")&gt;0, Sayfa2!$B$1,
 IF(COUNTIF(Sayfa2!$C$2:$C$8, "*"&amp;D540&amp;"*")&gt;0, Sayfa2!$C$1,
 IF(COUNTIF(Sayfa2!$D$2:$D$8,"*"&amp;D540&amp;"*")&gt;0, Sayfa2!$D$1,
 IF(COUNTIF(Sayfa2!$E$2:$E$8, "*"&amp;D540&amp;"*")&gt;0, Sayfa2!$E$1, "Bulunamadı")))))</f>
        <v>PAZARTESİ</v>
      </c>
    </row>
    <row r="541" spans="1:5" hidden="1" x14ac:dyDescent="0.25">
      <c r="A541" t="s">
        <v>2121</v>
      </c>
      <c r="B541" t="s">
        <v>615</v>
      </c>
      <c r="C541" t="s">
        <v>2081</v>
      </c>
      <c r="D541" s="4" t="s">
        <v>3063</v>
      </c>
      <c r="E541" t="str">
        <f>IF(COUNTIF(Sayfa2!$A$2:$A$8,"*"&amp;D541&amp;"*")&gt;0, Sayfa2!$A$1,
 IF(COUNTIF(Sayfa2!$B$2:$B$8, "*"&amp;D541&amp;"*")&gt;0, Sayfa2!$B$1,
 IF(COUNTIF(Sayfa2!$C$2:$C$8, "*"&amp;D541&amp;"*")&gt;0, Sayfa2!$C$1,
 IF(COUNTIF(Sayfa2!$D$2:$D$8,"*"&amp;D541&amp;"*")&gt;0, Sayfa2!$D$1,
 IF(COUNTIF(Sayfa2!$E$2:$E$8, "*"&amp;D541&amp;"*")&gt;0, Sayfa2!$E$1, "Bulunamadı")))))</f>
        <v>PAZARTESİ</v>
      </c>
    </row>
    <row r="542" spans="1:5" hidden="1" x14ac:dyDescent="0.25">
      <c r="A542" t="s">
        <v>2122</v>
      </c>
      <c r="B542" t="s">
        <v>616</v>
      </c>
      <c r="C542" t="s">
        <v>2083</v>
      </c>
      <c r="D542" s="4" t="s">
        <v>3062</v>
      </c>
      <c r="E542" t="str">
        <f>IF(COUNTIF(Sayfa2!$A$2:$A$8,"*"&amp;D542&amp;"*")&gt;0, Sayfa2!$A$1,
 IF(COUNTIF(Sayfa2!$B$2:$B$8, "*"&amp;D542&amp;"*")&gt;0, Sayfa2!$B$1,
 IF(COUNTIF(Sayfa2!$C$2:$C$8, "*"&amp;D542&amp;"*")&gt;0, Sayfa2!$C$1,
 IF(COUNTIF(Sayfa2!$D$2:$D$8,"*"&amp;D542&amp;"*")&gt;0, Sayfa2!$D$1,
 IF(COUNTIF(Sayfa2!$E$2:$E$8, "*"&amp;D542&amp;"*")&gt;0, Sayfa2!$E$1, "Bulunamadı")))))</f>
        <v>CUMA</v>
      </c>
    </row>
    <row r="543" spans="1:5" hidden="1" x14ac:dyDescent="0.25">
      <c r="A543" t="s">
        <v>2123</v>
      </c>
      <c r="B543" t="s">
        <v>617</v>
      </c>
      <c r="C543" t="s">
        <v>2081</v>
      </c>
      <c r="D543" s="4" t="s">
        <v>3063</v>
      </c>
      <c r="E543" t="str">
        <f>IF(COUNTIF(Sayfa2!$A$2:$A$8,"*"&amp;D543&amp;"*")&gt;0, Sayfa2!$A$1,
 IF(COUNTIF(Sayfa2!$B$2:$B$8, "*"&amp;D543&amp;"*")&gt;0, Sayfa2!$B$1,
 IF(COUNTIF(Sayfa2!$C$2:$C$8, "*"&amp;D543&amp;"*")&gt;0, Sayfa2!$C$1,
 IF(COUNTIF(Sayfa2!$D$2:$D$8,"*"&amp;D543&amp;"*")&gt;0, Sayfa2!$D$1,
 IF(COUNTIF(Sayfa2!$E$2:$E$8, "*"&amp;D543&amp;"*")&gt;0, Sayfa2!$E$1, "Bulunamadı")))))</f>
        <v>PAZARTESİ</v>
      </c>
    </row>
    <row r="544" spans="1:5" hidden="1" x14ac:dyDescent="0.25">
      <c r="A544" t="s">
        <v>2124</v>
      </c>
      <c r="B544" t="s">
        <v>618</v>
      </c>
      <c r="C544" t="s">
        <v>2081</v>
      </c>
      <c r="D544" s="4" t="s">
        <v>3063</v>
      </c>
      <c r="E544" t="str">
        <f>IF(COUNTIF(Sayfa2!$A$2:$A$8,"*"&amp;D544&amp;"*")&gt;0, Sayfa2!$A$1,
 IF(COUNTIF(Sayfa2!$B$2:$B$8, "*"&amp;D544&amp;"*")&gt;0, Sayfa2!$B$1,
 IF(COUNTIF(Sayfa2!$C$2:$C$8, "*"&amp;D544&amp;"*")&gt;0, Sayfa2!$C$1,
 IF(COUNTIF(Sayfa2!$D$2:$D$8,"*"&amp;D544&amp;"*")&gt;0, Sayfa2!$D$1,
 IF(COUNTIF(Sayfa2!$E$2:$E$8, "*"&amp;D544&amp;"*")&gt;0, Sayfa2!$E$1, "Bulunamadı")))))</f>
        <v>PAZARTESİ</v>
      </c>
    </row>
    <row r="545" spans="1:5" hidden="1" x14ac:dyDescent="0.25">
      <c r="A545" t="s">
        <v>2125</v>
      </c>
      <c r="B545" t="s">
        <v>619</v>
      </c>
      <c r="C545" t="s">
        <v>2081</v>
      </c>
      <c r="D545" s="4" t="s">
        <v>3063</v>
      </c>
      <c r="E545" t="str">
        <f>IF(COUNTIF(Sayfa2!$A$2:$A$8,"*"&amp;D545&amp;"*")&gt;0, Sayfa2!$A$1,
 IF(COUNTIF(Sayfa2!$B$2:$B$8, "*"&amp;D545&amp;"*")&gt;0, Sayfa2!$B$1,
 IF(COUNTIF(Sayfa2!$C$2:$C$8, "*"&amp;D545&amp;"*")&gt;0, Sayfa2!$C$1,
 IF(COUNTIF(Sayfa2!$D$2:$D$8,"*"&amp;D545&amp;"*")&gt;0, Sayfa2!$D$1,
 IF(COUNTIF(Sayfa2!$E$2:$E$8, "*"&amp;D545&amp;"*")&gt;0, Sayfa2!$E$1, "Bulunamadı")))))</f>
        <v>PAZARTESİ</v>
      </c>
    </row>
    <row r="546" spans="1:5" hidden="1" x14ac:dyDescent="0.25">
      <c r="A546" t="s">
        <v>2012</v>
      </c>
      <c r="B546" t="s">
        <v>620</v>
      </c>
      <c r="C546" t="s">
        <v>2081</v>
      </c>
      <c r="D546" s="4" t="s">
        <v>3063</v>
      </c>
      <c r="E546" t="str">
        <f>IF(COUNTIF(Sayfa2!$A$2:$A$8,"*"&amp;D546&amp;"*")&gt;0, Sayfa2!$A$1,
 IF(COUNTIF(Sayfa2!$B$2:$B$8, "*"&amp;D546&amp;"*")&gt;0, Sayfa2!$B$1,
 IF(COUNTIF(Sayfa2!$C$2:$C$8, "*"&amp;D546&amp;"*")&gt;0, Sayfa2!$C$1,
 IF(COUNTIF(Sayfa2!$D$2:$D$8,"*"&amp;D546&amp;"*")&gt;0, Sayfa2!$D$1,
 IF(COUNTIF(Sayfa2!$E$2:$E$8, "*"&amp;D546&amp;"*")&gt;0, Sayfa2!$E$1, "Bulunamadı")))))</f>
        <v>PAZARTESİ</v>
      </c>
    </row>
    <row r="547" spans="1:5" hidden="1" x14ac:dyDescent="0.25">
      <c r="A547" t="s">
        <v>2126</v>
      </c>
      <c r="B547" t="s">
        <v>621</v>
      </c>
      <c r="C547" t="s">
        <v>2083</v>
      </c>
      <c r="D547" s="4" t="s">
        <v>3062</v>
      </c>
      <c r="E547" t="str">
        <f>IF(COUNTIF(Sayfa2!$A$2:$A$8,"*"&amp;D547&amp;"*")&gt;0, Sayfa2!$A$1,
 IF(COUNTIF(Sayfa2!$B$2:$B$8, "*"&amp;D547&amp;"*")&gt;0, Sayfa2!$B$1,
 IF(COUNTIF(Sayfa2!$C$2:$C$8, "*"&amp;D547&amp;"*")&gt;0, Sayfa2!$C$1,
 IF(COUNTIF(Sayfa2!$D$2:$D$8,"*"&amp;D547&amp;"*")&gt;0, Sayfa2!$D$1,
 IF(COUNTIF(Sayfa2!$E$2:$E$8, "*"&amp;D547&amp;"*")&gt;0, Sayfa2!$E$1, "Bulunamadı")))))</f>
        <v>CUMA</v>
      </c>
    </row>
    <row r="548" spans="1:5" hidden="1" x14ac:dyDescent="0.25">
      <c r="A548" t="s">
        <v>2127</v>
      </c>
      <c r="B548" t="s">
        <v>622</v>
      </c>
      <c r="C548" t="s">
        <v>2081</v>
      </c>
      <c r="D548" s="4" t="s">
        <v>3063</v>
      </c>
      <c r="E548" t="str">
        <f>IF(COUNTIF(Sayfa2!$A$2:$A$8,"*"&amp;D548&amp;"*")&gt;0, Sayfa2!$A$1,
 IF(COUNTIF(Sayfa2!$B$2:$B$8, "*"&amp;D548&amp;"*")&gt;0, Sayfa2!$B$1,
 IF(COUNTIF(Sayfa2!$C$2:$C$8, "*"&amp;D548&amp;"*")&gt;0, Sayfa2!$C$1,
 IF(COUNTIF(Sayfa2!$D$2:$D$8,"*"&amp;D548&amp;"*")&gt;0, Sayfa2!$D$1,
 IF(COUNTIF(Sayfa2!$E$2:$E$8, "*"&amp;D548&amp;"*")&gt;0, Sayfa2!$E$1, "Bulunamadı")))))</f>
        <v>PAZARTESİ</v>
      </c>
    </row>
    <row r="549" spans="1:5" hidden="1" x14ac:dyDescent="0.25">
      <c r="A549" t="s">
        <v>2128</v>
      </c>
      <c r="B549" t="s">
        <v>623</v>
      </c>
      <c r="C549" t="s">
        <v>2083</v>
      </c>
      <c r="D549" s="4" t="s">
        <v>3062</v>
      </c>
      <c r="E549" t="str">
        <f>IF(COUNTIF(Sayfa2!$A$2:$A$8,"*"&amp;D549&amp;"*")&gt;0, Sayfa2!$A$1,
 IF(COUNTIF(Sayfa2!$B$2:$B$8, "*"&amp;D549&amp;"*")&gt;0, Sayfa2!$B$1,
 IF(COUNTIF(Sayfa2!$C$2:$C$8, "*"&amp;D549&amp;"*")&gt;0, Sayfa2!$C$1,
 IF(COUNTIF(Sayfa2!$D$2:$D$8,"*"&amp;D549&amp;"*")&gt;0, Sayfa2!$D$1,
 IF(COUNTIF(Sayfa2!$E$2:$E$8, "*"&amp;D549&amp;"*")&gt;0, Sayfa2!$E$1, "Bulunamadı")))))</f>
        <v>CUMA</v>
      </c>
    </row>
    <row r="550" spans="1:5" hidden="1" x14ac:dyDescent="0.25">
      <c r="A550" t="s">
        <v>2129</v>
      </c>
      <c r="B550" t="s">
        <v>624</v>
      </c>
      <c r="C550" t="s">
        <v>2130</v>
      </c>
      <c r="D550" s="4" t="s">
        <v>3064</v>
      </c>
      <c r="E550" t="str">
        <f>IF(COUNTIF(Sayfa2!$A$2:$A$8,"*"&amp;D550&amp;"*")&gt;0, Sayfa2!$A$1,
 IF(COUNTIF(Sayfa2!$B$2:$B$8, "*"&amp;D550&amp;"*")&gt;0, Sayfa2!$B$1,
 IF(COUNTIF(Sayfa2!$C$2:$C$8, "*"&amp;D550&amp;"*")&gt;0, Sayfa2!$C$1,
 IF(COUNTIF(Sayfa2!$D$2:$D$8,"*"&amp;D550&amp;"*")&gt;0, Sayfa2!$D$1,
 IF(COUNTIF(Sayfa2!$E$2:$E$8, "*"&amp;D550&amp;"*")&gt;0, Sayfa2!$E$1, "Bulunamadı")))))</f>
        <v>SALI</v>
      </c>
    </row>
    <row r="551" spans="1:5" hidden="1" x14ac:dyDescent="0.25">
      <c r="A551" t="s">
        <v>2131</v>
      </c>
      <c r="B551" t="s">
        <v>626</v>
      </c>
      <c r="C551" t="s">
        <v>2130</v>
      </c>
      <c r="D551" s="4" t="s">
        <v>3064</v>
      </c>
      <c r="E551" t="str">
        <f>IF(COUNTIF(Sayfa2!$A$2:$A$8,"*"&amp;D551&amp;"*")&gt;0, Sayfa2!$A$1,
 IF(COUNTIF(Sayfa2!$B$2:$B$8, "*"&amp;D551&amp;"*")&gt;0, Sayfa2!$B$1,
 IF(COUNTIF(Sayfa2!$C$2:$C$8, "*"&amp;D551&amp;"*")&gt;0, Sayfa2!$C$1,
 IF(COUNTIF(Sayfa2!$D$2:$D$8,"*"&amp;D551&amp;"*")&gt;0, Sayfa2!$D$1,
 IF(COUNTIF(Sayfa2!$E$2:$E$8, "*"&amp;D551&amp;"*")&gt;0, Sayfa2!$E$1, "Bulunamadı")))))</f>
        <v>SALI</v>
      </c>
    </row>
    <row r="552" spans="1:5" hidden="1" x14ac:dyDescent="0.25">
      <c r="A552" t="s">
        <v>2132</v>
      </c>
      <c r="B552" t="s">
        <v>627</v>
      </c>
      <c r="C552" t="s">
        <v>2130</v>
      </c>
      <c r="D552" s="4" t="s">
        <v>3064</v>
      </c>
      <c r="E552" t="str">
        <f>IF(COUNTIF(Sayfa2!$A$2:$A$8,"*"&amp;D552&amp;"*")&gt;0, Sayfa2!$A$1,
 IF(COUNTIF(Sayfa2!$B$2:$B$8, "*"&amp;D552&amp;"*")&gt;0, Sayfa2!$B$1,
 IF(COUNTIF(Sayfa2!$C$2:$C$8, "*"&amp;D552&amp;"*")&gt;0, Sayfa2!$C$1,
 IF(COUNTIF(Sayfa2!$D$2:$D$8,"*"&amp;D552&amp;"*")&gt;0, Sayfa2!$D$1,
 IF(COUNTIF(Sayfa2!$E$2:$E$8, "*"&amp;D552&amp;"*")&gt;0, Sayfa2!$E$1, "Bulunamadı")))))</f>
        <v>SALI</v>
      </c>
    </row>
    <row r="553" spans="1:5" hidden="1" x14ac:dyDescent="0.25">
      <c r="A553" t="s">
        <v>2133</v>
      </c>
      <c r="B553" t="s">
        <v>628</v>
      </c>
      <c r="C553" t="s">
        <v>2130</v>
      </c>
      <c r="D553" s="4" t="s">
        <v>3064</v>
      </c>
      <c r="E553" t="str">
        <f>IF(COUNTIF(Sayfa2!$A$2:$A$8,"*"&amp;D553&amp;"*")&gt;0, Sayfa2!$A$1,
 IF(COUNTIF(Sayfa2!$B$2:$B$8, "*"&amp;D553&amp;"*")&gt;0, Sayfa2!$B$1,
 IF(COUNTIF(Sayfa2!$C$2:$C$8, "*"&amp;D553&amp;"*")&gt;0, Sayfa2!$C$1,
 IF(COUNTIF(Sayfa2!$D$2:$D$8,"*"&amp;D553&amp;"*")&gt;0, Sayfa2!$D$1,
 IF(COUNTIF(Sayfa2!$E$2:$E$8, "*"&amp;D553&amp;"*")&gt;0, Sayfa2!$E$1, "Bulunamadı")))))</f>
        <v>SALI</v>
      </c>
    </row>
    <row r="554" spans="1:5" hidden="1" x14ac:dyDescent="0.25">
      <c r="A554" t="s">
        <v>2134</v>
      </c>
      <c r="B554" t="s">
        <v>629</v>
      </c>
      <c r="C554" t="s">
        <v>2135</v>
      </c>
      <c r="D554" s="4" t="s">
        <v>3072</v>
      </c>
      <c r="E554" t="str">
        <f>IF(COUNTIF(Sayfa2!$A$2:$A$8,"*"&amp;D554&amp;"*")&gt;0, Sayfa2!$A$1,
 IF(COUNTIF(Sayfa2!$B$2:$B$8, "*"&amp;D554&amp;"*")&gt;0, Sayfa2!$B$1,
 IF(COUNTIF(Sayfa2!$C$2:$C$8, "*"&amp;D554&amp;"*")&gt;0, Sayfa2!$C$1,
 IF(COUNTIF(Sayfa2!$D$2:$D$8,"*"&amp;D554&amp;"*")&gt;0, Sayfa2!$D$1,
 IF(COUNTIF(Sayfa2!$E$2:$E$8, "*"&amp;D554&amp;"*")&gt;0, Sayfa2!$E$1, "Bulunamadı")))))</f>
        <v>CUMA</v>
      </c>
    </row>
    <row r="555" spans="1:5" hidden="1" x14ac:dyDescent="0.25">
      <c r="A555" t="s">
        <v>2136</v>
      </c>
      <c r="B555" t="s">
        <v>630</v>
      </c>
      <c r="C555" t="s">
        <v>2135</v>
      </c>
      <c r="D555" s="4" t="s">
        <v>3072</v>
      </c>
      <c r="E555" t="str">
        <f>IF(COUNTIF(Sayfa2!$A$2:$A$8,"*"&amp;D555&amp;"*")&gt;0, Sayfa2!$A$1,
 IF(COUNTIF(Sayfa2!$B$2:$B$8, "*"&amp;D555&amp;"*")&gt;0, Sayfa2!$B$1,
 IF(COUNTIF(Sayfa2!$C$2:$C$8, "*"&amp;D555&amp;"*")&gt;0, Sayfa2!$C$1,
 IF(COUNTIF(Sayfa2!$D$2:$D$8,"*"&amp;D555&amp;"*")&gt;0, Sayfa2!$D$1,
 IF(COUNTIF(Sayfa2!$E$2:$E$8, "*"&amp;D555&amp;"*")&gt;0, Sayfa2!$E$1, "Bulunamadı")))))</f>
        <v>CUMA</v>
      </c>
    </row>
    <row r="556" spans="1:5" hidden="1" x14ac:dyDescent="0.25">
      <c r="A556" t="s">
        <v>2137</v>
      </c>
      <c r="B556" t="s">
        <v>631</v>
      </c>
      <c r="C556" t="s">
        <v>2135</v>
      </c>
      <c r="D556" s="4" t="s">
        <v>3072</v>
      </c>
      <c r="E556" t="str">
        <f>IF(COUNTIF(Sayfa2!$A$2:$A$8,"*"&amp;D556&amp;"*")&gt;0, Sayfa2!$A$1,
 IF(COUNTIF(Sayfa2!$B$2:$B$8, "*"&amp;D556&amp;"*")&gt;0, Sayfa2!$B$1,
 IF(COUNTIF(Sayfa2!$C$2:$C$8, "*"&amp;D556&amp;"*")&gt;0, Sayfa2!$C$1,
 IF(COUNTIF(Sayfa2!$D$2:$D$8,"*"&amp;D556&amp;"*")&gt;0, Sayfa2!$D$1,
 IF(COUNTIF(Sayfa2!$E$2:$E$8, "*"&amp;D556&amp;"*")&gt;0, Sayfa2!$E$1, "Bulunamadı")))))</f>
        <v>CUMA</v>
      </c>
    </row>
    <row r="557" spans="1:5" hidden="1" x14ac:dyDescent="0.25">
      <c r="A557" t="s">
        <v>2138</v>
      </c>
      <c r="B557" t="s">
        <v>632</v>
      </c>
      <c r="C557" t="s">
        <v>2135</v>
      </c>
      <c r="D557" s="4" t="s">
        <v>3072</v>
      </c>
      <c r="E557" t="str">
        <f>IF(COUNTIF(Sayfa2!$A$2:$A$8,"*"&amp;D557&amp;"*")&gt;0, Sayfa2!$A$1,
 IF(COUNTIF(Sayfa2!$B$2:$B$8, "*"&amp;D557&amp;"*")&gt;0, Sayfa2!$B$1,
 IF(COUNTIF(Sayfa2!$C$2:$C$8, "*"&amp;D557&amp;"*")&gt;0, Sayfa2!$C$1,
 IF(COUNTIF(Sayfa2!$D$2:$D$8,"*"&amp;D557&amp;"*")&gt;0, Sayfa2!$D$1,
 IF(COUNTIF(Sayfa2!$E$2:$E$8, "*"&amp;D557&amp;"*")&gt;0, Sayfa2!$E$1, "Bulunamadı")))))</f>
        <v>CUMA</v>
      </c>
    </row>
    <row r="558" spans="1:5" hidden="1" x14ac:dyDescent="0.25">
      <c r="A558" t="s">
        <v>2139</v>
      </c>
      <c r="B558" t="s">
        <v>633</v>
      </c>
      <c r="C558" t="s">
        <v>2135</v>
      </c>
      <c r="D558" s="4" t="s">
        <v>3072</v>
      </c>
      <c r="E558" t="str">
        <f>IF(COUNTIF(Sayfa2!$A$2:$A$8,"*"&amp;D558&amp;"*")&gt;0, Sayfa2!$A$1,
 IF(COUNTIF(Sayfa2!$B$2:$B$8, "*"&amp;D558&amp;"*")&gt;0, Sayfa2!$B$1,
 IF(COUNTIF(Sayfa2!$C$2:$C$8, "*"&amp;D558&amp;"*")&gt;0, Sayfa2!$C$1,
 IF(COUNTIF(Sayfa2!$D$2:$D$8,"*"&amp;D558&amp;"*")&gt;0, Sayfa2!$D$1,
 IF(COUNTIF(Sayfa2!$E$2:$E$8, "*"&amp;D558&amp;"*")&gt;0, Sayfa2!$E$1, "Bulunamadı")))))</f>
        <v>CUMA</v>
      </c>
    </row>
    <row r="559" spans="1:5" hidden="1" x14ac:dyDescent="0.25">
      <c r="A559" t="s">
        <v>2140</v>
      </c>
      <c r="B559" t="s">
        <v>634</v>
      </c>
      <c r="C559" t="s">
        <v>2135</v>
      </c>
      <c r="D559" s="4" t="s">
        <v>3072</v>
      </c>
      <c r="E559" t="str">
        <f>IF(COUNTIF(Sayfa2!$A$2:$A$8,"*"&amp;D559&amp;"*")&gt;0, Sayfa2!$A$1,
 IF(COUNTIF(Sayfa2!$B$2:$B$8, "*"&amp;D559&amp;"*")&gt;0, Sayfa2!$B$1,
 IF(COUNTIF(Sayfa2!$C$2:$C$8, "*"&amp;D559&amp;"*")&gt;0, Sayfa2!$C$1,
 IF(COUNTIF(Sayfa2!$D$2:$D$8,"*"&amp;D559&amp;"*")&gt;0, Sayfa2!$D$1,
 IF(COUNTIF(Sayfa2!$E$2:$E$8, "*"&amp;D559&amp;"*")&gt;0, Sayfa2!$E$1, "Bulunamadı")))))</f>
        <v>CUMA</v>
      </c>
    </row>
    <row r="560" spans="1:5" hidden="1" x14ac:dyDescent="0.25">
      <c r="A560" t="s">
        <v>2141</v>
      </c>
      <c r="B560" t="s">
        <v>635</v>
      </c>
      <c r="C560" t="s">
        <v>2135</v>
      </c>
      <c r="D560" s="4" t="s">
        <v>3072</v>
      </c>
      <c r="E560" t="str">
        <f>IF(COUNTIF(Sayfa2!$A$2:$A$8,"*"&amp;D560&amp;"*")&gt;0, Sayfa2!$A$1,
 IF(COUNTIF(Sayfa2!$B$2:$B$8, "*"&amp;D560&amp;"*")&gt;0, Sayfa2!$B$1,
 IF(COUNTIF(Sayfa2!$C$2:$C$8, "*"&amp;D560&amp;"*")&gt;0, Sayfa2!$C$1,
 IF(COUNTIF(Sayfa2!$D$2:$D$8,"*"&amp;D560&amp;"*")&gt;0, Sayfa2!$D$1,
 IF(COUNTIF(Sayfa2!$E$2:$E$8, "*"&amp;D560&amp;"*")&gt;0, Sayfa2!$E$1, "Bulunamadı")))))</f>
        <v>CUMA</v>
      </c>
    </row>
    <row r="561" spans="1:5" hidden="1" x14ac:dyDescent="0.25">
      <c r="A561" t="s">
        <v>2142</v>
      </c>
      <c r="B561" t="s">
        <v>636</v>
      </c>
      <c r="C561" t="s">
        <v>2143</v>
      </c>
      <c r="D561" s="4" t="s">
        <v>3064</v>
      </c>
      <c r="E561" t="str">
        <f>IF(COUNTIF(Sayfa2!$A$2:$A$8,"*"&amp;D561&amp;"*")&gt;0, Sayfa2!$A$1,
 IF(COUNTIF(Sayfa2!$B$2:$B$8, "*"&amp;D561&amp;"*")&gt;0, Sayfa2!$B$1,
 IF(COUNTIF(Sayfa2!$C$2:$C$8, "*"&amp;D561&amp;"*")&gt;0, Sayfa2!$C$1,
 IF(COUNTIF(Sayfa2!$D$2:$D$8,"*"&amp;D561&amp;"*")&gt;0, Sayfa2!$D$1,
 IF(COUNTIF(Sayfa2!$E$2:$E$8, "*"&amp;D561&amp;"*")&gt;0, Sayfa2!$E$1, "Bulunamadı")))))</f>
        <v>SALI</v>
      </c>
    </row>
    <row r="562" spans="1:5" hidden="1" x14ac:dyDescent="0.25">
      <c r="A562" t="s">
        <v>2144</v>
      </c>
      <c r="B562" t="s">
        <v>638</v>
      </c>
      <c r="C562" t="s">
        <v>2143</v>
      </c>
      <c r="D562" s="4" t="s">
        <v>3064</v>
      </c>
      <c r="E562" t="str">
        <f>IF(COUNTIF(Sayfa2!$A$2:$A$8,"*"&amp;D562&amp;"*")&gt;0, Sayfa2!$A$1,
 IF(COUNTIF(Sayfa2!$B$2:$B$8, "*"&amp;D562&amp;"*")&gt;0, Sayfa2!$B$1,
 IF(COUNTIF(Sayfa2!$C$2:$C$8, "*"&amp;D562&amp;"*")&gt;0, Sayfa2!$C$1,
 IF(COUNTIF(Sayfa2!$D$2:$D$8,"*"&amp;D562&amp;"*")&gt;0, Sayfa2!$D$1,
 IF(COUNTIF(Sayfa2!$E$2:$E$8, "*"&amp;D562&amp;"*")&gt;0, Sayfa2!$E$1, "Bulunamadı")))))</f>
        <v>SALI</v>
      </c>
    </row>
    <row r="563" spans="1:5" hidden="1" x14ac:dyDescent="0.25">
      <c r="A563" t="s">
        <v>2145</v>
      </c>
      <c r="B563" t="s">
        <v>639</v>
      </c>
      <c r="C563" t="s">
        <v>2143</v>
      </c>
      <c r="D563" s="4" t="s">
        <v>3064</v>
      </c>
      <c r="E563" t="str">
        <f>IF(COUNTIF(Sayfa2!$A$2:$A$8,"*"&amp;D563&amp;"*")&gt;0, Sayfa2!$A$1,
 IF(COUNTIF(Sayfa2!$B$2:$B$8, "*"&amp;D563&amp;"*")&gt;0, Sayfa2!$B$1,
 IF(COUNTIF(Sayfa2!$C$2:$C$8, "*"&amp;D563&amp;"*")&gt;0, Sayfa2!$C$1,
 IF(COUNTIF(Sayfa2!$D$2:$D$8,"*"&amp;D563&amp;"*")&gt;0, Sayfa2!$D$1,
 IF(COUNTIF(Sayfa2!$E$2:$E$8, "*"&amp;D563&amp;"*")&gt;0, Sayfa2!$E$1, "Bulunamadı")))))</f>
        <v>SALI</v>
      </c>
    </row>
    <row r="564" spans="1:5" hidden="1" x14ac:dyDescent="0.25">
      <c r="A564" t="s">
        <v>2146</v>
      </c>
      <c r="B564" t="s">
        <v>640</v>
      </c>
      <c r="C564" t="s">
        <v>2147</v>
      </c>
      <c r="D564" s="4" t="s">
        <v>3067</v>
      </c>
      <c r="E564" t="str">
        <f>IF(COUNTIF(Sayfa2!$A$2:$A$8,"*"&amp;D564&amp;"*")&gt;0, Sayfa2!$A$1,
 IF(COUNTIF(Sayfa2!$B$2:$B$8, "*"&amp;D564&amp;"*")&gt;0, Sayfa2!$B$1,
 IF(COUNTIF(Sayfa2!$C$2:$C$8, "*"&amp;D564&amp;"*")&gt;0, Sayfa2!$C$1,
 IF(COUNTIF(Sayfa2!$D$2:$D$8,"*"&amp;D564&amp;"*")&gt;0, Sayfa2!$D$1,
 IF(COUNTIF(Sayfa2!$E$2:$E$8, "*"&amp;D564&amp;"*")&gt;0, Sayfa2!$E$1, "Bulunamadı")))))</f>
        <v>CUMA</v>
      </c>
    </row>
    <row r="565" spans="1:5" hidden="1" x14ac:dyDescent="0.25">
      <c r="A565" t="s">
        <v>2148</v>
      </c>
      <c r="B565" t="s">
        <v>641</v>
      </c>
      <c r="C565" t="s">
        <v>2149</v>
      </c>
      <c r="D565" s="4" t="s">
        <v>3070</v>
      </c>
      <c r="E565" t="str">
        <f>IF(COUNTIF(Sayfa2!$A$2:$A$8,"*"&amp;D565&amp;"*")&gt;0, Sayfa2!$A$1,
 IF(COUNTIF(Sayfa2!$B$2:$B$8, "*"&amp;D565&amp;"*")&gt;0, Sayfa2!$B$1,
 IF(COUNTIF(Sayfa2!$C$2:$C$8, "*"&amp;D565&amp;"*")&gt;0, Sayfa2!$C$1,
 IF(COUNTIF(Sayfa2!$D$2:$D$8,"*"&amp;D565&amp;"*")&gt;0, Sayfa2!$D$1,
 IF(COUNTIF(Sayfa2!$E$2:$E$8, "*"&amp;D565&amp;"*")&gt;0, Sayfa2!$E$1, "Bulunamadı")))))</f>
        <v>ÇARŞAMBA</v>
      </c>
    </row>
    <row r="566" spans="1:5" hidden="1" x14ac:dyDescent="0.25">
      <c r="A566" t="s">
        <v>2150</v>
      </c>
      <c r="B566" t="s">
        <v>643</v>
      </c>
      <c r="C566" t="s">
        <v>2151</v>
      </c>
      <c r="D566" s="4" t="s">
        <v>3071</v>
      </c>
      <c r="E566" t="str">
        <f>IF(COUNTIF(Sayfa2!$A$2:$A$8,"*"&amp;D566&amp;"*")&gt;0, Sayfa2!$A$1,
 IF(COUNTIF(Sayfa2!$B$2:$B$8, "*"&amp;D566&amp;"*")&gt;0, Sayfa2!$B$1,
 IF(COUNTIF(Sayfa2!$C$2:$C$8, "*"&amp;D566&amp;"*")&gt;0, Sayfa2!$C$1,
 IF(COUNTIF(Sayfa2!$D$2:$D$8,"*"&amp;D566&amp;"*")&gt;0, Sayfa2!$D$1,
 IF(COUNTIF(Sayfa2!$E$2:$E$8, "*"&amp;D566&amp;"*")&gt;0, Sayfa2!$E$1, "Bulunamadı")))))</f>
        <v>PERŞEMBE</v>
      </c>
    </row>
    <row r="567" spans="1:5" hidden="1" x14ac:dyDescent="0.25">
      <c r="A567" t="s">
        <v>2152</v>
      </c>
      <c r="B567" t="s">
        <v>644</v>
      </c>
      <c r="C567" t="s">
        <v>2151</v>
      </c>
      <c r="D567" s="4" t="s">
        <v>3071</v>
      </c>
      <c r="E567" t="str">
        <f>IF(COUNTIF(Sayfa2!$A$2:$A$8,"*"&amp;D567&amp;"*")&gt;0, Sayfa2!$A$1,
 IF(COUNTIF(Sayfa2!$B$2:$B$8, "*"&amp;D567&amp;"*")&gt;0, Sayfa2!$B$1,
 IF(COUNTIF(Sayfa2!$C$2:$C$8, "*"&amp;D567&amp;"*")&gt;0, Sayfa2!$C$1,
 IF(COUNTIF(Sayfa2!$D$2:$D$8,"*"&amp;D567&amp;"*")&gt;0, Sayfa2!$D$1,
 IF(COUNTIF(Sayfa2!$E$2:$E$8, "*"&amp;D567&amp;"*")&gt;0, Sayfa2!$E$1, "Bulunamadı")))))</f>
        <v>PERŞEMBE</v>
      </c>
    </row>
    <row r="568" spans="1:5" hidden="1" x14ac:dyDescent="0.25">
      <c r="A568" t="s">
        <v>2153</v>
      </c>
      <c r="B568" t="s">
        <v>645</v>
      </c>
      <c r="C568" t="s">
        <v>2154</v>
      </c>
      <c r="D568" s="4" t="s">
        <v>3068</v>
      </c>
      <c r="E568" t="str">
        <f>IF(COUNTIF(Sayfa2!$A$2:$A$8,"*"&amp;D568&amp;"*")&gt;0, Sayfa2!$A$1,
 IF(COUNTIF(Sayfa2!$B$2:$B$8, "*"&amp;D568&amp;"*")&gt;0, Sayfa2!$B$1,
 IF(COUNTIF(Sayfa2!$C$2:$C$8, "*"&amp;D568&amp;"*")&gt;0, Sayfa2!$C$1,
 IF(COUNTIF(Sayfa2!$D$2:$D$8,"*"&amp;D568&amp;"*")&gt;0, Sayfa2!$D$1,
 IF(COUNTIF(Sayfa2!$E$2:$E$8, "*"&amp;D568&amp;"*")&gt;0, Sayfa2!$E$1, "Bulunamadı")))))</f>
        <v>PAZARTESİ</v>
      </c>
    </row>
    <row r="569" spans="1:5" hidden="1" x14ac:dyDescent="0.25">
      <c r="A569" t="s">
        <v>2155</v>
      </c>
      <c r="B569" t="s">
        <v>646</v>
      </c>
      <c r="C569" t="s">
        <v>2154</v>
      </c>
      <c r="D569" s="4" t="s">
        <v>3068</v>
      </c>
      <c r="E569" t="str">
        <f>IF(COUNTIF(Sayfa2!$A$2:$A$8,"*"&amp;D569&amp;"*")&gt;0, Sayfa2!$A$1,
 IF(COUNTIF(Sayfa2!$B$2:$B$8, "*"&amp;D569&amp;"*")&gt;0, Sayfa2!$B$1,
 IF(COUNTIF(Sayfa2!$C$2:$C$8, "*"&amp;D569&amp;"*")&gt;0, Sayfa2!$C$1,
 IF(COUNTIF(Sayfa2!$D$2:$D$8,"*"&amp;D569&amp;"*")&gt;0, Sayfa2!$D$1,
 IF(COUNTIF(Sayfa2!$E$2:$E$8, "*"&amp;D569&amp;"*")&gt;0, Sayfa2!$E$1, "Bulunamadı")))))</f>
        <v>PAZARTESİ</v>
      </c>
    </row>
    <row r="570" spans="1:5" hidden="1" x14ac:dyDescent="0.25">
      <c r="A570" t="s">
        <v>2156</v>
      </c>
      <c r="B570" t="s">
        <v>647</v>
      </c>
      <c r="C570" t="s">
        <v>2149</v>
      </c>
      <c r="D570" s="4" t="s">
        <v>3070</v>
      </c>
      <c r="E570" t="str">
        <f>IF(COUNTIF(Sayfa2!$A$2:$A$8,"*"&amp;D570&amp;"*")&gt;0, Sayfa2!$A$1,
 IF(COUNTIF(Sayfa2!$B$2:$B$8, "*"&amp;D570&amp;"*")&gt;0, Sayfa2!$B$1,
 IF(COUNTIF(Sayfa2!$C$2:$C$8, "*"&amp;D570&amp;"*")&gt;0, Sayfa2!$C$1,
 IF(COUNTIF(Sayfa2!$D$2:$D$8,"*"&amp;D570&amp;"*")&gt;0, Sayfa2!$D$1,
 IF(COUNTIF(Sayfa2!$E$2:$E$8, "*"&amp;D570&amp;"*")&gt;0, Sayfa2!$E$1, "Bulunamadı")))))</f>
        <v>ÇARŞAMBA</v>
      </c>
    </row>
    <row r="571" spans="1:5" hidden="1" x14ac:dyDescent="0.25">
      <c r="A571" t="s">
        <v>2157</v>
      </c>
      <c r="B571" t="s">
        <v>648</v>
      </c>
      <c r="C571" t="s">
        <v>2149</v>
      </c>
      <c r="D571" s="4" t="s">
        <v>3070</v>
      </c>
      <c r="E571" t="str">
        <f>IF(COUNTIF(Sayfa2!$A$2:$A$8,"*"&amp;D571&amp;"*")&gt;0, Sayfa2!$A$1,
 IF(COUNTIF(Sayfa2!$B$2:$B$8, "*"&amp;D571&amp;"*")&gt;0, Sayfa2!$B$1,
 IF(COUNTIF(Sayfa2!$C$2:$C$8, "*"&amp;D571&amp;"*")&gt;0, Sayfa2!$C$1,
 IF(COUNTIF(Sayfa2!$D$2:$D$8,"*"&amp;D571&amp;"*")&gt;0, Sayfa2!$D$1,
 IF(COUNTIF(Sayfa2!$E$2:$E$8, "*"&amp;D571&amp;"*")&gt;0, Sayfa2!$E$1, "Bulunamadı")))))</f>
        <v>ÇARŞAMBA</v>
      </c>
    </row>
    <row r="572" spans="1:5" hidden="1" x14ac:dyDescent="0.25">
      <c r="A572" t="s">
        <v>2158</v>
      </c>
      <c r="B572" t="s">
        <v>649</v>
      </c>
      <c r="C572" t="s">
        <v>2154</v>
      </c>
      <c r="D572" s="4" t="s">
        <v>3068</v>
      </c>
      <c r="E572" t="str">
        <f>IF(COUNTIF(Sayfa2!$A$2:$A$8,"*"&amp;D572&amp;"*")&gt;0, Sayfa2!$A$1,
 IF(COUNTIF(Sayfa2!$B$2:$B$8, "*"&amp;D572&amp;"*")&gt;0, Sayfa2!$B$1,
 IF(COUNTIF(Sayfa2!$C$2:$C$8, "*"&amp;D572&amp;"*")&gt;0, Sayfa2!$C$1,
 IF(COUNTIF(Sayfa2!$D$2:$D$8,"*"&amp;D572&amp;"*")&gt;0, Sayfa2!$D$1,
 IF(COUNTIF(Sayfa2!$E$2:$E$8, "*"&amp;D572&amp;"*")&gt;0, Sayfa2!$E$1, "Bulunamadı")))))</f>
        <v>PAZARTESİ</v>
      </c>
    </row>
    <row r="573" spans="1:5" hidden="1" x14ac:dyDescent="0.25">
      <c r="A573" t="s">
        <v>2159</v>
      </c>
      <c r="B573" t="s">
        <v>650</v>
      </c>
      <c r="C573" t="s">
        <v>2160</v>
      </c>
      <c r="D573" s="4" t="s">
        <v>3070</v>
      </c>
      <c r="E573" t="str">
        <f>IF(COUNTIF(Sayfa2!$A$2:$A$8,"*"&amp;D573&amp;"*")&gt;0, Sayfa2!$A$1,
 IF(COUNTIF(Sayfa2!$B$2:$B$8, "*"&amp;D573&amp;"*")&gt;0, Sayfa2!$B$1,
 IF(COUNTIF(Sayfa2!$C$2:$C$8, "*"&amp;D573&amp;"*")&gt;0, Sayfa2!$C$1,
 IF(COUNTIF(Sayfa2!$D$2:$D$8,"*"&amp;D573&amp;"*")&gt;0, Sayfa2!$D$1,
 IF(COUNTIF(Sayfa2!$E$2:$E$8, "*"&amp;D573&amp;"*")&gt;0, Sayfa2!$E$1, "Bulunamadı")))))</f>
        <v>ÇARŞAMBA</v>
      </c>
    </row>
    <row r="574" spans="1:5" hidden="1" x14ac:dyDescent="0.25">
      <c r="A574" t="s">
        <v>2161</v>
      </c>
      <c r="B574" t="s">
        <v>651</v>
      </c>
      <c r="C574" t="s">
        <v>2162</v>
      </c>
      <c r="D574" s="4" t="s">
        <v>3067</v>
      </c>
      <c r="E574" t="str">
        <f>IF(COUNTIF(Sayfa2!$A$2:$A$8,"*"&amp;D574&amp;"*")&gt;0, Sayfa2!$A$1,
 IF(COUNTIF(Sayfa2!$B$2:$B$8, "*"&amp;D574&amp;"*")&gt;0, Sayfa2!$B$1,
 IF(COUNTIF(Sayfa2!$C$2:$C$8, "*"&amp;D574&amp;"*")&gt;0, Sayfa2!$C$1,
 IF(COUNTIF(Sayfa2!$D$2:$D$8,"*"&amp;D574&amp;"*")&gt;0, Sayfa2!$D$1,
 IF(COUNTIF(Sayfa2!$E$2:$E$8, "*"&amp;D574&amp;"*")&gt;0, Sayfa2!$E$1, "Bulunamadı")))))</f>
        <v>CUMA</v>
      </c>
    </row>
    <row r="575" spans="1:5" hidden="1" x14ac:dyDescent="0.25">
      <c r="A575" t="s">
        <v>2163</v>
      </c>
      <c r="B575" t="s">
        <v>652</v>
      </c>
      <c r="C575" t="s">
        <v>2162</v>
      </c>
      <c r="D575" s="4" t="s">
        <v>3067</v>
      </c>
      <c r="E575" t="str">
        <f>IF(COUNTIF(Sayfa2!$A$2:$A$8,"*"&amp;D575&amp;"*")&gt;0, Sayfa2!$A$1,
 IF(COUNTIF(Sayfa2!$B$2:$B$8, "*"&amp;D575&amp;"*")&gt;0, Sayfa2!$B$1,
 IF(COUNTIF(Sayfa2!$C$2:$C$8, "*"&amp;D575&amp;"*")&gt;0, Sayfa2!$C$1,
 IF(COUNTIF(Sayfa2!$D$2:$D$8,"*"&amp;D575&amp;"*")&gt;0, Sayfa2!$D$1,
 IF(COUNTIF(Sayfa2!$E$2:$E$8, "*"&amp;D575&amp;"*")&gt;0, Sayfa2!$E$1, "Bulunamadı")))))</f>
        <v>CUMA</v>
      </c>
    </row>
    <row r="576" spans="1:5" hidden="1" x14ac:dyDescent="0.25">
      <c r="A576" t="s">
        <v>2164</v>
      </c>
      <c r="B576" t="s">
        <v>653</v>
      </c>
      <c r="C576" t="s">
        <v>2162</v>
      </c>
      <c r="D576" s="4" t="s">
        <v>3067</v>
      </c>
      <c r="E576" t="str">
        <f>IF(COUNTIF(Sayfa2!$A$2:$A$8,"*"&amp;D576&amp;"*")&gt;0, Sayfa2!$A$1,
 IF(COUNTIF(Sayfa2!$B$2:$B$8, "*"&amp;D576&amp;"*")&gt;0, Sayfa2!$B$1,
 IF(COUNTIF(Sayfa2!$C$2:$C$8, "*"&amp;D576&amp;"*")&gt;0, Sayfa2!$C$1,
 IF(COUNTIF(Sayfa2!$D$2:$D$8,"*"&amp;D576&amp;"*")&gt;0, Sayfa2!$D$1,
 IF(COUNTIF(Sayfa2!$E$2:$E$8, "*"&amp;D576&amp;"*")&gt;0, Sayfa2!$E$1, "Bulunamadı")))))</f>
        <v>CUMA</v>
      </c>
    </row>
    <row r="577" spans="1:5" hidden="1" x14ac:dyDescent="0.25">
      <c r="A577" t="s">
        <v>2165</v>
      </c>
      <c r="B577" t="s">
        <v>654</v>
      </c>
      <c r="C577" t="s">
        <v>2166</v>
      </c>
      <c r="D577" s="4" t="s">
        <v>3069</v>
      </c>
      <c r="E577" t="str">
        <f>IF(COUNTIF(Sayfa2!$A$2:$A$8,"*"&amp;D577&amp;"*")&gt;0, Sayfa2!$A$1,
 IF(COUNTIF(Sayfa2!$B$2:$B$8, "*"&amp;D577&amp;"*")&gt;0, Sayfa2!$B$1,
 IF(COUNTIF(Sayfa2!$C$2:$C$8, "*"&amp;D577&amp;"*")&gt;0, Sayfa2!$C$1,
 IF(COUNTIF(Sayfa2!$D$2:$D$8,"*"&amp;D577&amp;"*")&gt;0, Sayfa2!$D$1,
 IF(COUNTIF(Sayfa2!$E$2:$E$8, "*"&amp;D577&amp;"*")&gt;0, Sayfa2!$E$1, "Bulunamadı")))))</f>
        <v>SALI</v>
      </c>
    </row>
    <row r="578" spans="1:5" hidden="1" x14ac:dyDescent="0.25">
      <c r="A578" t="s">
        <v>2167</v>
      </c>
      <c r="B578" t="s">
        <v>655</v>
      </c>
      <c r="C578" t="s">
        <v>2166</v>
      </c>
      <c r="D578" s="4" t="s">
        <v>3069</v>
      </c>
      <c r="E578" t="str">
        <f>IF(COUNTIF(Sayfa2!$A$2:$A$8,"*"&amp;D578&amp;"*")&gt;0, Sayfa2!$A$1,
 IF(COUNTIF(Sayfa2!$B$2:$B$8, "*"&amp;D578&amp;"*")&gt;0, Sayfa2!$B$1,
 IF(COUNTIF(Sayfa2!$C$2:$C$8, "*"&amp;D578&amp;"*")&gt;0, Sayfa2!$C$1,
 IF(COUNTIF(Sayfa2!$D$2:$D$8,"*"&amp;D578&amp;"*")&gt;0, Sayfa2!$D$1,
 IF(COUNTIF(Sayfa2!$E$2:$E$8, "*"&amp;D578&amp;"*")&gt;0, Sayfa2!$E$1, "Bulunamadı")))))</f>
        <v>SALI</v>
      </c>
    </row>
    <row r="579" spans="1:5" hidden="1" x14ac:dyDescent="0.25">
      <c r="A579" t="s">
        <v>2168</v>
      </c>
      <c r="B579" t="s">
        <v>656</v>
      </c>
      <c r="C579" t="s">
        <v>2166</v>
      </c>
      <c r="D579" s="4" t="s">
        <v>3069</v>
      </c>
      <c r="E579" t="str">
        <f>IF(COUNTIF(Sayfa2!$A$2:$A$8,"*"&amp;D579&amp;"*")&gt;0, Sayfa2!$A$1,
 IF(COUNTIF(Sayfa2!$B$2:$B$8, "*"&amp;D579&amp;"*")&gt;0, Sayfa2!$B$1,
 IF(COUNTIF(Sayfa2!$C$2:$C$8, "*"&amp;D579&amp;"*")&gt;0, Sayfa2!$C$1,
 IF(COUNTIF(Sayfa2!$D$2:$D$8,"*"&amp;D579&amp;"*")&gt;0, Sayfa2!$D$1,
 IF(COUNTIF(Sayfa2!$E$2:$E$8, "*"&amp;D579&amp;"*")&gt;0, Sayfa2!$E$1, "Bulunamadı")))))</f>
        <v>SALI</v>
      </c>
    </row>
    <row r="580" spans="1:5" hidden="1" x14ac:dyDescent="0.25">
      <c r="A580" t="s">
        <v>2169</v>
      </c>
      <c r="B580" t="s">
        <v>657</v>
      </c>
      <c r="C580" t="s">
        <v>2162</v>
      </c>
      <c r="D580" s="4" t="s">
        <v>3067</v>
      </c>
      <c r="E580" t="str">
        <f>IF(COUNTIF(Sayfa2!$A$2:$A$8,"*"&amp;D580&amp;"*")&gt;0, Sayfa2!$A$1,
 IF(COUNTIF(Sayfa2!$B$2:$B$8, "*"&amp;D580&amp;"*")&gt;0, Sayfa2!$B$1,
 IF(COUNTIF(Sayfa2!$C$2:$C$8, "*"&amp;D580&amp;"*")&gt;0, Sayfa2!$C$1,
 IF(COUNTIF(Sayfa2!$D$2:$D$8,"*"&amp;D580&amp;"*")&gt;0, Sayfa2!$D$1,
 IF(COUNTIF(Sayfa2!$E$2:$E$8, "*"&amp;D580&amp;"*")&gt;0, Sayfa2!$E$1, "Bulunamadı")))))</f>
        <v>CUMA</v>
      </c>
    </row>
    <row r="581" spans="1:5" hidden="1" x14ac:dyDescent="0.25">
      <c r="A581" t="s">
        <v>2170</v>
      </c>
      <c r="B581" t="s">
        <v>658</v>
      </c>
      <c r="C581" t="s">
        <v>2171</v>
      </c>
      <c r="D581" s="4" t="s">
        <v>3068</v>
      </c>
      <c r="E581" t="str">
        <f>IF(COUNTIF(Sayfa2!$A$2:$A$8,"*"&amp;D581&amp;"*")&gt;0, Sayfa2!$A$1,
 IF(COUNTIF(Sayfa2!$B$2:$B$8, "*"&amp;D581&amp;"*")&gt;0, Sayfa2!$B$1,
 IF(COUNTIF(Sayfa2!$C$2:$C$8, "*"&amp;D581&amp;"*")&gt;0, Sayfa2!$C$1,
 IF(COUNTIF(Sayfa2!$D$2:$D$8,"*"&amp;D581&amp;"*")&gt;0, Sayfa2!$D$1,
 IF(COUNTIF(Sayfa2!$E$2:$E$8, "*"&amp;D581&amp;"*")&gt;0, Sayfa2!$E$1, "Bulunamadı")))))</f>
        <v>PAZARTESİ</v>
      </c>
    </row>
    <row r="582" spans="1:5" hidden="1" x14ac:dyDescent="0.25">
      <c r="A582" t="s">
        <v>2172</v>
      </c>
      <c r="B582" t="s">
        <v>659</v>
      </c>
      <c r="C582" t="s">
        <v>2173</v>
      </c>
      <c r="D582" s="4" t="s">
        <v>3067</v>
      </c>
      <c r="E582" t="str">
        <f>IF(COUNTIF(Sayfa2!$A$2:$A$8,"*"&amp;D582&amp;"*")&gt;0, Sayfa2!$A$1,
 IF(COUNTIF(Sayfa2!$B$2:$B$8, "*"&amp;D582&amp;"*")&gt;0, Sayfa2!$B$1,
 IF(COUNTIF(Sayfa2!$C$2:$C$8, "*"&amp;D582&amp;"*")&gt;0, Sayfa2!$C$1,
 IF(COUNTIF(Sayfa2!$D$2:$D$8,"*"&amp;D582&amp;"*")&gt;0, Sayfa2!$D$1,
 IF(COUNTIF(Sayfa2!$E$2:$E$8, "*"&amp;D582&amp;"*")&gt;0, Sayfa2!$E$1, "Bulunamadı")))))</f>
        <v>CUMA</v>
      </c>
    </row>
    <row r="583" spans="1:5" hidden="1" x14ac:dyDescent="0.25">
      <c r="A583" t="s">
        <v>2174</v>
      </c>
      <c r="B583" t="s">
        <v>660</v>
      </c>
      <c r="C583" t="s">
        <v>2175</v>
      </c>
      <c r="D583" s="4" t="s">
        <v>3071</v>
      </c>
      <c r="E583" t="str">
        <f>IF(COUNTIF(Sayfa2!$A$2:$A$8,"*"&amp;D583&amp;"*")&gt;0, Sayfa2!$A$1,
 IF(COUNTIF(Sayfa2!$B$2:$B$8, "*"&amp;D583&amp;"*")&gt;0, Sayfa2!$B$1,
 IF(COUNTIF(Sayfa2!$C$2:$C$8, "*"&amp;D583&amp;"*")&gt;0, Sayfa2!$C$1,
 IF(COUNTIF(Sayfa2!$D$2:$D$8,"*"&amp;D583&amp;"*")&gt;0, Sayfa2!$D$1,
 IF(COUNTIF(Sayfa2!$E$2:$E$8, "*"&amp;D583&amp;"*")&gt;0, Sayfa2!$E$1, "Bulunamadı")))))</f>
        <v>PERŞEMBE</v>
      </c>
    </row>
    <row r="584" spans="1:5" hidden="1" x14ac:dyDescent="0.25">
      <c r="A584" t="s">
        <v>2176</v>
      </c>
      <c r="B584" t="s">
        <v>661</v>
      </c>
      <c r="C584" t="s">
        <v>2175</v>
      </c>
      <c r="D584" s="4" t="s">
        <v>3071</v>
      </c>
      <c r="E584" t="str">
        <f>IF(COUNTIF(Sayfa2!$A$2:$A$8,"*"&amp;D584&amp;"*")&gt;0, Sayfa2!$A$1,
 IF(COUNTIF(Sayfa2!$B$2:$B$8, "*"&amp;D584&amp;"*")&gt;0, Sayfa2!$B$1,
 IF(COUNTIF(Sayfa2!$C$2:$C$8, "*"&amp;D584&amp;"*")&gt;0, Sayfa2!$C$1,
 IF(COUNTIF(Sayfa2!$D$2:$D$8,"*"&amp;D584&amp;"*")&gt;0, Sayfa2!$D$1,
 IF(COUNTIF(Sayfa2!$E$2:$E$8, "*"&amp;D584&amp;"*")&gt;0, Sayfa2!$E$1, "Bulunamadı")))))</f>
        <v>PERŞEMBE</v>
      </c>
    </row>
    <row r="585" spans="1:5" hidden="1" x14ac:dyDescent="0.25">
      <c r="A585" t="s">
        <v>2177</v>
      </c>
      <c r="B585" t="s">
        <v>662</v>
      </c>
      <c r="C585" t="s">
        <v>2178</v>
      </c>
      <c r="D585" s="4" t="s">
        <v>3068</v>
      </c>
      <c r="E585" t="str">
        <f>IF(COUNTIF(Sayfa2!$A$2:$A$8,"*"&amp;D585&amp;"*")&gt;0, Sayfa2!$A$1,
 IF(COUNTIF(Sayfa2!$B$2:$B$8, "*"&amp;D585&amp;"*")&gt;0, Sayfa2!$B$1,
 IF(COUNTIF(Sayfa2!$C$2:$C$8, "*"&amp;D585&amp;"*")&gt;0, Sayfa2!$C$1,
 IF(COUNTIF(Sayfa2!$D$2:$D$8,"*"&amp;D585&amp;"*")&gt;0, Sayfa2!$D$1,
 IF(COUNTIF(Sayfa2!$E$2:$E$8, "*"&amp;D585&amp;"*")&gt;0, Sayfa2!$E$1, "Bulunamadı")))))</f>
        <v>PAZARTESİ</v>
      </c>
    </row>
    <row r="586" spans="1:5" hidden="1" x14ac:dyDescent="0.25">
      <c r="A586" t="s">
        <v>2179</v>
      </c>
      <c r="B586" t="s">
        <v>663</v>
      </c>
      <c r="C586" t="s">
        <v>2178</v>
      </c>
      <c r="D586" s="4" t="s">
        <v>3068</v>
      </c>
      <c r="E586" t="str">
        <f>IF(COUNTIF(Sayfa2!$A$2:$A$8,"*"&amp;D586&amp;"*")&gt;0, Sayfa2!$A$1,
 IF(COUNTIF(Sayfa2!$B$2:$B$8, "*"&amp;D586&amp;"*")&gt;0, Sayfa2!$B$1,
 IF(COUNTIF(Sayfa2!$C$2:$C$8, "*"&amp;D586&amp;"*")&gt;0, Sayfa2!$C$1,
 IF(COUNTIF(Sayfa2!$D$2:$D$8,"*"&amp;D586&amp;"*")&gt;0, Sayfa2!$D$1,
 IF(COUNTIF(Sayfa2!$E$2:$E$8, "*"&amp;D586&amp;"*")&gt;0, Sayfa2!$E$1, "Bulunamadı")))))</f>
        <v>PAZARTESİ</v>
      </c>
    </row>
    <row r="587" spans="1:5" hidden="1" x14ac:dyDescent="0.25">
      <c r="A587" t="s">
        <v>2180</v>
      </c>
      <c r="B587" t="s">
        <v>664</v>
      </c>
      <c r="C587" t="s">
        <v>2173</v>
      </c>
      <c r="D587" s="4" t="s">
        <v>3067</v>
      </c>
      <c r="E587" t="str">
        <f>IF(COUNTIF(Sayfa2!$A$2:$A$8,"*"&amp;D587&amp;"*")&gt;0, Sayfa2!$A$1,
 IF(COUNTIF(Sayfa2!$B$2:$B$8, "*"&amp;D587&amp;"*")&gt;0, Sayfa2!$B$1,
 IF(COUNTIF(Sayfa2!$C$2:$C$8, "*"&amp;D587&amp;"*")&gt;0, Sayfa2!$C$1,
 IF(COUNTIF(Sayfa2!$D$2:$D$8,"*"&amp;D587&amp;"*")&gt;0, Sayfa2!$D$1,
 IF(COUNTIF(Sayfa2!$E$2:$E$8, "*"&amp;D587&amp;"*")&gt;0, Sayfa2!$E$1, "Bulunamadı")))))</f>
        <v>CUMA</v>
      </c>
    </row>
    <row r="588" spans="1:5" hidden="1" x14ac:dyDescent="0.25">
      <c r="A588" t="s">
        <v>2181</v>
      </c>
      <c r="B588" t="s">
        <v>665</v>
      </c>
      <c r="C588" t="s">
        <v>2182</v>
      </c>
      <c r="D588" s="4" t="s">
        <v>3070</v>
      </c>
      <c r="E588" t="str">
        <f>IF(COUNTIF(Sayfa2!$A$2:$A$8,"*"&amp;D588&amp;"*")&gt;0, Sayfa2!$A$1,
 IF(COUNTIF(Sayfa2!$B$2:$B$8, "*"&amp;D588&amp;"*")&gt;0, Sayfa2!$B$1,
 IF(COUNTIF(Sayfa2!$C$2:$C$8, "*"&amp;D588&amp;"*")&gt;0, Sayfa2!$C$1,
 IF(COUNTIF(Sayfa2!$D$2:$D$8,"*"&amp;D588&amp;"*")&gt;0, Sayfa2!$D$1,
 IF(COUNTIF(Sayfa2!$E$2:$E$8, "*"&amp;D588&amp;"*")&gt;0, Sayfa2!$E$1, "Bulunamadı")))))</f>
        <v>ÇARŞAMBA</v>
      </c>
    </row>
    <row r="589" spans="1:5" hidden="1" x14ac:dyDescent="0.25">
      <c r="A589" t="s">
        <v>2183</v>
      </c>
      <c r="B589" t="s">
        <v>666</v>
      </c>
      <c r="C589" t="s">
        <v>2182</v>
      </c>
      <c r="D589" s="4" t="s">
        <v>3070</v>
      </c>
      <c r="E589" t="str">
        <f>IF(COUNTIF(Sayfa2!$A$2:$A$8,"*"&amp;D589&amp;"*")&gt;0, Sayfa2!$A$1,
 IF(COUNTIF(Sayfa2!$B$2:$B$8, "*"&amp;D589&amp;"*")&gt;0, Sayfa2!$B$1,
 IF(COUNTIF(Sayfa2!$C$2:$C$8, "*"&amp;D589&amp;"*")&gt;0, Sayfa2!$C$1,
 IF(COUNTIF(Sayfa2!$D$2:$D$8,"*"&amp;D589&amp;"*")&gt;0, Sayfa2!$D$1,
 IF(COUNTIF(Sayfa2!$E$2:$E$8, "*"&amp;D589&amp;"*")&gt;0, Sayfa2!$E$1, "Bulunamadı")))))</f>
        <v>ÇARŞAMBA</v>
      </c>
    </row>
    <row r="590" spans="1:5" hidden="1" x14ac:dyDescent="0.25">
      <c r="A590" t="s">
        <v>2184</v>
      </c>
      <c r="B590" t="s">
        <v>667</v>
      </c>
      <c r="C590" t="s">
        <v>2173</v>
      </c>
      <c r="D590" s="4" t="s">
        <v>3067</v>
      </c>
      <c r="E590" t="str">
        <f>IF(COUNTIF(Sayfa2!$A$2:$A$8,"*"&amp;D590&amp;"*")&gt;0, Sayfa2!$A$1,
 IF(COUNTIF(Sayfa2!$B$2:$B$8, "*"&amp;D590&amp;"*")&gt;0, Sayfa2!$B$1,
 IF(COUNTIF(Sayfa2!$C$2:$C$8, "*"&amp;D590&amp;"*")&gt;0, Sayfa2!$C$1,
 IF(COUNTIF(Sayfa2!$D$2:$D$8,"*"&amp;D590&amp;"*")&gt;0, Sayfa2!$D$1,
 IF(COUNTIF(Sayfa2!$E$2:$E$8, "*"&amp;D590&amp;"*")&gt;0, Sayfa2!$E$1, "Bulunamadı")))))</f>
        <v>CUMA</v>
      </c>
    </row>
    <row r="591" spans="1:5" hidden="1" x14ac:dyDescent="0.25">
      <c r="A591" t="s">
        <v>2185</v>
      </c>
      <c r="B591" t="s">
        <v>668</v>
      </c>
      <c r="C591" t="s">
        <v>2178</v>
      </c>
      <c r="D591" s="4" t="s">
        <v>3068</v>
      </c>
      <c r="E591" t="str">
        <f>IF(COUNTIF(Sayfa2!$A$2:$A$8,"*"&amp;D591&amp;"*")&gt;0, Sayfa2!$A$1,
 IF(COUNTIF(Sayfa2!$B$2:$B$8, "*"&amp;D591&amp;"*")&gt;0, Sayfa2!$B$1,
 IF(COUNTIF(Sayfa2!$C$2:$C$8, "*"&amp;D591&amp;"*")&gt;0, Sayfa2!$C$1,
 IF(COUNTIF(Sayfa2!$D$2:$D$8,"*"&amp;D591&amp;"*")&gt;0, Sayfa2!$D$1,
 IF(COUNTIF(Sayfa2!$E$2:$E$8, "*"&amp;D591&amp;"*")&gt;0, Sayfa2!$E$1, "Bulunamadı")))))</f>
        <v>PAZARTESİ</v>
      </c>
    </row>
    <row r="592" spans="1:5" hidden="1" x14ac:dyDescent="0.25">
      <c r="A592" t="s">
        <v>2186</v>
      </c>
      <c r="B592" t="s">
        <v>669</v>
      </c>
      <c r="C592" t="s">
        <v>2175</v>
      </c>
      <c r="D592" s="4" t="s">
        <v>3071</v>
      </c>
      <c r="E592" t="str">
        <f>IF(COUNTIF(Sayfa2!$A$2:$A$8,"*"&amp;D592&amp;"*")&gt;0, Sayfa2!$A$1,
 IF(COUNTIF(Sayfa2!$B$2:$B$8, "*"&amp;D592&amp;"*")&gt;0, Sayfa2!$B$1,
 IF(COUNTIF(Sayfa2!$C$2:$C$8, "*"&amp;D592&amp;"*")&gt;0, Sayfa2!$C$1,
 IF(COUNTIF(Sayfa2!$D$2:$D$8,"*"&amp;D592&amp;"*")&gt;0, Sayfa2!$D$1,
 IF(COUNTIF(Sayfa2!$E$2:$E$8, "*"&amp;D592&amp;"*")&gt;0, Sayfa2!$E$1, "Bulunamadı")))))</f>
        <v>PERŞEMBE</v>
      </c>
    </row>
    <row r="593" spans="1:5" hidden="1" x14ac:dyDescent="0.25">
      <c r="A593" t="s">
        <v>2187</v>
      </c>
      <c r="B593" t="s">
        <v>670</v>
      </c>
      <c r="C593" t="s">
        <v>2182</v>
      </c>
      <c r="D593" s="4" t="s">
        <v>3070</v>
      </c>
      <c r="E593" t="str">
        <f>IF(COUNTIF(Sayfa2!$A$2:$A$8,"*"&amp;D593&amp;"*")&gt;0, Sayfa2!$A$1,
 IF(COUNTIF(Sayfa2!$B$2:$B$8, "*"&amp;D593&amp;"*")&gt;0, Sayfa2!$B$1,
 IF(COUNTIF(Sayfa2!$C$2:$C$8, "*"&amp;D593&amp;"*")&gt;0, Sayfa2!$C$1,
 IF(COUNTIF(Sayfa2!$D$2:$D$8,"*"&amp;D593&amp;"*")&gt;0, Sayfa2!$D$1,
 IF(COUNTIF(Sayfa2!$E$2:$E$8, "*"&amp;D593&amp;"*")&gt;0, Sayfa2!$E$1, "Bulunamadı")))))</f>
        <v>ÇARŞAMBA</v>
      </c>
    </row>
    <row r="594" spans="1:5" hidden="1" x14ac:dyDescent="0.25">
      <c r="A594" t="s">
        <v>2188</v>
      </c>
      <c r="B594" t="s">
        <v>671</v>
      </c>
      <c r="C594" t="s">
        <v>2178</v>
      </c>
      <c r="D594" s="4" t="s">
        <v>3068</v>
      </c>
      <c r="E594" t="str">
        <f>IF(COUNTIF(Sayfa2!$A$2:$A$8,"*"&amp;D594&amp;"*")&gt;0, Sayfa2!$A$1,
 IF(COUNTIF(Sayfa2!$B$2:$B$8, "*"&amp;D594&amp;"*")&gt;0, Sayfa2!$B$1,
 IF(COUNTIF(Sayfa2!$C$2:$C$8, "*"&amp;D594&amp;"*")&gt;0, Sayfa2!$C$1,
 IF(COUNTIF(Sayfa2!$D$2:$D$8,"*"&amp;D594&amp;"*")&gt;0, Sayfa2!$D$1,
 IF(COUNTIF(Sayfa2!$E$2:$E$8, "*"&amp;D594&amp;"*")&gt;0, Sayfa2!$E$1, "Bulunamadı")))))</f>
        <v>PAZARTESİ</v>
      </c>
    </row>
    <row r="595" spans="1:5" hidden="1" x14ac:dyDescent="0.25">
      <c r="A595" t="s">
        <v>2189</v>
      </c>
      <c r="B595" t="s">
        <v>672</v>
      </c>
      <c r="C595" t="s">
        <v>2190</v>
      </c>
      <c r="D595" s="4" t="s">
        <v>3069</v>
      </c>
      <c r="E595" t="str">
        <f>IF(COUNTIF(Sayfa2!$A$2:$A$8,"*"&amp;D595&amp;"*")&gt;0, Sayfa2!$A$1,
 IF(COUNTIF(Sayfa2!$B$2:$B$8, "*"&amp;D595&amp;"*")&gt;0, Sayfa2!$B$1,
 IF(COUNTIF(Sayfa2!$C$2:$C$8, "*"&amp;D595&amp;"*")&gt;0, Sayfa2!$C$1,
 IF(COUNTIF(Sayfa2!$D$2:$D$8,"*"&amp;D595&amp;"*")&gt;0, Sayfa2!$D$1,
 IF(COUNTIF(Sayfa2!$E$2:$E$8, "*"&amp;D595&amp;"*")&gt;0, Sayfa2!$E$1, "Bulunamadı")))))</f>
        <v>SALI</v>
      </c>
    </row>
    <row r="596" spans="1:5" hidden="1" x14ac:dyDescent="0.25">
      <c r="A596" t="s">
        <v>2191</v>
      </c>
      <c r="B596" t="s">
        <v>673</v>
      </c>
      <c r="C596" t="s">
        <v>2175</v>
      </c>
      <c r="D596" s="4" t="s">
        <v>3071</v>
      </c>
      <c r="E596" t="str">
        <f>IF(COUNTIF(Sayfa2!$A$2:$A$8,"*"&amp;D596&amp;"*")&gt;0, Sayfa2!$A$1,
 IF(COUNTIF(Sayfa2!$B$2:$B$8, "*"&amp;D596&amp;"*")&gt;0, Sayfa2!$B$1,
 IF(COUNTIF(Sayfa2!$C$2:$C$8, "*"&amp;D596&amp;"*")&gt;0, Sayfa2!$C$1,
 IF(COUNTIF(Sayfa2!$D$2:$D$8,"*"&amp;D596&amp;"*")&gt;0, Sayfa2!$D$1,
 IF(COUNTIF(Sayfa2!$E$2:$E$8, "*"&amp;D596&amp;"*")&gt;0, Sayfa2!$E$1, "Bulunamadı")))))</f>
        <v>PERŞEMBE</v>
      </c>
    </row>
    <row r="597" spans="1:5" hidden="1" x14ac:dyDescent="0.25">
      <c r="A597" t="s">
        <v>2192</v>
      </c>
      <c r="B597" t="s">
        <v>674</v>
      </c>
      <c r="C597" t="s">
        <v>2178</v>
      </c>
      <c r="D597" s="4" t="s">
        <v>3068</v>
      </c>
      <c r="E597" t="str">
        <f>IF(COUNTIF(Sayfa2!$A$2:$A$8,"*"&amp;D597&amp;"*")&gt;0, Sayfa2!$A$1,
 IF(COUNTIF(Sayfa2!$B$2:$B$8, "*"&amp;D597&amp;"*")&gt;0, Sayfa2!$B$1,
 IF(COUNTIF(Sayfa2!$C$2:$C$8, "*"&amp;D597&amp;"*")&gt;0, Sayfa2!$C$1,
 IF(COUNTIF(Sayfa2!$D$2:$D$8,"*"&amp;D597&amp;"*")&gt;0, Sayfa2!$D$1,
 IF(COUNTIF(Sayfa2!$E$2:$E$8, "*"&amp;D597&amp;"*")&gt;0, Sayfa2!$E$1, "Bulunamadı")))))</f>
        <v>PAZARTESİ</v>
      </c>
    </row>
    <row r="598" spans="1:5" hidden="1" x14ac:dyDescent="0.25">
      <c r="A598" t="s">
        <v>2193</v>
      </c>
      <c r="B598" t="s">
        <v>675</v>
      </c>
      <c r="C598" t="s">
        <v>2175</v>
      </c>
      <c r="D598" s="4" t="s">
        <v>3071</v>
      </c>
      <c r="E598" t="str">
        <f>IF(COUNTIF(Sayfa2!$A$2:$A$8,"*"&amp;D598&amp;"*")&gt;0, Sayfa2!$A$1,
 IF(COUNTIF(Sayfa2!$B$2:$B$8, "*"&amp;D598&amp;"*")&gt;0, Sayfa2!$B$1,
 IF(COUNTIF(Sayfa2!$C$2:$C$8, "*"&amp;D598&amp;"*")&gt;0, Sayfa2!$C$1,
 IF(COUNTIF(Sayfa2!$D$2:$D$8,"*"&amp;D598&amp;"*")&gt;0, Sayfa2!$D$1,
 IF(COUNTIF(Sayfa2!$E$2:$E$8, "*"&amp;D598&amp;"*")&gt;0, Sayfa2!$E$1, "Bulunamadı")))))</f>
        <v>PERŞEMBE</v>
      </c>
    </row>
    <row r="599" spans="1:5" hidden="1" x14ac:dyDescent="0.25">
      <c r="A599" t="s">
        <v>2194</v>
      </c>
      <c r="B599" t="s">
        <v>676</v>
      </c>
      <c r="C599" t="s">
        <v>2182</v>
      </c>
      <c r="D599" s="4" t="s">
        <v>3070</v>
      </c>
      <c r="E599" t="str">
        <f>IF(COUNTIF(Sayfa2!$A$2:$A$8,"*"&amp;D599&amp;"*")&gt;0, Sayfa2!$A$1,
 IF(COUNTIF(Sayfa2!$B$2:$B$8, "*"&amp;D599&amp;"*")&gt;0, Sayfa2!$B$1,
 IF(COUNTIF(Sayfa2!$C$2:$C$8, "*"&amp;D599&amp;"*")&gt;0, Sayfa2!$C$1,
 IF(COUNTIF(Sayfa2!$D$2:$D$8,"*"&amp;D599&amp;"*")&gt;0, Sayfa2!$D$1,
 IF(COUNTIF(Sayfa2!$E$2:$E$8, "*"&amp;D599&amp;"*")&gt;0, Sayfa2!$E$1, "Bulunamadı")))))</f>
        <v>ÇARŞAMBA</v>
      </c>
    </row>
    <row r="600" spans="1:5" hidden="1" x14ac:dyDescent="0.25">
      <c r="A600" t="s">
        <v>2195</v>
      </c>
      <c r="B600" t="s">
        <v>677</v>
      </c>
      <c r="C600" t="s">
        <v>2190</v>
      </c>
      <c r="D600" s="4" t="s">
        <v>3069</v>
      </c>
      <c r="E600" t="str">
        <f>IF(COUNTIF(Sayfa2!$A$2:$A$8,"*"&amp;D600&amp;"*")&gt;0, Sayfa2!$A$1,
 IF(COUNTIF(Sayfa2!$B$2:$B$8, "*"&amp;D600&amp;"*")&gt;0, Sayfa2!$B$1,
 IF(COUNTIF(Sayfa2!$C$2:$C$8, "*"&amp;D600&amp;"*")&gt;0, Sayfa2!$C$1,
 IF(COUNTIF(Sayfa2!$D$2:$D$8,"*"&amp;D600&amp;"*")&gt;0, Sayfa2!$D$1,
 IF(COUNTIF(Sayfa2!$E$2:$E$8, "*"&amp;D600&amp;"*")&gt;0, Sayfa2!$E$1, "Bulunamadı")))))</f>
        <v>SALI</v>
      </c>
    </row>
    <row r="601" spans="1:5" hidden="1" x14ac:dyDescent="0.25">
      <c r="A601" t="s">
        <v>2196</v>
      </c>
      <c r="B601" t="s">
        <v>678</v>
      </c>
      <c r="C601" t="s">
        <v>2190</v>
      </c>
      <c r="D601" s="4" t="s">
        <v>3069</v>
      </c>
      <c r="E601" t="str">
        <f>IF(COUNTIF(Sayfa2!$A$2:$A$8,"*"&amp;D601&amp;"*")&gt;0, Sayfa2!$A$1,
 IF(COUNTIF(Sayfa2!$B$2:$B$8, "*"&amp;D601&amp;"*")&gt;0, Sayfa2!$B$1,
 IF(COUNTIF(Sayfa2!$C$2:$C$8, "*"&amp;D601&amp;"*")&gt;0, Sayfa2!$C$1,
 IF(COUNTIF(Sayfa2!$D$2:$D$8,"*"&amp;D601&amp;"*")&gt;0, Sayfa2!$D$1,
 IF(COUNTIF(Sayfa2!$E$2:$E$8, "*"&amp;D601&amp;"*")&gt;0, Sayfa2!$E$1, "Bulunamadı")))))</f>
        <v>SALI</v>
      </c>
    </row>
    <row r="602" spans="1:5" hidden="1" x14ac:dyDescent="0.25">
      <c r="A602" t="s">
        <v>2197</v>
      </c>
      <c r="B602" t="s">
        <v>679</v>
      </c>
      <c r="C602" t="s">
        <v>2182</v>
      </c>
      <c r="D602" s="4" t="s">
        <v>3070</v>
      </c>
      <c r="E602" t="str">
        <f>IF(COUNTIF(Sayfa2!$A$2:$A$8,"*"&amp;D602&amp;"*")&gt;0, Sayfa2!$A$1,
 IF(COUNTIF(Sayfa2!$B$2:$B$8, "*"&amp;D602&amp;"*")&gt;0, Sayfa2!$B$1,
 IF(COUNTIF(Sayfa2!$C$2:$C$8, "*"&amp;D602&amp;"*")&gt;0, Sayfa2!$C$1,
 IF(COUNTIF(Sayfa2!$D$2:$D$8,"*"&amp;D602&amp;"*")&gt;0, Sayfa2!$D$1,
 IF(COUNTIF(Sayfa2!$E$2:$E$8, "*"&amp;D602&amp;"*")&gt;0, Sayfa2!$E$1, "Bulunamadı")))))</f>
        <v>ÇARŞAMBA</v>
      </c>
    </row>
    <row r="603" spans="1:5" hidden="1" x14ac:dyDescent="0.25">
      <c r="A603" t="s">
        <v>2198</v>
      </c>
      <c r="B603" t="s">
        <v>680</v>
      </c>
      <c r="C603" t="s">
        <v>2182</v>
      </c>
      <c r="D603" s="4" t="s">
        <v>3070</v>
      </c>
      <c r="E603" t="str">
        <f>IF(COUNTIF(Sayfa2!$A$2:$A$8,"*"&amp;D603&amp;"*")&gt;0, Sayfa2!$A$1,
 IF(COUNTIF(Sayfa2!$B$2:$B$8, "*"&amp;D603&amp;"*")&gt;0, Sayfa2!$B$1,
 IF(COUNTIF(Sayfa2!$C$2:$C$8, "*"&amp;D603&amp;"*")&gt;0, Sayfa2!$C$1,
 IF(COUNTIF(Sayfa2!$D$2:$D$8,"*"&amp;D603&amp;"*")&gt;0, Sayfa2!$D$1,
 IF(COUNTIF(Sayfa2!$E$2:$E$8, "*"&amp;D603&amp;"*")&gt;0, Sayfa2!$E$1, "Bulunamadı")))))</f>
        <v>ÇARŞAMBA</v>
      </c>
    </row>
    <row r="604" spans="1:5" hidden="1" x14ac:dyDescent="0.25">
      <c r="A604" t="s">
        <v>2199</v>
      </c>
      <c r="B604" t="s">
        <v>681</v>
      </c>
      <c r="C604" t="s">
        <v>2182</v>
      </c>
      <c r="D604" s="4" t="s">
        <v>3070</v>
      </c>
      <c r="E604" t="str">
        <f>IF(COUNTIF(Sayfa2!$A$2:$A$8,"*"&amp;D604&amp;"*")&gt;0, Sayfa2!$A$1,
 IF(COUNTIF(Sayfa2!$B$2:$B$8, "*"&amp;D604&amp;"*")&gt;0, Sayfa2!$B$1,
 IF(COUNTIF(Sayfa2!$C$2:$C$8, "*"&amp;D604&amp;"*")&gt;0, Sayfa2!$C$1,
 IF(COUNTIF(Sayfa2!$D$2:$D$8,"*"&amp;D604&amp;"*")&gt;0, Sayfa2!$D$1,
 IF(COUNTIF(Sayfa2!$E$2:$E$8, "*"&amp;D604&amp;"*")&gt;0, Sayfa2!$E$1, "Bulunamadı")))))</f>
        <v>ÇARŞAMBA</v>
      </c>
    </row>
    <row r="605" spans="1:5" hidden="1" x14ac:dyDescent="0.25">
      <c r="A605" t="s">
        <v>2200</v>
      </c>
      <c r="B605" t="s">
        <v>682</v>
      </c>
      <c r="C605" t="s">
        <v>2178</v>
      </c>
      <c r="D605" s="4" t="s">
        <v>3068</v>
      </c>
      <c r="E605" t="str">
        <f>IF(COUNTIF(Sayfa2!$A$2:$A$8,"*"&amp;D605&amp;"*")&gt;0, Sayfa2!$A$1,
 IF(COUNTIF(Sayfa2!$B$2:$B$8, "*"&amp;D605&amp;"*")&gt;0, Sayfa2!$B$1,
 IF(COUNTIF(Sayfa2!$C$2:$C$8, "*"&amp;D605&amp;"*")&gt;0, Sayfa2!$C$1,
 IF(COUNTIF(Sayfa2!$D$2:$D$8,"*"&amp;D605&amp;"*")&gt;0, Sayfa2!$D$1,
 IF(COUNTIF(Sayfa2!$E$2:$E$8, "*"&amp;D605&amp;"*")&gt;0, Sayfa2!$E$1, "Bulunamadı")))))</f>
        <v>PAZARTESİ</v>
      </c>
    </row>
    <row r="606" spans="1:5" hidden="1" x14ac:dyDescent="0.25">
      <c r="A606" t="s">
        <v>2201</v>
      </c>
      <c r="B606" t="s">
        <v>683</v>
      </c>
      <c r="C606" t="s">
        <v>2190</v>
      </c>
      <c r="D606" s="4" t="s">
        <v>3069</v>
      </c>
      <c r="E606" t="str">
        <f>IF(COUNTIF(Sayfa2!$A$2:$A$8,"*"&amp;D606&amp;"*")&gt;0, Sayfa2!$A$1,
 IF(COUNTIF(Sayfa2!$B$2:$B$8, "*"&amp;D606&amp;"*")&gt;0, Sayfa2!$B$1,
 IF(COUNTIF(Sayfa2!$C$2:$C$8, "*"&amp;D606&amp;"*")&gt;0, Sayfa2!$C$1,
 IF(COUNTIF(Sayfa2!$D$2:$D$8,"*"&amp;D606&amp;"*")&gt;0, Sayfa2!$D$1,
 IF(COUNTIF(Sayfa2!$E$2:$E$8, "*"&amp;D606&amp;"*")&gt;0, Sayfa2!$E$1, "Bulunamadı")))))</f>
        <v>SALI</v>
      </c>
    </row>
    <row r="607" spans="1:5" hidden="1" x14ac:dyDescent="0.25">
      <c r="A607" t="s">
        <v>2202</v>
      </c>
      <c r="B607" t="s">
        <v>684</v>
      </c>
      <c r="C607" t="s">
        <v>2173</v>
      </c>
      <c r="D607" s="4" t="s">
        <v>3067</v>
      </c>
      <c r="E607" t="str">
        <f>IF(COUNTIF(Sayfa2!$A$2:$A$8,"*"&amp;D607&amp;"*")&gt;0, Sayfa2!$A$1,
 IF(COUNTIF(Sayfa2!$B$2:$B$8, "*"&amp;D607&amp;"*")&gt;0, Sayfa2!$B$1,
 IF(COUNTIF(Sayfa2!$C$2:$C$8, "*"&amp;D607&amp;"*")&gt;0, Sayfa2!$C$1,
 IF(COUNTIF(Sayfa2!$D$2:$D$8,"*"&amp;D607&amp;"*")&gt;0, Sayfa2!$D$1,
 IF(COUNTIF(Sayfa2!$E$2:$E$8, "*"&amp;D607&amp;"*")&gt;0, Sayfa2!$E$1, "Bulunamadı")))))</f>
        <v>CUMA</v>
      </c>
    </row>
    <row r="608" spans="1:5" hidden="1" x14ac:dyDescent="0.25">
      <c r="A608" t="s">
        <v>2203</v>
      </c>
      <c r="B608" t="s">
        <v>685</v>
      </c>
      <c r="C608" t="s">
        <v>2173</v>
      </c>
      <c r="D608" s="4" t="s">
        <v>3067</v>
      </c>
      <c r="E608" t="str">
        <f>IF(COUNTIF(Sayfa2!$A$2:$A$8,"*"&amp;D608&amp;"*")&gt;0, Sayfa2!$A$1,
 IF(COUNTIF(Sayfa2!$B$2:$B$8, "*"&amp;D608&amp;"*")&gt;0, Sayfa2!$B$1,
 IF(COUNTIF(Sayfa2!$C$2:$C$8, "*"&amp;D608&amp;"*")&gt;0, Sayfa2!$C$1,
 IF(COUNTIF(Sayfa2!$D$2:$D$8,"*"&amp;D608&amp;"*")&gt;0, Sayfa2!$D$1,
 IF(COUNTIF(Sayfa2!$E$2:$E$8, "*"&amp;D608&amp;"*")&gt;0, Sayfa2!$E$1, "Bulunamadı")))))</f>
        <v>CUMA</v>
      </c>
    </row>
    <row r="609" spans="1:5" hidden="1" x14ac:dyDescent="0.25">
      <c r="A609" t="s">
        <v>2204</v>
      </c>
      <c r="B609" t="s">
        <v>686</v>
      </c>
      <c r="C609" t="s">
        <v>2178</v>
      </c>
      <c r="D609" s="4" t="s">
        <v>3068</v>
      </c>
      <c r="E609" t="str">
        <f>IF(COUNTIF(Sayfa2!$A$2:$A$8,"*"&amp;D609&amp;"*")&gt;0, Sayfa2!$A$1,
 IF(COUNTIF(Sayfa2!$B$2:$B$8, "*"&amp;D609&amp;"*")&gt;0, Sayfa2!$B$1,
 IF(COUNTIF(Sayfa2!$C$2:$C$8, "*"&amp;D609&amp;"*")&gt;0, Sayfa2!$C$1,
 IF(COUNTIF(Sayfa2!$D$2:$D$8,"*"&amp;D609&amp;"*")&gt;0, Sayfa2!$D$1,
 IF(COUNTIF(Sayfa2!$E$2:$E$8, "*"&amp;D609&amp;"*")&gt;0, Sayfa2!$E$1, "Bulunamadı")))))</f>
        <v>PAZARTESİ</v>
      </c>
    </row>
    <row r="610" spans="1:5" hidden="1" x14ac:dyDescent="0.25">
      <c r="A610" t="s">
        <v>2205</v>
      </c>
      <c r="B610" t="s">
        <v>687</v>
      </c>
      <c r="C610" t="s">
        <v>2178</v>
      </c>
      <c r="D610" s="4" t="s">
        <v>3068</v>
      </c>
      <c r="E610" t="str">
        <f>IF(COUNTIF(Sayfa2!$A$2:$A$8,"*"&amp;D610&amp;"*")&gt;0, Sayfa2!$A$1,
 IF(COUNTIF(Sayfa2!$B$2:$B$8, "*"&amp;D610&amp;"*")&gt;0, Sayfa2!$B$1,
 IF(COUNTIF(Sayfa2!$C$2:$C$8, "*"&amp;D610&amp;"*")&gt;0, Sayfa2!$C$1,
 IF(COUNTIF(Sayfa2!$D$2:$D$8,"*"&amp;D610&amp;"*")&gt;0, Sayfa2!$D$1,
 IF(COUNTIF(Sayfa2!$E$2:$E$8, "*"&amp;D610&amp;"*")&gt;0, Sayfa2!$E$1, "Bulunamadı")))))</f>
        <v>PAZARTESİ</v>
      </c>
    </row>
    <row r="611" spans="1:5" hidden="1" x14ac:dyDescent="0.25">
      <c r="A611" t="s">
        <v>2206</v>
      </c>
      <c r="B611" t="s">
        <v>688</v>
      </c>
      <c r="C611" t="s">
        <v>2178</v>
      </c>
      <c r="D611" s="4" t="s">
        <v>3068</v>
      </c>
      <c r="E611" t="str">
        <f>IF(COUNTIF(Sayfa2!$A$2:$A$8,"*"&amp;D611&amp;"*")&gt;0, Sayfa2!$A$1,
 IF(COUNTIF(Sayfa2!$B$2:$B$8, "*"&amp;D611&amp;"*")&gt;0, Sayfa2!$B$1,
 IF(COUNTIF(Sayfa2!$C$2:$C$8, "*"&amp;D611&amp;"*")&gt;0, Sayfa2!$C$1,
 IF(COUNTIF(Sayfa2!$D$2:$D$8,"*"&amp;D611&amp;"*")&gt;0, Sayfa2!$D$1,
 IF(COUNTIF(Sayfa2!$E$2:$E$8, "*"&amp;D611&amp;"*")&gt;0, Sayfa2!$E$1, "Bulunamadı")))))</f>
        <v>PAZARTESİ</v>
      </c>
    </row>
    <row r="612" spans="1:5" hidden="1" x14ac:dyDescent="0.25">
      <c r="A612" t="s">
        <v>2207</v>
      </c>
      <c r="B612" t="s">
        <v>689</v>
      </c>
      <c r="C612" t="s">
        <v>2173</v>
      </c>
      <c r="D612" s="4" t="s">
        <v>3067</v>
      </c>
      <c r="E612" t="str">
        <f>IF(COUNTIF(Sayfa2!$A$2:$A$8,"*"&amp;D612&amp;"*")&gt;0, Sayfa2!$A$1,
 IF(COUNTIF(Sayfa2!$B$2:$B$8, "*"&amp;D612&amp;"*")&gt;0, Sayfa2!$B$1,
 IF(COUNTIF(Sayfa2!$C$2:$C$8, "*"&amp;D612&amp;"*")&gt;0, Sayfa2!$C$1,
 IF(COUNTIF(Sayfa2!$D$2:$D$8,"*"&amp;D612&amp;"*")&gt;0, Sayfa2!$D$1,
 IF(COUNTIF(Sayfa2!$E$2:$E$8, "*"&amp;D612&amp;"*")&gt;0, Sayfa2!$E$1, "Bulunamadı")))))</f>
        <v>CUMA</v>
      </c>
    </row>
    <row r="613" spans="1:5" hidden="1" x14ac:dyDescent="0.25">
      <c r="A613" t="s">
        <v>2208</v>
      </c>
      <c r="B613" t="s">
        <v>690</v>
      </c>
      <c r="C613" t="s">
        <v>2173</v>
      </c>
      <c r="D613" s="4" t="s">
        <v>3067</v>
      </c>
      <c r="E613" t="str">
        <f>IF(COUNTIF(Sayfa2!$A$2:$A$8,"*"&amp;D613&amp;"*")&gt;0, Sayfa2!$A$1,
 IF(COUNTIF(Sayfa2!$B$2:$B$8, "*"&amp;D613&amp;"*")&gt;0, Sayfa2!$B$1,
 IF(COUNTIF(Sayfa2!$C$2:$C$8, "*"&amp;D613&amp;"*")&gt;0, Sayfa2!$C$1,
 IF(COUNTIF(Sayfa2!$D$2:$D$8,"*"&amp;D613&amp;"*")&gt;0, Sayfa2!$D$1,
 IF(COUNTIF(Sayfa2!$E$2:$E$8, "*"&amp;D613&amp;"*")&gt;0, Sayfa2!$E$1, "Bulunamadı")))))</f>
        <v>CUMA</v>
      </c>
    </row>
    <row r="614" spans="1:5" hidden="1" x14ac:dyDescent="0.25">
      <c r="A614" t="s">
        <v>2209</v>
      </c>
      <c r="B614" t="s">
        <v>691</v>
      </c>
      <c r="C614" t="s">
        <v>2190</v>
      </c>
      <c r="D614" s="4" t="s">
        <v>3069</v>
      </c>
      <c r="E614" t="str">
        <f>IF(COUNTIF(Sayfa2!$A$2:$A$8,"*"&amp;D614&amp;"*")&gt;0, Sayfa2!$A$1,
 IF(COUNTIF(Sayfa2!$B$2:$B$8, "*"&amp;D614&amp;"*")&gt;0, Sayfa2!$B$1,
 IF(COUNTIF(Sayfa2!$C$2:$C$8, "*"&amp;D614&amp;"*")&gt;0, Sayfa2!$C$1,
 IF(COUNTIF(Sayfa2!$D$2:$D$8,"*"&amp;D614&amp;"*")&gt;0, Sayfa2!$D$1,
 IF(COUNTIF(Sayfa2!$E$2:$E$8, "*"&amp;D614&amp;"*")&gt;0, Sayfa2!$E$1, "Bulunamadı")))))</f>
        <v>SALI</v>
      </c>
    </row>
    <row r="615" spans="1:5" hidden="1" x14ac:dyDescent="0.25">
      <c r="A615" t="s">
        <v>2210</v>
      </c>
      <c r="B615" t="s">
        <v>692</v>
      </c>
      <c r="C615" t="s">
        <v>2182</v>
      </c>
      <c r="D615" s="4" t="s">
        <v>3070</v>
      </c>
      <c r="E615" t="str">
        <f>IF(COUNTIF(Sayfa2!$A$2:$A$8,"*"&amp;D615&amp;"*")&gt;0, Sayfa2!$A$1,
 IF(COUNTIF(Sayfa2!$B$2:$B$8, "*"&amp;D615&amp;"*")&gt;0, Sayfa2!$B$1,
 IF(COUNTIF(Sayfa2!$C$2:$C$8, "*"&amp;D615&amp;"*")&gt;0, Sayfa2!$C$1,
 IF(COUNTIF(Sayfa2!$D$2:$D$8,"*"&amp;D615&amp;"*")&gt;0, Sayfa2!$D$1,
 IF(COUNTIF(Sayfa2!$E$2:$E$8, "*"&amp;D615&amp;"*")&gt;0, Sayfa2!$E$1, "Bulunamadı")))))</f>
        <v>ÇARŞAMBA</v>
      </c>
    </row>
    <row r="616" spans="1:5" hidden="1" x14ac:dyDescent="0.25">
      <c r="A616" t="s">
        <v>2211</v>
      </c>
      <c r="B616" t="s">
        <v>693</v>
      </c>
      <c r="C616" t="s">
        <v>2190</v>
      </c>
      <c r="D616" s="4" t="s">
        <v>3069</v>
      </c>
      <c r="E616" t="str">
        <f>IF(COUNTIF(Sayfa2!$A$2:$A$8,"*"&amp;D616&amp;"*")&gt;0, Sayfa2!$A$1,
 IF(COUNTIF(Sayfa2!$B$2:$B$8, "*"&amp;D616&amp;"*")&gt;0, Sayfa2!$B$1,
 IF(COUNTIF(Sayfa2!$C$2:$C$8, "*"&amp;D616&amp;"*")&gt;0, Sayfa2!$C$1,
 IF(COUNTIF(Sayfa2!$D$2:$D$8,"*"&amp;D616&amp;"*")&gt;0, Sayfa2!$D$1,
 IF(COUNTIF(Sayfa2!$E$2:$E$8, "*"&amp;D616&amp;"*")&gt;0, Sayfa2!$E$1, "Bulunamadı")))))</f>
        <v>SALI</v>
      </c>
    </row>
    <row r="617" spans="1:5" hidden="1" x14ac:dyDescent="0.25">
      <c r="A617" t="s">
        <v>2212</v>
      </c>
      <c r="B617" t="s">
        <v>694</v>
      </c>
      <c r="C617" t="s">
        <v>2182</v>
      </c>
      <c r="D617" s="4" t="s">
        <v>3070</v>
      </c>
      <c r="E617" t="str">
        <f>IF(COUNTIF(Sayfa2!$A$2:$A$8,"*"&amp;D617&amp;"*")&gt;0, Sayfa2!$A$1,
 IF(COUNTIF(Sayfa2!$B$2:$B$8, "*"&amp;D617&amp;"*")&gt;0, Sayfa2!$B$1,
 IF(COUNTIF(Sayfa2!$C$2:$C$8, "*"&amp;D617&amp;"*")&gt;0, Sayfa2!$C$1,
 IF(COUNTIF(Sayfa2!$D$2:$D$8,"*"&amp;D617&amp;"*")&gt;0, Sayfa2!$D$1,
 IF(COUNTIF(Sayfa2!$E$2:$E$8, "*"&amp;D617&amp;"*")&gt;0, Sayfa2!$E$1, "Bulunamadı")))))</f>
        <v>ÇARŞAMBA</v>
      </c>
    </row>
    <row r="618" spans="1:5" hidden="1" x14ac:dyDescent="0.25">
      <c r="A618" t="s">
        <v>2213</v>
      </c>
      <c r="B618" t="s">
        <v>695</v>
      </c>
      <c r="C618" t="s">
        <v>2178</v>
      </c>
      <c r="D618" s="4" t="s">
        <v>3068</v>
      </c>
      <c r="E618" t="str">
        <f>IF(COUNTIF(Sayfa2!$A$2:$A$8,"*"&amp;D618&amp;"*")&gt;0, Sayfa2!$A$1,
 IF(COUNTIF(Sayfa2!$B$2:$B$8, "*"&amp;D618&amp;"*")&gt;0, Sayfa2!$B$1,
 IF(COUNTIF(Sayfa2!$C$2:$C$8, "*"&amp;D618&amp;"*")&gt;0, Sayfa2!$C$1,
 IF(COUNTIF(Sayfa2!$D$2:$D$8,"*"&amp;D618&amp;"*")&gt;0, Sayfa2!$D$1,
 IF(COUNTIF(Sayfa2!$E$2:$E$8, "*"&amp;D618&amp;"*")&gt;0, Sayfa2!$E$1, "Bulunamadı")))))</f>
        <v>PAZARTESİ</v>
      </c>
    </row>
    <row r="619" spans="1:5" hidden="1" x14ac:dyDescent="0.25">
      <c r="A619" t="s">
        <v>2214</v>
      </c>
      <c r="B619" t="s">
        <v>696</v>
      </c>
      <c r="C619" t="s">
        <v>2178</v>
      </c>
      <c r="D619" s="4" t="s">
        <v>3068</v>
      </c>
      <c r="E619" t="str">
        <f>IF(COUNTIF(Sayfa2!$A$2:$A$8,"*"&amp;D619&amp;"*")&gt;0, Sayfa2!$A$1,
 IF(COUNTIF(Sayfa2!$B$2:$B$8, "*"&amp;D619&amp;"*")&gt;0, Sayfa2!$B$1,
 IF(COUNTIF(Sayfa2!$C$2:$C$8, "*"&amp;D619&amp;"*")&gt;0, Sayfa2!$C$1,
 IF(COUNTIF(Sayfa2!$D$2:$D$8,"*"&amp;D619&amp;"*")&gt;0, Sayfa2!$D$1,
 IF(COUNTIF(Sayfa2!$E$2:$E$8, "*"&amp;D619&amp;"*")&gt;0, Sayfa2!$E$1, "Bulunamadı")))))</f>
        <v>PAZARTESİ</v>
      </c>
    </row>
    <row r="620" spans="1:5" hidden="1" x14ac:dyDescent="0.25">
      <c r="A620" t="s">
        <v>2215</v>
      </c>
      <c r="B620" t="s">
        <v>697</v>
      </c>
      <c r="C620" t="s">
        <v>2173</v>
      </c>
      <c r="D620" s="4" t="s">
        <v>3067</v>
      </c>
      <c r="E620" t="str">
        <f>IF(COUNTIF(Sayfa2!$A$2:$A$8,"*"&amp;D620&amp;"*")&gt;0, Sayfa2!$A$1,
 IF(COUNTIF(Sayfa2!$B$2:$B$8, "*"&amp;D620&amp;"*")&gt;0, Sayfa2!$B$1,
 IF(COUNTIF(Sayfa2!$C$2:$C$8, "*"&amp;D620&amp;"*")&gt;0, Sayfa2!$C$1,
 IF(COUNTIF(Sayfa2!$D$2:$D$8,"*"&amp;D620&amp;"*")&gt;0, Sayfa2!$D$1,
 IF(COUNTIF(Sayfa2!$E$2:$E$8, "*"&amp;D620&amp;"*")&gt;0, Sayfa2!$E$1, "Bulunamadı")))))</f>
        <v>CUMA</v>
      </c>
    </row>
    <row r="621" spans="1:5" hidden="1" x14ac:dyDescent="0.25">
      <c r="A621" t="s">
        <v>2216</v>
      </c>
      <c r="B621" t="s">
        <v>698</v>
      </c>
      <c r="C621" t="s">
        <v>2173</v>
      </c>
      <c r="D621" s="4" t="s">
        <v>3067</v>
      </c>
      <c r="E621" t="str">
        <f>IF(COUNTIF(Sayfa2!$A$2:$A$8,"*"&amp;D621&amp;"*")&gt;0, Sayfa2!$A$1,
 IF(COUNTIF(Sayfa2!$B$2:$B$8, "*"&amp;D621&amp;"*")&gt;0, Sayfa2!$B$1,
 IF(COUNTIF(Sayfa2!$C$2:$C$8, "*"&amp;D621&amp;"*")&gt;0, Sayfa2!$C$1,
 IF(COUNTIF(Sayfa2!$D$2:$D$8,"*"&amp;D621&amp;"*")&gt;0, Sayfa2!$D$1,
 IF(COUNTIF(Sayfa2!$E$2:$E$8, "*"&amp;D621&amp;"*")&gt;0, Sayfa2!$E$1, "Bulunamadı")))))</f>
        <v>CUMA</v>
      </c>
    </row>
    <row r="622" spans="1:5" hidden="1" x14ac:dyDescent="0.25">
      <c r="A622" t="s">
        <v>2217</v>
      </c>
      <c r="B622" t="s">
        <v>699</v>
      </c>
      <c r="C622" t="s">
        <v>2173</v>
      </c>
      <c r="D622" s="4" t="s">
        <v>3067</v>
      </c>
      <c r="E622" t="str">
        <f>IF(COUNTIF(Sayfa2!$A$2:$A$8,"*"&amp;D622&amp;"*")&gt;0, Sayfa2!$A$1,
 IF(COUNTIF(Sayfa2!$B$2:$B$8, "*"&amp;D622&amp;"*")&gt;0, Sayfa2!$B$1,
 IF(COUNTIF(Sayfa2!$C$2:$C$8, "*"&amp;D622&amp;"*")&gt;0, Sayfa2!$C$1,
 IF(COUNTIF(Sayfa2!$D$2:$D$8,"*"&amp;D622&amp;"*")&gt;0, Sayfa2!$D$1,
 IF(COUNTIF(Sayfa2!$E$2:$E$8, "*"&amp;D622&amp;"*")&gt;0, Sayfa2!$E$1, "Bulunamadı")))))</f>
        <v>CUMA</v>
      </c>
    </row>
    <row r="623" spans="1:5" hidden="1" x14ac:dyDescent="0.25">
      <c r="A623" t="s">
        <v>2218</v>
      </c>
      <c r="B623" t="s">
        <v>700</v>
      </c>
      <c r="C623" t="s">
        <v>2182</v>
      </c>
      <c r="D623" s="4" t="s">
        <v>3070</v>
      </c>
      <c r="E623" t="str">
        <f>IF(COUNTIF(Sayfa2!$A$2:$A$8,"*"&amp;D623&amp;"*")&gt;0, Sayfa2!$A$1,
 IF(COUNTIF(Sayfa2!$B$2:$B$8, "*"&amp;D623&amp;"*")&gt;0, Sayfa2!$B$1,
 IF(COUNTIF(Sayfa2!$C$2:$C$8, "*"&amp;D623&amp;"*")&gt;0, Sayfa2!$C$1,
 IF(COUNTIF(Sayfa2!$D$2:$D$8,"*"&amp;D623&amp;"*")&gt;0, Sayfa2!$D$1,
 IF(COUNTIF(Sayfa2!$E$2:$E$8, "*"&amp;D623&amp;"*")&gt;0, Sayfa2!$E$1, "Bulunamadı")))))</f>
        <v>ÇARŞAMBA</v>
      </c>
    </row>
    <row r="624" spans="1:5" hidden="1" x14ac:dyDescent="0.25">
      <c r="A624" t="s">
        <v>2219</v>
      </c>
      <c r="B624" t="s">
        <v>701</v>
      </c>
      <c r="C624" t="s">
        <v>2173</v>
      </c>
      <c r="D624" s="4" t="s">
        <v>3067</v>
      </c>
      <c r="E624" t="str">
        <f>IF(COUNTIF(Sayfa2!$A$2:$A$8,"*"&amp;D624&amp;"*")&gt;0, Sayfa2!$A$1,
 IF(COUNTIF(Sayfa2!$B$2:$B$8, "*"&amp;D624&amp;"*")&gt;0, Sayfa2!$B$1,
 IF(COUNTIF(Sayfa2!$C$2:$C$8, "*"&amp;D624&amp;"*")&gt;0, Sayfa2!$C$1,
 IF(COUNTIF(Sayfa2!$D$2:$D$8,"*"&amp;D624&amp;"*")&gt;0, Sayfa2!$D$1,
 IF(COUNTIF(Sayfa2!$E$2:$E$8, "*"&amp;D624&amp;"*")&gt;0, Sayfa2!$E$1, "Bulunamadı")))))</f>
        <v>CUMA</v>
      </c>
    </row>
    <row r="625" spans="1:5" hidden="1" x14ac:dyDescent="0.25">
      <c r="A625" t="s">
        <v>2220</v>
      </c>
      <c r="B625" t="s">
        <v>702</v>
      </c>
      <c r="C625" t="s">
        <v>2175</v>
      </c>
      <c r="D625" s="4" t="s">
        <v>3071</v>
      </c>
      <c r="E625" t="str">
        <f>IF(COUNTIF(Sayfa2!$A$2:$A$8,"*"&amp;D625&amp;"*")&gt;0, Sayfa2!$A$1,
 IF(COUNTIF(Sayfa2!$B$2:$B$8, "*"&amp;D625&amp;"*")&gt;0, Sayfa2!$B$1,
 IF(COUNTIF(Sayfa2!$C$2:$C$8, "*"&amp;D625&amp;"*")&gt;0, Sayfa2!$C$1,
 IF(COUNTIF(Sayfa2!$D$2:$D$8,"*"&amp;D625&amp;"*")&gt;0, Sayfa2!$D$1,
 IF(COUNTIF(Sayfa2!$E$2:$E$8, "*"&amp;D625&amp;"*")&gt;0, Sayfa2!$E$1, "Bulunamadı")))))</f>
        <v>PERŞEMBE</v>
      </c>
    </row>
    <row r="626" spans="1:5" hidden="1" x14ac:dyDescent="0.25">
      <c r="A626" t="s">
        <v>2221</v>
      </c>
      <c r="B626" t="s">
        <v>703</v>
      </c>
      <c r="C626" t="s">
        <v>2173</v>
      </c>
      <c r="D626" s="4" t="s">
        <v>3067</v>
      </c>
      <c r="E626" t="str">
        <f>IF(COUNTIF(Sayfa2!$A$2:$A$8,"*"&amp;D626&amp;"*")&gt;0, Sayfa2!$A$1,
 IF(COUNTIF(Sayfa2!$B$2:$B$8, "*"&amp;D626&amp;"*")&gt;0, Sayfa2!$B$1,
 IF(COUNTIF(Sayfa2!$C$2:$C$8, "*"&amp;D626&amp;"*")&gt;0, Sayfa2!$C$1,
 IF(COUNTIF(Sayfa2!$D$2:$D$8,"*"&amp;D626&amp;"*")&gt;0, Sayfa2!$D$1,
 IF(COUNTIF(Sayfa2!$E$2:$E$8, "*"&amp;D626&amp;"*")&gt;0, Sayfa2!$E$1, "Bulunamadı")))))</f>
        <v>CUMA</v>
      </c>
    </row>
    <row r="627" spans="1:5" hidden="1" x14ac:dyDescent="0.25">
      <c r="A627" t="s">
        <v>2222</v>
      </c>
      <c r="B627" t="s">
        <v>704</v>
      </c>
      <c r="C627" t="s">
        <v>2190</v>
      </c>
      <c r="D627" s="4" t="s">
        <v>3069</v>
      </c>
      <c r="E627" t="str">
        <f>IF(COUNTIF(Sayfa2!$A$2:$A$8,"*"&amp;D627&amp;"*")&gt;0, Sayfa2!$A$1,
 IF(COUNTIF(Sayfa2!$B$2:$B$8, "*"&amp;D627&amp;"*")&gt;0, Sayfa2!$B$1,
 IF(COUNTIF(Sayfa2!$C$2:$C$8, "*"&amp;D627&amp;"*")&gt;0, Sayfa2!$C$1,
 IF(COUNTIF(Sayfa2!$D$2:$D$8,"*"&amp;D627&amp;"*")&gt;0, Sayfa2!$D$1,
 IF(COUNTIF(Sayfa2!$E$2:$E$8, "*"&amp;D627&amp;"*")&gt;0, Sayfa2!$E$1, "Bulunamadı")))))</f>
        <v>SALI</v>
      </c>
    </row>
    <row r="628" spans="1:5" hidden="1" x14ac:dyDescent="0.25">
      <c r="A628" t="s">
        <v>2223</v>
      </c>
      <c r="B628" t="s">
        <v>705</v>
      </c>
      <c r="C628" t="s">
        <v>2178</v>
      </c>
      <c r="D628" s="4" t="s">
        <v>3068</v>
      </c>
      <c r="E628" t="str">
        <f>IF(COUNTIF(Sayfa2!$A$2:$A$8,"*"&amp;D628&amp;"*")&gt;0, Sayfa2!$A$1,
 IF(COUNTIF(Sayfa2!$B$2:$B$8, "*"&amp;D628&amp;"*")&gt;0, Sayfa2!$B$1,
 IF(COUNTIF(Sayfa2!$C$2:$C$8, "*"&amp;D628&amp;"*")&gt;0, Sayfa2!$C$1,
 IF(COUNTIF(Sayfa2!$D$2:$D$8,"*"&amp;D628&amp;"*")&gt;0, Sayfa2!$D$1,
 IF(COUNTIF(Sayfa2!$E$2:$E$8, "*"&amp;D628&amp;"*")&gt;0, Sayfa2!$E$1, "Bulunamadı")))))</f>
        <v>PAZARTESİ</v>
      </c>
    </row>
    <row r="629" spans="1:5" hidden="1" x14ac:dyDescent="0.25">
      <c r="A629" t="s">
        <v>2224</v>
      </c>
      <c r="B629" t="s">
        <v>706</v>
      </c>
      <c r="C629" t="s">
        <v>2190</v>
      </c>
      <c r="D629" s="4" t="s">
        <v>3069</v>
      </c>
      <c r="E629" t="str">
        <f>IF(COUNTIF(Sayfa2!$A$2:$A$8,"*"&amp;D629&amp;"*")&gt;0, Sayfa2!$A$1,
 IF(COUNTIF(Sayfa2!$B$2:$B$8, "*"&amp;D629&amp;"*")&gt;0, Sayfa2!$B$1,
 IF(COUNTIF(Sayfa2!$C$2:$C$8, "*"&amp;D629&amp;"*")&gt;0, Sayfa2!$C$1,
 IF(COUNTIF(Sayfa2!$D$2:$D$8,"*"&amp;D629&amp;"*")&gt;0, Sayfa2!$D$1,
 IF(COUNTIF(Sayfa2!$E$2:$E$8, "*"&amp;D629&amp;"*")&gt;0, Sayfa2!$E$1, "Bulunamadı")))))</f>
        <v>SALI</v>
      </c>
    </row>
    <row r="630" spans="1:5" hidden="1" x14ac:dyDescent="0.25">
      <c r="A630" t="s">
        <v>2225</v>
      </c>
      <c r="B630" t="s">
        <v>707</v>
      </c>
      <c r="C630" t="s">
        <v>2175</v>
      </c>
      <c r="D630" s="4" t="s">
        <v>3071</v>
      </c>
      <c r="E630" t="str">
        <f>IF(COUNTIF(Sayfa2!$A$2:$A$8,"*"&amp;D630&amp;"*")&gt;0, Sayfa2!$A$1,
 IF(COUNTIF(Sayfa2!$B$2:$B$8, "*"&amp;D630&amp;"*")&gt;0, Sayfa2!$B$1,
 IF(COUNTIF(Sayfa2!$C$2:$C$8, "*"&amp;D630&amp;"*")&gt;0, Sayfa2!$C$1,
 IF(COUNTIF(Sayfa2!$D$2:$D$8,"*"&amp;D630&amp;"*")&gt;0, Sayfa2!$D$1,
 IF(COUNTIF(Sayfa2!$E$2:$E$8, "*"&amp;D630&amp;"*")&gt;0, Sayfa2!$E$1, "Bulunamadı")))))</f>
        <v>PERŞEMBE</v>
      </c>
    </row>
    <row r="631" spans="1:5" hidden="1" x14ac:dyDescent="0.25">
      <c r="A631" t="s">
        <v>2226</v>
      </c>
      <c r="B631" t="s">
        <v>708</v>
      </c>
      <c r="C631" t="s">
        <v>2178</v>
      </c>
      <c r="D631" s="4" t="s">
        <v>3068</v>
      </c>
      <c r="E631" t="str">
        <f>IF(COUNTIF(Sayfa2!$A$2:$A$8,"*"&amp;D631&amp;"*")&gt;0, Sayfa2!$A$1,
 IF(COUNTIF(Sayfa2!$B$2:$B$8, "*"&amp;D631&amp;"*")&gt;0, Sayfa2!$B$1,
 IF(COUNTIF(Sayfa2!$C$2:$C$8, "*"&amp;D631&amp;"*")&gt;0, Sayfa2!$C$1,
 IF(COUNTIF(Sayfa2!$D$2:$D$8,"*"&amp;D631&amp;"*")&gt;0, Sayfa2!$D$1,
 IF(COUNTIF(Sayfa2!$E$2:$E$8, "*"&amp;D631&amp;"*")&gt;0, Sayfa2!$E$1, "Bulunamadı")))))</f>
        <v>PAZARTESİ</v>
      </c>
    </row>
    <row r="632" spans="1:5" hidden="1" x14ac:dyDescent="0.25">
      <c r="A632" t="s">
        <v>2227</v>
      </c>
      <c r="B632" t="s">
        <v>709</v>
      </c>
      <c r="C632" t="s">
        <v>2178</v>
      </c>
      <c r="D632" s="4" t="s">
        <v>3068</v>
      </c>
      <c r="E632" t="str">
        <f>IF(COUNTIF(Sayfa2!$A$2:$A$8,"*"&amp;D632&amp;"*")&gt;0, Sayfa2!$A$1,
 IF(COUNTIF(Sayfa2!$B$2:$B$8, "*"&amp;D632&amp;"*")&gt;0, Sayfa2!$B$1,
 IF(COUNTIF(Sayfa2!$C$2:$C$8, "*"&amp;D632&amp;"*")&gt;0, Sayfa2!$C$1,
 IF(COUNTIF(Sayfa2!$D$2:$D$8,"*"&amp;D632&amp;"*")&gt;0, Sayfa2!$D$1,
 IF(COUNTIF(Sayfa2!$E$2:$E$8, "*"&amp;D632&amp;"*")&gt;0, Sayfa2!$E$1, "Bulunamadı")))))</f>
        <v>PAZARTESİ</v>
      </c>
    </row>
    <row r="633" spans="1:5" hidden="1" x14ac:dyDescent="0.25">
      <c r="A633" t="s">
        <v>2228</v>
      </c>
      <c r="B633" t="s">
        <v>710</v>
      </c>
      <c r="C633" t="s">
        <v>2173</v>
      </c>
      <c r="D633" s="4" t="s">
        <v>3067</v>
      </c>
      <c r="E633" t="str">
        <f>IF(COUNTIF(Sayfa2!$A$2:$A$8,"*"&amp;D633&amp;"*")&gt;0, Sayfa2!$A$1,
 IF(COUNTIF(Sayfa2!$B$2:$B$8, "*"&amp;D633&amp;"*")&gt;0, Sayfa2!$B$1,
 IF(COUNTIF(Sayfa2!$C$2:$C$8, "*"&amp;D633&amp;"*")&gt;0, Sayfa2!$C$1,
 IF(COUNTIF(Sayfa2!$D$2:$D$8,"*"&amp;D633&amp;"*")&gt;0, Sayfa2!$D$1,
 IF(COUNTIF(Sayfa2!$E$2:$E$8, "*"&amp;D633&amp;"*")&gt;0, Sayfa2!$E$1, "Bulunamadı")))))</f>
        <v>CUMA</v>
      </c>
    </row>
    <row r="634" spans="1:5" hidden="1" x14ac:dyDescent="0.25">
      <c r="A634" t="s">
        <v>2229</v>
      </c>
      <c r="B634" t="s">
        <v>711</v>
      </c>
      <c r="C634" t="s">
        <v>2173</v>
      </c>
      <c r="D634" s="4" t="s">
        <v>3067</v>
      </c>
      <c r="E634" t="str">
        <f>IF(COUNTIF(Sayfa2!$A$2:$A$8,"*"&amp;D634&amp;"*")&gt;0, Sayfa2!$A$1,
 IF(COUNTIF(Sayfa2!$B$2:$B$8, "*"&amp;D634&amp;"*")&gt;0, Sayfa2!$B$1,
 IF(COUNTIF(Sayfa2!$C$2:$C$8, "*"&amp;D634&amp;"*")&gt;0, Sayfa2!$C$1,
 IF(COUNTIF(Sayfa2!$D$2:$D$8,"*"&amp;D634&amp;"*")&gt;0, Sayfa2!$D$1,
 IF(COUNTIF(Sayfa2!$E$2:$E$8, "*"&amp;D634&amp;"*")&gt;0, Sayfa2!$E$1, "Bulunamadı")))))</f>
        <v>CUMA</v>
      </c>
    </row>
    <row r="635" spans="1:5" hidden="1" x14ac:dyDescent="0.25">
      <c r="A635" t="s">
        <v>2230</v>
      </c>
      <c r="B635" t="s">
        <v>712</v>
      </c>
      <c r="C635" t="s">
        <v>2175</v>
      </c>
      <c r="D635" s="4" t="s">
        <v>3071</v>
      </c>
      <c r="E635" t="str">
        <f>IF(COUNTIF(Sayfa2!$A$2:$A$8,"*"&amp;D635&amp;"*")&gt;0, Sayfa2!$A$1,
 IF(COUNTIF(Sayfa2!$B$2:$B$8, "*"&amp;D635&amp;"*")&gt;0, Sayfa2!$B$1,
 IF(COUNTIF(Sayfa2!$C$2:$C$8, "*"&amp;D635&amp;"*")&gt;0, Sayfa2!$C$1,
 IF(COUNTIF(Sayfa2!$D$2:$D$8,"*"&amp;D635&amp;"*")&gt;0, Sayfa2!$D$1,
 IF(COUNTIF(Sayfa2!$E$2:$E$8, "*"&amp;D635&amp;"*")&gt;0, Sayfa2!$E$1, "Bulunamadı")))))</f>
        <v>PERŞEMBE</v>
      </c>
    </row>
    <row r="636" spans="1:5" hidden="1" x14ac:dyDescent="0.25">
      <c r="A636" t="s">
        <v>2231</v>
      </c>
      <c r="B636" t="s">
        <v>713</v>
      </c>
      <c r="C636" t="s">
        <v>2182</v>
      </c>
      <c r="D636" s="4" t="s">
        <v>3070</v>
      </c>
      <c r="E636" t="str">
        <f>IF(COUNTIF(Sayfa2!$A$2:$A$8,"*"&amp;D636&amp;"*")&gt;0, Sayfa2!$A$1,
 IF(COUNTIF(Sayfa2!$B$2:$B$8, "*"&amp;D636&amp;"*")&gt;0, Sayfa2!$B$1,
 IF(COUNTIF(Sayfa2!$C$2:$C$8, "*"&amp;D636&amp;"*")&gt;0, Sayfa2!$C$1,
 IF(COUNTIF(Sayfa2!$D$2:$D$8,"*"&amp;D636&amp;"*")&gt;0, Sayfa2!$D$1,
 IF(COUNTIF(Sayfa2!$E$2:$E$8, "*"&amp;D636&amp;"*")&gt;0, Sayfa2!$E$1, "Bulunamadı")))))</f>
        <v>ÇARŞAMBA</v>
      </c>
    </row>
    <row r="637" spans="1:5" hidden="1" x14ac:dyDescent="0.25">
      <c r="A637" t="s">
        <v>2232</v>
      </c>
      <c r="B637" t="s">
        <v>714</v>
      </c>
      <c r="C637" t="s">
        <v>2175</v>
      </c>
      <c r="D637" s="4" t="s">
        <v>3071</v>
      </c>
      <c r="E637" t="str">
        <f>IF(COUNTIF(Sayfa2!$A$2:$A$8,"*"&amp;D637&amp;"*")&gt;0, Sayfa2!$A$1,
 IF(COUNTIF(Sayfa2!$B$2:$B$8, "*"&amp;D637&amp;"*")&gt;0, Sayfa2!$B$1,
 IF(COUNTIF(Sayfa2!$C$2:$C$8, "*"&amp;D637&amp;"*")&gt;0, Sayfa2!$C$1,
 IF(COUNTIF(Sayfa2!$D$2:$D$8,"*"&amp;D637&amp;"*")&gt;0, Sayfa2!$D$1,
 IF(COUNTIF(Sayfa2!$E$2:$E$8, "*"&amp;D637&amp;"*")&gt;0, Sayfa2!$E$1, "Bulunamadı")))))</f>
        <v>PERŞEMBE</v>
      </c>
    </row>
    <row r="638" spans="1:5" hidden="1" x14ac:dyDescent="0.25">
      <c r="A638" t="s">
        <v>2233</v>
      </c>
      <c r="B638" t="s">
        <v>715</v>
      </c>
      <c r="C638" t="s">
        <v>2173</v>
      </c>
      <c r="D638" s="4" t="s">
        <v>3067</v>
      </c>
      <c r="E638" t="str">
        <f>IF(COUNTIF(Sayfa2!$A$2:$A$8,"*"&amp;D638&amp;"*")&gt;0, Sayfa2!$A$1,
 IF(COUNTIF(Sayfa2!$B$2:$B$8, "*"&amp;D638&amp;"*")&gt;0, Sayfa2!$B$1,
 IF(COUNTIF(Sayfa2!$C$2:$C$8, "*"&amp;D638&amp;"*")&gt;0, Sayfa2!$C$1,
 IF(COUNTIF(Sayfa2!$D$2:$D$8,"*"&amp;D638&amp;"*")&gt;0, Sayfa2!$D$1,
 IF(COUNTIF(Sayfa2!$E$2:$E$8, "*"&amp;D638&amp;"*")&gt;0, Sayfa2!$E$1, "Bulunamadı")))))</f>
        <v>CUMA</v>
      </c>
    </row>
    <row r="639" spans="1:5" x14ac:dyDescent="0.25">
      <c r="A639" t="s">
        <v>2234</v>
      </c>
      <c r="B639" t="s">
        <v>716</v>
      </c>
      <c r="C639" t="s">
        <v>2235</v>
      </c>
      <c r="D639" s="4" t="s">
        <v>3102</v>
      </c>
      <c r="E639" t="str">
        <f>IF(COUNTIF(Sayfa2!$A$2:$A$8,"*"&amp;D639&amp;"*")&gt;0, Sayfa2!$A$1,
 IF(COUNTIF(Sayfa2!$B$2:$B$8, "*"&amp;D639&amp;"*")&gt;0, Sayfa2!$B$1,
 IF(COUNTIF(Sayfa2!$C$2:$C$8, "*"&amp;D639&amp;"*")&gt;0, Sayfa2!$C$1,
 IF(COUNTIF(Sayfa2!$D$2:$D$8,"*"&amp;D639&amp;"*")&gt;0, Sayfa2!$D$1,
 IF(COUNTIF(Sayfa2!$E$2:$E$8, "*"&amp;D639&amp;"*")&gt;0, Sayfa2!$E$1, "Bulunamadı")))))</f>
        <v>Bulunamadı</v>
      </c>
    </row>
    <row r="640" spans="1:5" hidden="1" x14ac:dyDescent="0.25">
      <c r="A640" t="s">
        <v>2236</v>
      </c>
      <c r="B640" t="s">
        <v>718</v>
      </c>
      <c r="C640" t="s">
        <v>2175</v>
      </c>
      <c r="D640" s="4" t="s">
        <v>3071</v>
      </c>
      <c r="E640" t="str">
        <f>IF(COUNTIF(Sayfa2!$A$2:$A$8,"*"&amp;D640&amp;"*")&gt;0, Sayfa2!$A$1,
 IF(COUNTIF(Sayfa2!$B$2:$B$8, "*"&amp;D640&amp;"*")&gt;0, Sayfa2!$B$1,
 IF(COUNTIF(Sayfa2!$C$2:$C$8, "*"&amp;D640&amp;"*")&gt;0, Sayfa2!$C$1,
 IF(COUNTIF(Sayfa2!$D$2:$D$8,"*"&amp;D640&amp;"*")&gt;0, Sayfa2!$D$1,
 IF(COUNTIF(Sayfa2!$E$2:$E$8, "*"&amp;D640&amp;"*")&gt;0, Sayfa2!$E$1, "Bulunamadı")))))</f>
        <v>PERŞEMBE</v>
      </c>
    </row>
    <row r="641" spans="1:5" hidden="1" x14ac:dyDescent="0.25">
      <c r="A641" t="s">
        <v>2237</v>
      </c>
      <c r="B641" t="s">
        <v>719</v>
      </c>
      <c r="C641" t="s">
        <v>2175</v>
      </c>
      <c r="D641" s="4" t="s">
        <v>3071</v>
      </c>
      <c r="E641" t="str">
        <f>IF(COUNTIF(Sayfa2!$A$2:$A$8,"*"&amp;D641&amp;"*")&gt;0, Sayfa2!$A$1,
 IF(COUNTIF(Sayfa2!$B$2:$B$8, "*"&amp;D641&amp;"*")&gt;0, Sayfa2!$B$1,
 IF(COUNTIF(Sayfa2!$C$2:$C$8, "*"&amp;D641&amp;"*")&gt;0, Sayfa2!$C$1,
 IF(COUNTIF(Sayfa2!$D$2:$D$8,"*"&amp;D641&amp;"*")&gt;0, Sayfa2!$D$1,
 IF(COUNTIF(Sayfa2!$E$2:$E$8, "*"&amp;D641&amp;"*")&gt;0, Sayfa2!$E$1, "Bulunamadı")))))</f>
        <v>PERŞEMBE</v>
      </c>
    </row>
    <row r="642" spans="1:5" hidden="1" x14ac:dyDescent="0.25">
      <c r="A642" t="s">
        <v>2238</v>
      </c>
      <c r="B642" t="s">
        <v>720</v>
      </c>
      <c r="C642" t="s">
        <v>2190</v>
      </c>
      <c r="D642" s="4" t="s">
        <v>3069</v>
      </c>
      <c r="E642" t="str">
        <f>IF(COUNTIF(Sayfa2!$A$2:$A$8,"*"&amp;D642&amp;"*")&gt;0, Sayfa2!$A$1,
 IF(COUNTIF(Sayfa2!$B$2:$B$8, "*"&amp;D642&amp;"*")&gt;0, Sayfa2!$B$1,
 IF(COUNTIF(Sayfa2!$C$2:$C$8, "*"&amp;D642&amp;"*")&gt;0, Sayfa2!$C$1,
 IF(COUNTIF(Sayfa2!$D$2:$D$8,"*"&amp;D642&amp;"*")&gt;0, Sayfa2!$D$1,
 IF(COUNTIF(Sayfa2!$E$2:$E$8, "*"&amp;D642&amp;"*")&gt;0, Sayfa2!$E$1, "Bulunamadı")))))</f>
        <v>SALI</v>
      </c>
    </row>
    <row r="643" spans="1:5" hidden="1" x14ac:dyDescent="0.25">
      <c r="A643" t="s">
        <v>2239</v>
      </c>
      <c r="B643" t="s">
        <v>721</v>
      </c>
      <c r="C643" t="s">
        <v>2190</v>
      </c>
      <c r="D643" s="4" t="s">
        <v>3069</v>
      </c>
      <c r="E643" t="str">
        <f>IF(COUNTIF(Sayfa2!$A$2:$A$8,"*"&amp;D643&amp;"*")&gt;0, Sayfa2!$A$1,
 IF(COUNTIF(Sayfa2!$B$2:$B$8, "*"&amp;D643&amp;"*")&gt;0, Sayfa2!$B$1,
 IF(COUNTIF(Sayfa2!$C$2:$C$8, "*"&amp;D643&amp;"*")&gt;0, Sayfa2!$C$1,
 IF(COUNTIF(Sayfa2!$D$2:$D$8,"*"&amp;D643&amp;"*")&gt;0, Sayfa2!$D$1,
 IF(COUNTIF(Sayfa2!$E$2:$E$8, "*"&amp;D643&amp;"*")&gt;0, Sayfa2!$E$1, "Bulunamadı")))))</f>
        <v>SALI</v>
      </c>
    </row>
    <row r="644" spans="1:5" hidden="1" x14ac:dyDescent="0.25">
      <c r="A644" t="s">
        <v>2240</v>
      </c>
      <c r="B644" t="s">
        <v>722</v>
      </c>
      <c r="C644" t="s">
        <v>2182</v>
      </c>
      <c r="D644" s="4" t="s">
        <v>3070</v>
      </c>
      <c r="E644" t="str">
        <f>IF(COUNTIF(Sayfa2!$A$2:$A$8,"*"&amp;D644&amp;"*")&gt;0, Sayfa2!$A$1,
 IF(COUNTIF(Sayfa2!$B$2:$B$8, "*"&amp;D644&amp;"*")&gt;0, Sayfa2!$B$1,
 IF(COUNTIF(Sayfa2!$C$2:$C$8, "*"&amp;D644&amp;"*")&gt;0, Sayfa2!$C$1,
 IF(COUNTIF(Sayfa2!$D$2:$D$8,"*"&amp;D644&amp;"*")&gt;0, Sayfa2!$D$1,
 IF(COUNTIF(Sayfa2!$E$2:$E$8, "*"&amp;D644&amp;"*")&gt;0, Sayfa2!$E$1, "Bulunamadı")))))</f>
        <v>ÇARŞAMBA</v>
      </c>
    </row>
    <row r="645" spans="1:5" hidden="1" x14ac:dyDescent="0.25">
      <c r="A645" t="s">
        <v>2241</v>
      </c>
      <c r="B645" t="s">
        <v>723</v>
      </c>
      <c r="C645" t="s">
        <v>2182</v>
      </c>
      <c r="D645" s="4" t="s">
        <v>3070</v>
      </c>
      <c r="E645" t="str">
        <f>IF(COUNTIF(Sayfa2!$A$2:$A$8,"*"&amp;D645&amp;"*")&gt;0, Sayfa2!$A$1,
 IF(COUNTIF(Sayfa2!$B$2:$B$8, "*"&amp;D645&amp;"*")&gt;0, Sayfa2!$B$1,
 IF(COUNTIF(Sayfa2!$C$2:$C$8, "*"&amp;D645&amp;"*")&gt;0, Sayfa2!$C$1,
 IF(COUNTIF(Sayfa2!$D$2:$D$8,"*"&amp;D645&amp;"*")&gt;0, Sayfa2!$D$1,
 IF(COUNTIF(Sayfa2!$E$2:$E$8, "*"&amp;D645&amp;"*")&gt;0, Sayfa2!$E$1, "Bulunamadı")))))</f>
        <v>ÇARŞAMBA</v>
      </c>
    </row>
    <row r="646" spans="1:5" hidden="1" x14ac:dyDescent="0.25">
      <c r="A646" t="s">
        <v>2242</v>
      </c>
      <c r="B646" t="s">
        <v>724</v>
      </c>
      <c r="C646" t="s">
        <v>2190</v>
      </c>
      <c r="D646" s="4" t="s">
        <v>3069</v>
      </c>
      <c r="E646" t="str">
        <f>IF(COUNTIF(Sayfa2!$A$2:$A$8,"*"&amp;D646&amp;"*")&gt;0, Sayfa2!$A$1,
 IF(COUNTIF(Sayfa2!$B$2:$B$8, "*"&amp;D646&amp;"*")&gt;0, Sayfa2!$B$1,
 IF(COUNTIF(Sayfa2!$C$2:$C$8, "*"&amp;D646&amp;"*")&gt;0, Sayfa2!$C$1,
 IF(COUNTIF(Sayfa2!$D$2:$D$8,"*"&amp;D646&amp;"*")&gt;0, Sayfa2!$D$1,
 IF(COUNTIF(Sayfa2!$E$2:$E$8, "*"&amp;D646&amp;"*")&gt;0, Sayfa2!$E$1, "Bulunamadı")))))</f>
        <v>SALI</v>
      </c>
    </row>
    <row r="647" spans="1:5" hidden="1" x14ac:dyDescent="0.25">
      <c r="A647" t="s">
        <v>2243</v>
      </c>
      <c r="B647" t="s">
        <v>725</v>
      </c>
      <c r="C647" t="s">
        <v>2190</v>
      </c>
      <c r="D647" s="4" t="s">
        <v>3069</v>
      </c>
      <c r="E647" t="str">
        <f>IF(COUNTIF(Sayfa2!$A$2:$A$8,"*"&amp;D647&amp;"*")&gt;0, Sayfa2!$A$1,
 IF(COUNTIF(Sayfa2!$B$2:$B$8, "*"&amp;D647&amp;"*")&gt;0, Sayfa2!$B$1,
 IF(COUNTIF(Sayfa2!$C$2:$C$8, "*"&amp;D647&amp;"*")&gt;0, Sayfa2!$C$1,
 IF(COUNTIF(Sayfa2!$D$2:$D$8,"*"&amp;D647&amp;"*")&gt;0, Sayfa2!$D$1,
 IF(COUNTIF(Sayfa2!$E$2:$E$8, "*"&amp;D647&amp;"*")&gt;0, Sayfa2!$E$1, "Bulunamadı")))))</f>
        <v>SALI</v>
      </c>
    </row>
    <row r="648" spans="1:5" hidden="1" x14ac:dyDescent="0.25">
      <c r="A648" t="s">
        <v>2244</v>
      </c>
      <c r="B648" t="s">
        <v>726</v>
      </c>
      <c r="C648" t="s">
        <v>2173</v>
      </c>
      <c r="D648" s="4" t="s">
        <v>3067</v>
      </c>
      <c r="E648" t="str">
        <f>IF(COUNTIF(Sayfa2!$A$2:$A$8,"*"&amp;D648&amp;"*")&gt;0, Sayfa2!$A$1,
 IF(COUNTIF(Sayfa2!$B$2:$B$8, "*"&amp;D648&amp;"*")&gt;0, Sayfa2!$B$1,
 IF(COUNTIF(Sayfa2!$C$2:$C$8, "*"&amp;D648&amp;"*")&gt;0, Sayfa2!$C$1,
 IF(COUNTIF(Sayfa2!$D$2:$D$8,"*"&amp;D648&amp;"*")&gt;0, Sayfa2!$D$1,
 IF(COUNTIF(Sayfa2!$E$2:$E$8, "*"&amp;D648&amp;"*")&gt;0, Sayfa2!$E$1, "Bulunamadı")))))</f>
        <v>CUMA</v>
      </c>
    </row>
    <row r="649" spans="1:5" hidden="1" x14ac:dyDescent="0.25">
      <c r="A649" t="s">
        <v>2245</v>
      </c>
      <c r="B649" t="s">
        <v>727</v>
      </c>
      <c r="C649" t="s">
        <v>2173</v>
      </c>
      <c r="D649" s="4" t="s">
        <v>3067</v>
      </c>
      <c r="E649" t="str">
        <f>IF(COUNTIF(Sayfa2!$A$2:$A$8,"*"&amp;D649&amp;"*")&gt;0, Sayfa2!$A$1,
 IF(COUNTIF(Sayfa2!$B$2:$B$8, "*"&amp;D649&amp;"*")&gt;0, Sayfa2!$B$1,
 IF(COUNTIF(Sayfa2!$C$2:$C$8, "*"&amp;D649&amp;"*")&gt;0, Sayfa2!$C$1,
 IF(COUNTIF(Sayfa2!$D$2:$D$8,"*"&amp;D649&amp;"*")&gt;0, Sayfa2!$D$1,
 IF(COUNTIF(Sayfa2!$E$2:$E$8, "*"&amp;D649&amp;"*")&gt;0, Sayfa2!$E$1, "Bulunamadı")))))</f>
        <v>CUMA</v>
      </c>
    </row>
    <row r="650" spans="1:5" hidden="1" x14ac:dyDescent="0.25">
      <c r="A650" t="s">
        <v>2246</v>
      </c>
      <c r="B650" t="s">
        <v>728</v>
      </c>
      <c r="C650" t="s">
        <v>2178</v>
      </c>
      <c r="D650" s="4" t="s">
        <v>3068</v>
      </c>
      <c r="E650" t="str">
        <f>IF(COUNTIF(Sayfa2!$A$2:$A$8,"*"&amp;D650&amp;"*")&gt;0, Sayfa2!$A$1,
 IF(COUNTIF(Sayfa2!$B$2:$B$8, "*"&amp;D650&amp;"*")&gt;0, Sayfa2!$B$1,
 IF(COUNTIF(Sayfa2!$C$2:$C$8, "*"&amp;D650&amp;"*")&gt;0, Sayfa2!$C$1,
 IF(COUNTIF(Sayfa2!$D$2:$D$8,"*"&amp;D650&amp;"*")&gt;0, Sayfa2!$D$1,
 IF(COUNTIF(Sayfa2!$E$2:$E$8, "*"&amp;D650&amp;"*")&gt;0, Sayfa2!$E$1, "Bulunamadı")))))</f>
        <v>PAZARTESİ</v>
      </c>
    </row>
    <row r="651" spans="1:5" hidden="1" x14ac:dyDescent="0.25">
      <c r="A651" t="s">
        <v>2247</v>
      </c>
      <c r="B651" t="s">
        <v>729</v>
      </c>
      <c r="C651" t="s">
        <v>2175</v>
      </c>
      <c r="D651" s="4" t="s">
        <v>3071</v>
      </c>
      <c r="E651" t="str">
        <f>IF(COUNTIF(Sayfa2!$A$2:$A$8,"*"&amp;D651&amp;"*")&gt;0, Sayfa2!$A$1,
 IF(COUNTIF(Sayfa2!$B$2:$B$8, "*"&amp;D651&amp;"*")&gt;0, Sayfa2!$B$1,
 IF(COUNTIF(Sayfa2!$C$2:$C$8, "*"&amp;D651&amp;"*")&gt;0, Sayfa2!$C$1,
 IF(COUNTIF(Sayfa2!$D$2:$D$8,"*"&amp;D651&amp;"*")&gt;0, Sayfa2!$D$1,
 IF(COUNTIF(Sayfa2!$E$2:$E$8, "*"&amp;D651&amp;"*")&gt;0, Sayfa2!$E$1, "Bulunamadı")))))</f>
        <v>PERŞEMBE</v>
      </c>
    </row>
    <row r="652" spans="1:5" hidden="1" x14ac:dyDescent="0.25">
      <c r="A652" t="s">
        <v>2248</v>
      </c>
      <c r="B652" t="s">
        <v>730</v>
      </c>
      <c r="C652" t="s">
        <v>2173</v>
      </c>
      <c r="D652" s="4" t="s">
        <v>3067</v>
      </c>
      <c r="E652" t="str">
        <f>IF(COUNTIF(Sayfa2!$A$2:$A$8,"*"&amp;D652&amp;"*")&gt;0, Sayfa2!$A$1,
 IF(COUNTIF(Sayfa2!$B$2:$B$8, "*"&amp;D652&amp;"*")&gt;0, Sayfa2!$B$1,
 IF(COUNTIF(Sayfa2!$C$2:$C$8, "*"&amp;D652&amp;"*")&gt;0, Sayfa2!$C$1,
 IF(COUNTIF(Sayfa2!$D$2:$D$8,"*"&amp;D652&amp;"*")&gt;0, Sayfa2!$D$1,
 IF(COUNTIF(Sayfa2!$E$2:$E$8, "*"&amp;D652&amp;"*")&gt;0, Sayfa2!$E$1, "Bulunamadı")))))</f>
        <v>CUMA</v>
      </c>
    </row>
    <row r="653" spans="1:5" hidden="1" x14ac:dyDescent="0.25">
      <c r="A653" t="s">
        <v>2249</v>
      </c>
      <c r="B653" t="s">
        <v>731</v>
      </c>
      <c r="C653" t="s">
        <v>2190</v>
      </c>
      <c r="D653" s="4" t="s">
        <v>3069</v>
      </c>
      <c r="E653" t="str">
        <f>IF(COUNTIF(Sayfa2!$A$2:$A$8,"*"&amp;D653&amp;"*")&gt;0, Sayfa2!$A$1,
 IF(COUNTIF(Sayfa2!$B$2:$B$8, "*"&amp;D653&amp;"*")&gt;0, Sayfa2!$B$1,
 IF(COUNTIF(Sayfa2!$C$2:$C$8, "*"&amp;D653&amp;"*")&gt;0, Sayfa2!$C$1,
 IF(COUNTIF(Sayfa2!$D$2:$D$8,"*"&amp;D653&amp;"*")&gt;0, Sayfa2!$D$1,
 IF(COUNTIF(Sayfa2!$E$2:$E$8, "*"&amp;D653&amp;"*")&gt;0, Sayfa2!$E$1, "Bulunamadı")))))</f>
        <v>SALI</v>
      </c>
    </row>
    <row r="654" spans="1:5" hidden="1" x14ac:dyDescent="0.25">
      <c r="A654" t="s">
        <v>2250</v>
      </c>
      <c r="B654" t="s">
        <v>732</v>
      </c>
      <c r="C654" t="s">
        <v>2182</v>
      </c>
      <c r="D654" s="4" t="s">
        <v>3070</v>
      </c>
      <c r="E654" t="str">
        <f>IF(COUNTIF(Sayfa2!$A$2:$A$8,"*"&amp;D654&amp;"*")&gt;0, Sayfa2!$A$1,
 IF(COUNTIF(Sayfa2!$B$2:$B$8, "*"&amp;D654&amp;"*")&gt;0, Sayfa2!$B$1,
 IF(COUNTIF(Sayfa2!$C$2:$C$8, "*"&amp;D654&amp;"*")&gt;0, Sayfa2!$C$1,
 IF(COUNTIF(Sayfa2!$D$2:$D$8,"*"&amp;D654&amp;"*")&gt;0, Sayfa2!$D$1,
 IF(COUNTIF(Sayfa2!$E$2:$E$8, "*"&amp;D654&amp;"*")&gt;0, Sayfa2!$E$1, "Bulunamadı")))))</f>
        <v>ÇARŞAMBA</v>
      </c>
    </row>
    <row r="655" spans="1:5" hidden="1" x14ac:dyDescent="0.25">
      <c r="A655" t="s">
        <v>2251</v>
      </c>
      <c r="B655" t="s">
        <v>733</v>
      </c>
      <c r="C655" t="s">
        <v>2175</v>
      </c>
      <c r="D655" s="4" t="s">
        <v>3071</v>
      </c>
      <c r="E655" t="str">
        <f>IF(COUNTIF(Sayfa2!$A$2:$A$8,"*"&amp;D655&amp;"*")&gt;0, Sayfa2!$A$1,
 IF(COUNTIF(Sayfa2!$B$2:$B$8, "*"&amp;D655&amp;"*")&gt;0, Sayfa2!$B$1,
 IF(COUNTIF(Sayfa2!$C$2:$C$8, "*"&amp;D655&amp;"*")&gt;0, Sayfa2!$C$1,
 IF(COUNTIF(Sayfa2!$D$2:$D$8,"*"&amp;D655&amp;"*")&gt;0, Sayfa2!$D$1,
 IF(COUNTIF(Sayfa2!$E$2:$E$8, "*"&amp;D655&amp;"*")&gt;0, Sayfa2!$E$1, "Bulunamadı")))))</f>
        <v>PERŞEMBE</v>
      </c>
    </row>
    <row r="656" spans="1:5" hidden="1" x14ac:dyDescent="0.25">
      <c r="A656" t="s">
        <v>2252</v>
      </c>
      <c r="B656" t="s">
        <v>734</v>
      </c>
      <c r="C656" t="s">
        <v>2190</v>
      </c>
      <c r="D656" s="4" t="s">
        <v>3069</v>
      </c>
      <c r="E656" t="str">
        <f>IF(COUNTIF(Sayfa2!$A$2:$A$8,"*"&amp;D656&amp;"*")&gt;0, Sayfa2!$A$1,
 IF(COUNTIF(Sayfa2!$B$2:$B$8, "*"&amp;D656&amp;"*")&gt;0, Sayfa2!$B$1,
 IF(COUNTIF(Sayfa2!$C$2:$C$8, "*"&amp;D656&amp;"*")&gt;0, Sayfa2!$C$1,
 IF(COUNTIF(Sayfa2!$D$2:$D$8,"*"&amp;D656&amp;"*")&gt;0, Sayfa2!$D$1,
 IF(COUNTIF(Sayfa2!$E$2:$E$8, "*"&amp;D656&amp;"*")&gt;0, Sayfa2!$E$1, "Bulunamadı")))))</f>
        <v>SALI</v>
      </c>
    </row>
    <row r="657" spans="1:5" x14ac:dyDescent="0.25">
      <c r="A657" t="s">
        <v>2253</v>
      </c>
      <c r="B657" t="s">
        <v>735</v>
      </c>
      <c r="C657" t="s">
        <v>2235</v>
      </c>
      <c r="D657" s="4" t="s">
        <v>3102</v>
      </c>
      <c r="E657" t="str">
        <f>IF(COUNTIF(Sayfa2!$A$2:$A$8,"*"&amp;D657&amp;"*")&gt;0, Sayfa2!$A$1,
 IF(COUNTIF(Sayfa2!$B$2:$B$8, "*"&amp;D657&amp;"*")&gt;0, Sayfa2!$B$1,
 IF(COUNTIF(Sayfa2!$C$2:$C$8, "*"&amp;D657&amp;"*")&gt;0, Sayfa2!$C$1,
 IF(COUNTIF(Sayfa2!$D$2:$D$8,"*"&amp;D657&amp;"*")&gt;0, Sayfa2!$D$1,
 IF(COUNTIF(Sayfa2!$E$2:$E$8, "*"&amp;D657&amp;"*")&gt;0, Sayfa2!$E$1, "Bulunamadı")))))</f>
        <v>Bulunamadı</v>
      </c>
    </row>
    <row r="658" spans="1:5" hidden="1" x14ac:dyDescent="0.25">
      <c r="A658" t="s">
        <v>2254</v>
      </c>
      <c r="B658" t="s">
        <v>736</v>
      </c>
      <c r="C658" t="s">
        <v>2173</v>
      </c>
      <c r="D658" s="4" t="s">
        <v>3067</v>
      </c>
      <c r="E658" t="str">
        <f>IF(COUNTIF(Sayfa2!$A$2:$A$8,"*"&amp;D658&amp;"*")&gt;0, Sayfa2!$A$1,
 IF(COUNTIF(Sayfa2!$B$2:$B$8, "*"&amp;D658&amp;"*")&gt;0, Sayfa2!$B$1,
 IF(COUNTIF(Sayfa2!$C$2:$C$8, "*"&amp;D658&amp;"*")&gt;0, Sayfa2!$C$1,
 IF(COUNTIF(Sayfa2!$D$2:$D$8,"*"&amp;D658&amp;"*")&gt;0, Sayfa2!$D$1,
 IF(COUNTIF(Sayfa2!$E$2:$E$8, "*"&amp;D658&amp;"*")&gt;0, Sayfa2!$E$1, "Bulunamadı")))))</f>
        <v>CUMA</v>
      </c>
    </row>
    <row r="659" spans="1:5" hidden="1" x14ac:dyDescent="0.25">
      <c r="A659" t="s">
        <v>2255</v>
      </c>
      <c r="B659" t="s">
        <v>737</v>
      </c>
      <c r="C659" t="s">
        <v>2182</v>
      </c>
      <c r="D659" s="4" t="s">
        <v>3070</v>
      </c>
      <c r="E659" t="str">
        <f>IF(COUNTIF(Sayfa2!$A$2:$A$8,"*"&amp;D659&amp;"*")&gt;0, Sayfa2!$A$1,
 IF(COUNTIF(Sayfa2!$B$2:$B$8, "*"&amp;D659&amp;"*")&gt;0, Sayfa2!$B$1,
 IF(COUNTIF(Sayfa2!$C$2:$C$8, "*"&amp;D659&amp;"*")&gt;0, Sayfa2!$C$1,
 IF(COUNTIF(Sayfa2!$D$2:$D$8,"*"&amp;D659&amp;"*")&gt;0, Sayfa2!$D$1,
 IF(COUNTIF(Sayfa2!$E$2:$E$8, "*"&amp;D659&amp;"*")&gt;0, Sayfa2!$E$1, "Bulunamadı")))))</f>
        <v>ÇARŞAMBA</v>
      </c>
    </row>
    <row r="660" spans="1:5" hidden="1" x14ac:dyDescent="0.25">
      <c r="A660" t="s">
        <v>2256</v>
      </c>
      <c r="B660" t="s">
        <v>738</v>
      </c>
      <c r="C660" t="s">
        <v>2182</v>
      </c>
      <c r="D660" s="4" t="s">
        <v>3070</v>
      </c>
      <c r="E660" t="str">
        <f>IF(COUNTIF(Sayfa2!$A$2:$A$8,"*"&amp;D660&amp;"*")&gt;0, Sayfa2!$A$1,
 IF(COUNTIF(Sayfa2!$B$2:$B$8, "*"&amp;D660&amp;"*")&gt;0, Sayfa2!$B$1,
 IF(COUNTIF(Sayfa2!$C$2:$C$8, "*"&amp;D660&amp;"*")&gt;0, Sayfa2!$C$1,
 IF(COUNTIF(Sayfa2!$D$2:$D$8,"*"&amp;D660&amp;"*")&gt;0, Sayfa2!$D$1,
 IF(COUNTIF(Sayfa2!$E$2:$E$8, "*"&amp;D660&amp;"*")&gt;0, Sayfa2!$E$1, "Bulunamadı")))))</f>
        <v>ÇARŞAMBA</v>
      </c>
    </row>
    <row r="661" spans="1:5" hidden="1" x14ac:dyDescent="0.25">
      <c r="A661" t="s">
        <v>2257</v>
      </c>
      <c r="B661" t="s">
        <v>739</v>
      </c>
      <c r="C661" t="s">
        <v>2175</v>
      </c>
      <c r="D661" s="4" t="s">
        <v>3071</v>
      </c>
      <c r="E661" t="str">
        <f>IF(COUNTIF(Sayfa2!$A$2:$A$8,"*"&amp;D661&amp;"*")&gt;0, Sayfa2!$A$1,
 IF(COUNTIF(Sayfa2!$B$2:$B$8, "*"&amp;D661&amp;"*")&gt;0, Sayfa2!$B$1,
 IF(COUNTIF(Sayfa2!$C$2:$C$8, "*"&amp;D661&amp;"*")&gt;0, Sayfa2!$C$1,
 IF(COUNTIF(Sayfa2!$D$2:$D$8,"*"&amp;D661&amp;"*")&gt;0, Sayfa2!$D$1,
 IF(COUNTIF(Sayfa2!$E$2:$E$8, "*"&amp;D661&amp;"*")&gt;0, Sayfa2!$E$1, "Bulunamadı")))))</f>
        <v>PERŞEMBE</v>
      </c>
    </row>
    <row r="662" spans="1:5" hidden="1" x14ac:dyDescent="0.25">
      <c r="A662" t="s">
        <v>2258</v>
      </c>
      <c r="B662" t="s">
        <v>740</v>
      </c>
      <c r="C662" t="s">
        <v>2182</v>
      </c>
      <c r="D662" s="4" t="s">
        <v>3070</v>
      </c>
      <c r="E662" t="str">
        <f>IF(COUNTIF(Sayfa2!$A$2:$A$8,"*"&amp;D662&amp;"*")&gt;0, Sayfa2!$A$1,
 IF(COUNTIF(Sayfa2!$B$2:$B$8, "*"&amp;D662&amp;"*")&gt;0, Sayfa2!$B$1,
 IF(COUNTIF(Sayfa2!$C$2:$C$8, "*"&amp;D662&amp;"*")&gt;0, Sayfa2!$C$1,
 IF(COUNTIF(Sayfa2!$D$2:$D$8,"*"&amp;D662&amp;"*")&gt;0, Sayfa2!$D$1,
 IF(COUNTIF(Sayfa2!$E$2:$E$8, "*"&amp;D662&amp;"*")&gt;0, Sayfa2!$E$1, "Bulunamadı")))))</f>
        <v>ÇARŞAMBA</v>
      </c>
    </row>
    <row r="663" spans="1:5" hidden="1" x14ac:dyDescent="0.25">
      <c r="A663" t="s">
        <v>2259</v>
      </c>
      <c r="B663" t="s">
        <v>741</v>
      </c>
      <c r="C663" t="s">
        <v>2182</v>
      </c>
      <c r="D663" s="4" t="s">
        <v>3070</v>
      </c>
      <c r="E663" t="str">
        <f>IF(COUNTIF(Sayfa2!$A$2:$A$8,"*"&amp;D663&amp;"*")&gt;0, Sayfa2!$A$1,
 IF(COUNTIF(Sayfa2!$B$2:$B$8, "*"&amp;D663&amp;"*")&gt;0, Sayfa2!$B$1,
 IF(COUNTIF(Sayfa2!$C$2:$C$8, "*"&amp;D663&amp;"*")&gt;0, Sayfa2!$C$1,
 IF(COUNTIF(Sayfa2!$D$2:$D$8,"*"&amp;D663&amp;"*")&gt;0, Sayfa2!$D$1,
 IF(COUNTIF(Sayfa2!$E$2:$E$8, "*"&amp;D663&amp;"*")&gt;0, Sayfa2!$E$1, "Bulunamadı")))))</f>
        <v>ÇARŞAMBA</v>
      </c>
    </row>
    <row r="664" spans="1:5" hidden="1" x14ac:dyDescent="0.25">
      <c r="A664" t="s">
        <v>2260</v>
      </c>
      <c r="B664" t="s">
        <v>742</v>
      </c>
      <c r="C664" t="s">
        <v>2190</v>
      </c>
      <c r="D664" s="4" t="s">
        <v>3069</v>
      </c>
      <c r="E664" t="str">
        <f>IF(COUNTIF(Sayfa2!$A$2:$A$8,"*"&amp;D664&amp;"*")&gt;0, Sayfa2!$A$1,
 IF(COUNTIF(Sayfa2!$B$2:$B$8, "*"&amp;D664&amp;"*")&gt;0, Sayfa2!$B$1,
 IF(COUNTIF(Sayfa2!$C$2:$C$8, "*"&amp;D664&amp;"*")&gt;0, Sayfa2!$C$1,
 IF(COUNTIF(Sayfa2!$D$2:$D$8,"*"&amp;D664&amp;"*")&gt;0, Sayfa2!$D$1,
 IF(COUNTIF(Sayfa2!$E$2:$E$8, "*"&amp;D664&amp;"*")&gt;0, Sayfa2!$E$1, "Bulunamadı")))))</f>
        <v>SALI</v>
      </c>
    </row>
    <row r="665" spans="1:5" hidden="1" x14ac:dyDescent="0.25">
      <c r="A665" t="s">
        <v>2261</v>
      </c>
      <c r="B665" t="s">
        <v>743</v>
      </c>
      <c r="C665" t="s">
        <v>2173</v>
      </c>
      <c r="D665" s="4" t="s">
        <v>3067</v>
      </c>
      <c r="E665" t="str">
        <f>IF(COUNTIF(Sayfa2!$A$2:$A$8,"*"&amp;D665&amp;"*")&gt;0, Sayfa2!$A$1,
 IF(COUNTIF(Sayfa2!$B$2:$B$8, "*"&amp;D665&amp;"*")&gt;0, Sayfa2!$B$1,
 IF(COUNTIF(Sayfa2!$C$2:$C$8, "*"&amp;D665&amp;"*")&gt;0, Sayfa2!$C$1,
 IF(COUNTIF(Sayfa2!$D$2:$D$8,"*"&amp;D665&amp;"*")&gt;0, Sayfa2!$D$1,
 IF(COUNTIF(Sayfa2!$E$2:$E$8, "*"&amp;D665&amp;"*")&gt;0, Sayfa2!$E$1, "Bulunamadı")))))</f>
        <v>CUMA</v>
      </c>
    </row>
    <row r="666" spans="1:5" hidden="1" x14ac:dyDescent="0.25">
      <c r="A666" t="s">
        <v>2262</v>
      </c>
      <c r="B666" t="s">
        <v>744</v>
      </c>
      <c r="C666" t="s">
        <v>2182</v>
      </c>
      <c r="D666" s="4" t="s">
        <v>3070</v>
      </c>
      <c r="E666" t="str">
        <f>IF(COUNTIF(Sayfa2!$A$2:$A$8,"*"&amp;D666&amp;"*")&gt;0, Sayfa2!$A$1,
 IF(COUNTIF(Sayfa2!$B$2:$B$8, "*"&amp;D666&amp;"*")&gt;0, Sayfa2!$B$1,
 IF(COUNTIF(Sayfa2!$C$2:$C$8, "*"&amp;D666&amp;"*")&gt;0, Sayfa2!$C$1,
 IF(COUNTIF(Sayfa2!$D$2:$D$8,"*"&amp;D666&amp;"*")&gt;0, Sayfa2!$D$1,
 IF(COUNTIF(Sayfa2!$E$2:$E$8, "*"&amp;D666&amp;"*")&gt;0, Sayfa2!$E$1, "Bulunamadı")))))</f>
        <v>ÇARŞAMBA</v>
      </c>
    </row>
    <row r="667" spans="1:5" hidden="1" x14ac:dyDescent="0.25">
      <c r="A667" t="s">
        <v>2263</v>
      </c>
      <c r="B667" t="s">
        <v>745</v>
      </c>
      <c r="C667" t="s">
        <v>2190</v>
      </c>
      <c r="D667" s="4" t="s">
        <v>3069</v>
      </c>
      <c r="E667" t="str">
        <f>IF(COUNTIF(Sayfa2!$A$2:$A$8,"*"&amp;D667&amp;"*")&gt;0, Sayfa2!$A$1,
 IF(COUNTIF(Sayfa2!$B$2:$B$8, "*"&amp;D667&amp;"*")&gt;0, Sayfa2!$B$1,
 IF(COUNTIF(Sayfa2!$C$2:$C$8, "*"&amp;D667&amp;"*")&gt;0, Sayfa2!$C$1,
 IF(COUNTIF(Sayfa2!$D$2:$D$8,"*"&amp;D667&amp;"*")&gt;0, Sayfa2!$D$1,
 IF(COUNTIF(Sayfa2!$E$2:$E$8, "*"&amp;D667&amp;"*")&gt;0, Sayfa2!$E$1, "Bulunamadı")))))</f>
        <v>SALI</v>
      </c>
    </row>
    <row r="668" spans="1:5" hidden="1" x14ac:dyDescent="0.25">
      <c r="A668" t="s">
        <v>2264</v>
      </c>
      <c r="B668" t="s">
        <v>746</v>
      </c>
      <c r="C668" t="s">
        <v>2182</v>
      </c>
      <c r="D668" s="4" t="s">
        <v>3070</v>
      </c>
      <c r="E668" t="str">
        <f>IF(COUNTIF(Sayfa2!$A$2:$A$8,"*"&amp;D668&amp;"*")&gt;0, Sayfa2!$A$1,
 IF(COUNTIF(Sayfa2!$B$2:$B$8, "*"&amp;D668&amp;"*")&gt;0, Sayfa2!$B$1,
 IF(COUNTIF(Sayfa2!$C$2:$C$8, "*"&amp;D668&amp;"*")&gt;0, Sayfa2!$C$1,
 IF(COUNTIF(Sayfa2!$D$2:$D$8,"*"&amp;D668&amp;"*")&gt;0, Sayfa2!$D$1,
 IF(COUNTIF(Sayfa2!$E$2:$E$8, "*"&amp;D668&amp;"*")&gt;0, Sayfa2!$E$1, "Bulunamadı")))))</f>
        <v>ÇARŞAMBA</v>
      </c>
    </row>
    <row r="669" spans="1:5" hidden="1" x14ac:dyDescent="0.25">
      <c r="A669" t="s">
        <v>2265</v>
      </c>
      <c r="B669" t="s">
        <v>747</v>
      </c>
      <c r="C669" t="s">
        <v>2175</v>
      </c>
      <c r="D669" s="4" t="s">
        <v>3071</v>
      </c>
      <c r="E669" t="str">
        <f>IF(COUNTIF(Sayfa2!$A$2:$A$8,"*"&amp;D669&amp;"*")&gt;0, Sayfa2!$A$1,
 IF(COUNTIF(Sayfa2!$B$2:$B$8, "*"&amp;D669&amp;"*")&gt;0, Sayfa2!$B$1,
 IF(COUNTIF(Sayfa2!$C$2:$C$8, "*"&amp;D669&amp;"*")&gt;0, Sayfa2!$C$1,
 IF(COUNTIF(Sayfa2!$D$2:$D$8,"*"&amp;D669&amp;"*")&gt;0, Sayfa2!$D$1,
 IF(COUNTIF(Sayfa2!$E$2:$E$8, "*"&amp;D669&amp;"*")&gt;0, Sayfa2!$E$1, "Bulunamadı")))))</f>
        <v>PERŞEMBE</v>
      </c>
    </row>
    <row r="670" spans="1:5" hidden="1" x14ac:dyDescent="0.25">
      <c r="A670" t="s">
        <v>2266</v>
      </c>
      <c r="B670" t="s">
        <v>748</v>
      </c>
      <c r="C670" t="s">
        <v>2190</v>
      </c>
      <c r="D670" s="4" t="s">
        <v>3069</v>
      </c>
      <c r="E670" t="str">
        <f>IF(COUNTIF(Sayfa2!$A$2:$A$8,"*"&amp;D670&amp;"*")&gt;0, Sayfa2!$A$1,
 IF(COUNTIF(Sayfa2!$B$2:$B$8, "*"&amp;D670&amp;"*")&gt;0, Sayfa2!$B$1,
 IF(COUNTIF(Sayfa2!$C$2:$C$8, "*"&amp;D670&amp;"*")&gt;0, Sayfa2!$C$1,
 IF(COUNTIF(Sayfa2!$D$2:$D$8,"*"&amp;D670&amp;"*")&gt;0, Sayfa2!$D$1,
 IF(COUNTIF(Sayfa2!$E$2:$E$8, "*"&amp;D670&amp;"*")&gt;0, Sayfa2!$E$1, "Bulunamadı")))))</f>
        <v>SALI</v>
      </c>
    </row>
    <row r="671" spans="1:5" hidden="1" x14ac:dyDescent="0.25">
      <c r="A671" t="s">
        <v>2267</v>
      </c>
      <c r="B671" t="s">
        <v>749</v>
      </c>
      <c r="C671" t="s">
        <v>2173</v>
      </c>
      <c r="D671" s="4" t="s">
        <v>3067</v>
      </c>
      <c r="E671" t="str">
        <f>IF(COUNTIF(Sayfa2!$A$2:$A$8,"*"&amp;D671&amp;"*")&gt;0, Sayfa2!$A$1,
 IF(COUNTIF(Sayfa2!$B$2:$B$8, "*"&amp;D671&amp;"*")&gt;0, Sayfa2!$B$1,
 IF(COUNTIF(Sayfa2!$C$2:$C$8, "*"&amp;D671&amp;"*")&gt;0, Sayfa2!$C$1,
 IF(COUNTIF(Sayfa2!$D$2:$D$8,"*"&amp;D671&amp;"*")&gt;0, Sayfa2!$D$1,
 IF(COUNTIF(Sayfa2!$E$2:$E$8, "*"&amp;D671&amp;"*")&gt;0, Sayfa2!$E$1, "Bulunamadı")))))</f>
        <v>CUMA</v>
      </c>
    </row>
    <row r="672" spans="1:5" hidden="1" x14ac:dyDescent="0.25">
      <c r="A672" t="s">
        <v>2268</v>
      </c>
      <c r="B672" t="s">
        <v>750</v>
      </c>
      <c r="C672" t="s">
        <v>2175</v>
      </c>
      <c r="D672" s="4" t="s">
        <v>3071</v>
      </c>
      <c r="E672" t="str">
        <f>IF(COUNTIF(Sayfa2!$A$2:$A$8,"*"&amp;D672&amp;"*")&gt;0, Sayfa2!$A$1,
 IF(COUNTIF(Sayfa2!$B$2:$B$8, "*"&amp;D672&amp;"*")&gt;0, Sayfa2!$B$1,
 IF(COUNTIF(Sayfa2!$C$2:$C$8, "*"&amp;D672&amp;"*")&gt;0, Sayfa2!$C$1,
 IF(COUNTIF(Sayfa2!$D$2:$D$8,"*"&amp;D672&amp;"*")&gt;0, Sayfa2!$D$1,
 IF(COUNTIF(Sayfa2!$E$2:$E$8, "*"&amp;D672&amp;"*")&gt;0, Sayfa2!$E$1, "Bulunamadı")))))</f>
        <v>PERŞEMBE</v>
      </c>
    </row>
    <row r="673" spans="1:5" hidden="1" x14ac:dyDescent="0.25">
      <c r="A673" t="s">
        <v>2269</v>
      </c>
      <c r="B673" t="s">
        <v>751</v>
      </c>
      <c r="C673" t="s">
        <v>2270</v>
      </c>
      <c r="D673" s="4" t="s">
        <v>3068</v>
      </c>
      <c r="E673" t="str">
        <f>IF(COUNTIF(Sayfa2!$A$2:$A$8,"*"&amp;D673&amp;"*")&gt;0, Sayfa2!$A$1,
 IF(COUNTIF(Sayfa2!$B$2:$B$8, "*"&amp;D673&amp;"*")&gt;0, Sayfa2!$B$1,
 IF(COUNTIF(Sayfa2!$C$2:$C$8, "*"&amp;D673&amp;"*")&gt;0, Sayfa2!$C$1,
 IF(COUNTIF(Sayfa2!$D$2:$D$8,"*"&amp;D673&amp;"*")&gt;0, Sayfa2!$D$1,
 IF(COUNTIF(Sayfa2!$E$2:$E$8, "*"&amp;D673&amp;"*")&gt;0, Sayfa2!$E$1, "Bulunamadı")))))</f>
        <v>PAZARTESİ</v>
      </c>
    </row>
    <row r="674" spans="1:5" hidden="1" x14ac:dyDescent="0.25">
      <c r="A674" t="s">
        <v>2271</v>
      </c>
      <c r="B674" t="s">
        <v>752</v>
      </c>
      <c r="C674" t="s">
        <v>2272</v>
      </c>
      <c r="D674" s="4" t="s">
        <v>3069</v>
      </c>
      <c r="E674" t="str">
        <f>IF(COUNTIF(Sayfa2!$A$2:$A$8,"*"&amp;D674&amp;"*")&gt;0, Sayfa2!$A$1,
 IF(COUNTIF(Sayfa2!$B$2:$B$8, "*"&amp;D674&amp;"*")&gt;0, Sayfa2!$B$1,
 IF(COUNTIF(Sayfa2!$C$2:$C$8, "*"&amp;D674&amp;"*")&gt;0, Sayfa2!$C$1,
 IF(COUNTIF(Sayfa2!$D$2:$D$8,"*"&amp;D674&amp;"*")&gt;0, Sayfa2!$D$1,
 IF(COUNTIF(Sayfa2!$E$2:$E$8, "*"&amp;D674&amp;"*")&gt;0, Sayfa2!$E$1, "Bulunamadı")))))</f>
        <v>SALI</v>
      </c>
    </row>
    <row r="675" spans="1:5" hidden="1" x14ac:dyDescent="0.25">
      <c r="A675" t="s">
        <v>2273</v>
      </c>
      <c r="B675" t="s">
        <v>753</v>
      </c>
      <c r="C675" t="s">
        <v>2274</v>
      </c>
      <c r="D675" s="4" t="s">
        <v>3067</v>
      </c>
      <c r="E675" t="str">
        <f>IF(COUNTIF(Sayfa2!$A$2:$A$8,"*"&amp;D675&amp;"*")&gt;0, Sayfa2!$A$1,
 IF(COUNTIF(Sayfa2!$B$2:$B$8, "*"&amp;D675&amp;"*")&gt;0, Sayfa2!$B$1,
 IF(COUNTIF(Sayfa2!$C$2:$C$8, "*"&amp;D675&amp;"*")&gt;0, Sayfa2!$C$1,
 IF(COUNTIF(Sayfa2!$D$2:$D$8,"*"&amp;D675&amp;"*")&gt;0, Sayfa2!$D$1,
 IF(COUNTIF(Sayfa2!$E$2:$E$8, "*"&amp;D675&amp;"*")&gt;0, Sayfa2!$E$1, "Bulunamadı")))))</f>
        <v>CUMA</v>
      </c>
    </row>
    <row r="676" spans="1:5" hidden="1" x14ac:dyDescent="0.25">
      <c r="A676" t="s">
        <v>2275</v>
      </c>
      <c r="B676" t="s">
        <v>754</v>
      </c>
      <c r="C676" t="s">
        <v>2274</v>
      </c>
      <c r="D676" s="4" t="s">
        <v>3067</v>
      </c>
      <c r="E676" t="str">
        <f>IF(COUNTIF(Sayfa2!$A$2:$A$8,"*"&amp;D676&amp;"*")&gt;0, Sayfa2!$A$1,
 IF(COUNTIF(Sayfa2!$B$2:$B$8, "*"&amp;D676&amp;"*")&gt;0, Sayfa2!$B$1,
 IF(COUNTIF(Sayfa2!$C$2:$C$8, "*"&amp;D676&amp;"*")&gt;0, Sayfa2!$C$1,
 IF(COUNTIF(Sayfa2!$D$2:$D$8,"*"&amp;D676&amp;"*")&gt;0, Sayfa2!$D$1,
 IF(COUNTIF(Sayfa2!$E$2:$E$8, "*"&amp;D676&amp;"*")&gt;0, Sayfa2!$E$1, "Bulunamadı")))))</f>
        <v>CUMA</v>
      </c>
    </row>
    <row r="677" spans="1:5" hidden="1" x14ac:dyDescent="0.25">
      <c r="A677" t="s">
        <v>2276</v>
      </c>
      <c r="B677" t="s">
        <v>755</v>
      </c>
      <c r="C677" t="s">
        <v>2277</v>
      </c>
      <c r="D677" s="4" t="s">
        <v>3070</v>
      </c>
      <c r="E677" t="str">
        <f>IF(COUNTIF(Sayfa2!$A$2:$A$8,"*"&amp;D677&amp;"*")&gt;0, Sayfa2!$A$1,
 IF(COUNTIF(Sayfa2!$B$2:$B$8, "*"&amp;D677&amp;"*")&gt;0, Sayfa2!$B$1,
 IF(COUNTIF(Sayfa2!$C$2:$C$8, "*"&amp;D677&amp;"*")&gt;0, Sayfa2!$C$1,
 IF(COUNTIF(Sayfa2!$D$2:$D$8,"*"&amp;D677&amp;"*")&gt;0, Sayfa2!$D$1,
 IF(COUNTIF(Sayfa2!$E$2:$E$8, "*"&amp;D677&amp;"*")&gt;0, Sayfa2!$E$1, "Bulunamadı")))))</f>
        <v>ÇARŞAMBA</v>
      </c>
    </row>
    <row r="678" spans="1:5" hidden="1" x14ac:dyDescent="0.25">
      <c r="A678" t="s">
        <v>2278</v>
      </c>
      <c r="B678" t="s">
        <v>756</v>
      </c>
      <c r="C678" t="s">
        <v>2270</v>
      </c>
      <c r="D678" s="4" t="s">
        <v>3068</v>
      </c>
      <c r="E678" t="str">
        <f>IF(COUNTIF(Sayfa2!$A$2:$A$8,"*"&amp;D678&amp;"*")&gt;0, Sayfa2!$A$1,
 IF(COUNTIF(Sayfa2!$B$2:$B$8, "*"&amp;D678&amp;"*")&gt;0, Sayfa2!$B$1,
 IF(COUNTIF(Sayfa2!$C$2:$C$8, "*"&amp;D678&amp;"*")&gt;0, Sayfa2!$C$1,
 IF(COUNTIF(Sayfa2!$D$2:$D$8,"*"&amp;D678&amp;"*")&gt;0, Sayfa2!$D$1,
 IF(COUNTIF(Sayfa2!$E$2:$E$8, "*"&amp;D678&amp;"*")&gt;0, Sayfa2!$E$1, "Bulunamadı")))))</f>
        <v>PAZARTESİ</v>
      </c>
    </row>
    <row r="679" spans="1:5" hidden="1" x14ac:dyDescent="0.25">
      <c r="A679" t="s">
        <v>2279</v>
      </c>
      <c r="B679" t="s">
        <v>757</v>
      </c>
      <c r="C679" t="s">
        <v>2274</v>
      </c>
      <c r="D679" s="4" t="s">
        <v>3067</v>
      </c>
      <c r="E679" t="str">
        <f>IF(COUNTIF(Sayfa2!$A$2:$A$8,"*"&amp;D679&amp;"*")&gt;0, Sayfa2!$A$1,
 IF(COUNTIF(Sayfa2!$B$2:$B$8, "*"&amp;D679&amp;"*")&gt;0, Sayfa2!$B$1,
 IF(COUNTIF(Sayfa2!$C$2:$C$8, "*"&amp;D679&amp;"*")&gt;0, Sayfa2!$C$1,
 IF(COUNTIF(Sayfa2!$D$2:$D$8,"*"&amp;D679&amp;"*")&gt;0, Sayfa2!$D$1,
 IF(COUNTIF(Sayfa2!$E$2:$E$8, "*"&amp;D679&amp;"*")&gt;0, Sayfa2!$E$1, "Bulunamadı")))))</f>
        <v>CUMA</v>
      </c>
    </row>
    <row r="680" spans="1:5" hidden="1" x14ac:dyDescent="0.25">
      <c r="A680" t="s">
        <v>2280</v>
      </c>
      <c r="B680" t="s">
        <v>758</v>
      </c>
      <c r="C680" t="s">
        <v>2272</v>
      </c>
      <c r="D680" s="4" t="s">
        <v>3069</v>
      </c>
      <c r="E680" t="str">
        <f>IF(COUNTIF(Sayfa2!$A$2:$A$8,"*"&amp;D680&amp;"*")&gt;0, Sayfa2!$A$1,
 IF(COUNTIF(Sayfa2!$B$2:$B$8, "*"&amp;D680&amp;"*")&gt;0, Sayfa2!$B$1,
 IF(COUNTIF(Sayfa2!$C$2:$C$8, "*"&amp;D680&amp;"*")&gt;0, Sayfa2!$C$1,
 IF(COUNTIF(Sayfa2!$D$2:$D$8,"*"&amp;D680&amp;"*")&gt;0, Sayfa2!$D$1,
 IF(COUNTIF(Sayfa2!$E$2:$E$8, "*"&amp;D680&amp;"*")&gt;0, Sayfa2!$E$1, "Bulunamadı")))))</f>
        <v>SALI</v>
      </c>
    </row>
    <row r="681" spans="1:5" hidden="1" x14ac:dyDescent="0.25">
      <c r="A681" t="s">
        <v>2281</v>
      </c>
      <c r="B681" t="s">
        <v>759</v>
      </c>
      <c r="C681" t="s">
        <v>2270</v>
      </c>
      <c r="D681" s="4" t="s">
        <v>3068</v>
      </c>
      <c r="E681" t="str">
        <f>IF(COUNTIF(Sayfa2!$A$2:$A$8,"*"&amp;D681&amp;"*")&gt;0, Sayfa2!$A$1,
 IF(COUNTIF(Sayfa2!$B$2:$B$8, "*"&amp;D681&amp;"*")&gt;0, Sayfa2!$B$1,
 IF(COUNTIF(Sayfa2!$C$2:$C$8, "*"&amp;D681&amp;"*")&gt;0, Sayfa2!$C$1,
 IF(COUNTIF(Sayfa2!$D$2:$D$8,"*"&amp;D681&amp;"*")&gt;0, Sayfa2!$D$1,
 IF(COUNTIF(Sayfa2!$E$2:$E$8, "*"&amp;D681&amp;"*")&gt;0, Sayfa2!$E$1, "Bulunamadı")))))</f>
        <v>PAZARTESİ</v>
      </c>
    </row>
    <row r="682" spans="1:5" hidden="1" x14ac:dyDescent="0.25">
      <c r="A682" t="s">
        <v>2282</v>
      </c>
      <c r="B682" t="s">
        <v>760</v>
      </c>
      <c r="C682" t="s">
        <v>2274</v>
      </c>
      <c r="D682" s="4" t="s">
        <v>3067</v>
      </c>
      <c r="E682" t="str">
        <f>IF(COUNTIF(Sayfa2!$A$2:$A$8,"*"&amp;D682&amp;"*")&gt;0, Sayfa2!$A$1,
 IF(COUNTIF(Sayfa2!$B$2:$B$8, "*"&amp;D682&amp;"*")&gt;0, Sayfa2!$B$1,
 IF(COUNTIF(Sayfa2!$C$2:$C$8, "*"&amp;D682&amp;"*")&gt;0, Sayfa2!$C$1,
 IF(COUNTIF(Sayfa2!$D$2:$D$8,"*"&amp;D682&amp;"*")&gt;0, Sayfa2!$D$1,
 IF(COUNTIF(Sayfa2!$E$2:$E$8, "*"&amp;D682&amp;"*")&gt;0, Sayfa2!$E$1, "Bulunamadı")))))</f>
        <v>CUMA</v>
      </c>
    </row>
    <row r="683" spans="1:5" hidden="1" x14ac:dyDescent="0.25">
      <c r="A683" t="s">
        <v>2283</v>
      </c>
      <c r="B683" t="s">
        <v>761</v>
      </c>
      <c r="C683" t="s">
        <v>2270</v>
      </c>
      <c r="D683" s="4" t="s">
        <v>3068</v>
      </c>
      <c r="E683" t="str">
        <f>IF(COUNTIF(Sayfa2!$A$2:$A$8,"*"&amp;D683&amp;"*")&gt;0, Sayfa2!$A$1,
 IF(COUNTIF(Sayfa2!$B$2:$B$8, "*"&amp;D683&amp;"*")&gt;0, Sayfa2!$B$1,
 IF(COUNTIF(Sayfa2!$C$2:$C$8, "*"&amp;D683&amp;"*")&gt;0, Sayfa2!$C$1,
 IF(COUNTIF(Sayfa2!$D$2:$D$8,"*"&amp;D683&amp;"*")&gt;0, Sayfa2!$D$1,
 IF(COUNTIF(Sayfa2!$E$2:$E$8, "*"&amp;D683&amp;"*")&gt;0, Sayfa2!$E$1, "Bulunamadı")))))</f>
        <v>PAZARTESİ</v>
      </c>
    </row>
    <row r="684" spans="1:5" hidden="1" x14ac:dyDescent="0.25">
      <c r="A684" t="s">
        <v>2284</v>
      </c>
      <c r="B684" t="s">
        <v>762</v>
      </c>
      <c r="C684" t="s">
        <v>2285</v>
      </c>
      <c r="D684" s="4" t="s">
        <v>3071</v>
      </c>
      <c r="E684" t="str">
        <f>IF(COUNTIF(Sayfa2!$A$2:$A$8,"*"&amp;D684&amp;"*")&gt;0, Sayfa2!$A$1,
 IF(COUNTIF(Sayfa2!$B$2:$B$8, "*"&amp;D684&amp;"*")&gt;0, Sayfa2!$B$1,
 IF(COUNTIF(Sayfa2!$C$2:$C$8, "*"&amp;D684&amp;"*")&gt;0, Sayfa2!$C$1,
 IF(COUNTIF(Sayfa2!$D$2:$D$8,"*"&amp;D684&amp;"*")&gt;0, Sayfa2!$D$1,
 IF(COUNTIF(Sayfa2!$E$2:$E$8, "*"&amp;D684&amp;"*")&gt;0, Sayfa2!$E$1, "Bulunamadı")))))</f>
        <v>PERŞEMBE</v>
      </c>
    </row>
    <row r="685" spans="1:5" hidden="1" x14ac:dyDescent="0.25">
      <c r="A685" t="s">
        <v>2286</v>
      </c>
      <c r="B685" t="s">
        <v>763</v>
      </c>
      <c r="C685" t="s">
        <v>2285</v>
      </c>
      <c r="D685" s="4" t="s">
        <v>3071</v>
      </c>
      <c r="E685" t="str">
        <f>IF(COUNTIF(Sayfa2!$A$2:$A$8,"*"&amp;D685&amp;"*")&gt;0, Sayfa2!$A$1,
 IF(COUNTIF(Sayfa2!$B$2:$B$8, "*"&amp;D685&amp;"*")&gt;0, Sayfa2!$B$1,
 IF(COUNTIF(Sayfa2!$C$2:$C$8, "*"&amp;D685&amp;"*")&gt;0, Sayfa2!$C$1,
 IF(COUNTIF(Sayfa2!$D$2:$D$8,"*"&amp;D685&amp;"*")&gt;0, Sayfa2!$D$1,
 IF(COUNTIF(Sayfa2!$E$2:$E$8, "*"&amp;D685&amp;"*")&gt;0, Sayfa2!$E$1, "Bulunamadı")))))</f>
        <v>PERŞEMBE</v>
      </c>
    </row>
    <row r="686" spans="1:5" hidden="1" x14ac:dyDescent="0.25">
      <c r="A686" t="s">
        <v>2287</v>
      </c>
      <c r="B686" t="s">
        <v>764</v>
      </c>
      <c r="C686" t="s">
        <v>2285</v>
      </c>
      <c r="D686" s="4" t="s">
        <v>3071</v>
      </c>
      <c r="E686" t="str">
        <f>IF(COUNTIF(Sayfa2!$A$2:$A$8,"*"&amp;D686&amp;"*")&gt;0, Sayfa2!$A$1,
 IF(COUNTIF(Sayfa2!$B$2:$B$8, "*"&amp;D686&amp;"*")&gt;0, Sayfa2!$B$1,
 IF(COUNTIF(Sayfa2!$C$2:$C$8, "*"&amp;D686&amp;"*")&gt;0, Sayfa2!$C$1,
 IF(COUNTIF(Sayfa2!$D$2:$D$8,"*"&amp;D686&amp;"*")&gt;0, Sayfa2!$D$1,
 IF(COUNTIF(Sayfa2!$E$2:$E$8, "*"&amp;D686&amp;"*")&gt;0, Sayfa2!$E$1, "Bulunamadı")))))</f>
        <v>PERŞEMBE</v>
      </c>
    </row>
    <row r="687" spans="1:5" hidden="1" x14ac:dyDescent="0.25">
      <c r="A687" t="s">
        <v>2288</v>
      </c>
      <c r="B687" t="s">
        <v>765</v>
      </c>
      <c r="C687" t="s">
        <v>2272</v>
      </c>
      <c r="D687" s="4" t="s">
        <v>3069</v>
      </c>
      <c r="E687" t="str">
        <f>IF(COUNTIF(Sayfa2!$A$2:$A$8,"*"&amp;D687&amp;"*")&gt;0, Sayfa2!$A$1,
 IF(COUNTIF(Sayfa2!$B$2:$B$8, "*"&amp;D687&amp;"*")&gt;0, Sayfa2!$B$1,
 IF(COUNTIF(Sayfa2!$C$2:$C$8, "*"&amp;D687&amp;"*")&gt;0, Sayfa2!$C$1,
 IF(COUNTIF(Sayfa2!$D$2:$D$8,"*"&amp;D687&amp;"*")&gt;0, Sayfa2!$D$1,
 IF(COUNTIF(Sayfa2!$E$2:$E$8, "*"&amp;D687&amp;"*")&gt;0, Sayfa2!$E$1, "Bulunamadı")))))</f>
        <v>SALI</v>
      </c>
    </row>
    <row r="688" spans="1:5" hidden="1" x14ac:dyDescent="0.25">
      <c r="A688" t="s">
        <v>2289</v>
      </c>
      <c r="B688" t="s">
        <v>766</v>
      </c>
      <c r="C688" t="s">
        <v>2277</v>
      </c>
      <c r="D688" s="4" t="s">
        <v>3070</v>
      </c>
      <c r="E688" t="str">
        <f>IF(COUNTIF(Sayfa2!$A$2:$A$8,"*"&amp;D688&amp;"*")&gt;0, Sayfa2!$A$1,
 IF(COUNTIF(Sayfa2!$B$2:$B$8, "*"&amp;D688&amp;"*")&gt;0, Sayfa2!$B$1,
 IF(COUNTIF(Sayfa2!$C$2:$C$8, "*"&amp;D688&amp;"*")&gt;0, Sayfa2!$C$1,
 IF(COUNTIF(Sayfa2!$D$2:$D$8,"*"&amp;D688&amp;"*")&gt;0, Sayfa2!$D$1,
 IF(COUNTIF(Sayfa2!$E$2:$E$8, "*"&amp;D688&amp;"*")&gt;0, Sayfa2!$E$1, "Bulunamadı")))))</f>
        <v>ÇARŞAMBA</v>
      </c>
    </row>
    <row r="689" spans="1:5" hidden="1" x14ac:dyDescent="0.25">
      <c r="A689" t="s">
        <v>2290</v>
      </c>
      <c r="B689" t="s">
        <v>767</v>
      </c>
      <c r="C689" t="s">
        <v>2277</v>
      </c>
      <c r="D689" s="4" t="s">
        <v>3070</v>
      </c>
      <c r="E689" t="str">
        <f>IF(COUNTIF(Sayfa2!$A$2:$A$8,"*"&amp;D689&amp;"*")&gt;0, Sayfa2!$A$1,
 IF(COUNTIF(Sayfa2!$B$2:$B$8, "*"&amp;D689&amp;"*")&gt;0, Sayfa2!$B$1,
 IF(COUNTIF(Sayfa2!$C$2:$C$8, "*"&amp;D689&amp;"*")&gt;0, Sayfa2!$C$1,
 IF(COUNTIF(Sayfa2!$D$2:$D$8,"*"&amp;D689&amp;"*")&gt;0, Sayfa2!$D$1,
 IF(COUNTIF(Sayfa2!$E$2:$E$8, "*"&amp;D689&amp;"*")&gt;0, Sayfa2!$E$1, "Bulunamadı")))))</f>
        <v>ÇARŞAMBA</v>
      </c>
    </row>
    <row r="690" spans="1:5" hidden="1" x14ac:dyDescent="0.25">
      <c r="A690" t="s">
        <v>2291</v>
      </c>
      <c r="B690" t="s">
        <v>768</v>
      </c>
      <c r="C690" t="s">
        <v>2270</v>
      </c>
      <c r="D690" s="4" t="s">
        <v>3068</v>
      </c>
      <c r="E690" t="str">
        <f>IF(COUNTIF(Sayfa2!$A$2:$A$8,"*"&amp;D690&amp;"*")&gt;0, Sayfa2!$A$1,
 IF(COUNTIF(Sayfa2!$B$2:$B$8, "*"&amp;D690&amp;"*")&gt;0, Sayfa2!$B$1,
 IF(COUNTIF(Sayfa2!$C$2:$C$8, "*"&amp;D690&amp;"*")&gt;0, Sayfa2!$C$1,
 IF(COUNTIF(Sayfa2!$D$2:$D$8,"*"&amp;D690&amp;"*")&gt;0, Sayfa2!$D$1,
 IF(COUNTIF(Sayfa2!$E$2:$E$8, "*"&amp;D690&amp;"*")&gt;0, Sayfa2!$E$1, "Bulunamadı")))))</f>
        <v>PAZARTESİ</v>
      </c>
    </row>
    <row r="691" spans="1:5" hidden="1" x14ac:dyDescent="0.25">
      <c r="A691" t="s">
        <v>2292</v>
      </c>
      <c r="B691" t="s">
        <v>769</v>
      </c>
      <c r="C691" t="s">
        <v>2277</v>
      </c>
      <c r="D691" s="4" t="s">
        <v>3070</v>
      </c>
      <c r="E691" t="str">
        <f>IF(COUNTIF(Sayfa2!$A$2:$A$8,"*"&amp;D691&amp;"*")&gt;0, Sayfa2!$A$1,
 IF(COUNTIF(Sayfa2!$B$2:$B$8, "*"&amp;D691&amp;"*")&gt;0, Sayfa2!$B$1,
 IF(COUNTIF(Sayfa2!$C$2:$C$8, "*"&amp;D691&amp;"*")&gt;0, Sayfa2!$C$1,
 IF(COUNTIF(Sayfa2!$D$2:$D$8,"*"&amp;D691&amp;"*")&gt;0, Sayfa2!$D$1,
 IF(COUNTIF(Sayfa2!$E$2:$E$8, "*"&amp;D691&amp;"*")&gt;0, Sayfa2!$E$1, "Bulunamadı")))))</f>
        <v>ÇARŞAMBA</v>
      </c>
    </row>
    <row r="692" spans="1:5" hidden="1" x14ac:dyDescent="0.25">
      <c r="A692" t="s">
        <v>2293</v>
      </c>
      <c r="B692" t="s">
        <v>770</v>
      </c>
      <c r="C692" t="s">
        <v>2285</v>
      </c>
      <c r="D692" s="4" t="s">
        <v>3071</v>
      </c>
      <c r="E692" t="str">
        <f>IF(COUNTIF(Sayfa2!$A$2:$A$8,"*"&amp;D692&amp;"*")&gt;0, Sayfa2!$A$1,
 IF(COUNTIF(Sayfa2!$B$2:$B$8, "*"&amp;D692&amp;"*")&gt;0, Sayfa2!$B$1,
 IF(COUNTIF(Sayfa2!$C$2:$C$8, "*"&amp;D692&amp;"*")&gt;0, Sayfa2!$C$1,
 IF(COUNTIF(Sayfa2!$D$2:$D$8,"*"&amp;D692&amp;"*")&gt;0, Sayfa2!$D$1,
 IF(COUNTIF(Sayfa2!$E$2:$E$8, "*"&amp;D692&amp;"*")&gt;0, Sayfa2!$E$1, "Bulunamadı")))))</f>
        <v>PERŞEMBE</v>
      </c>
    </row>
    <row r="693" spans="1:5" hidden="1" x14ac:dyDescent="0.25">
      <c r="A693" t="s">
        <v>2294</v>
      </c>
      <c r="B693" t="s">
        <v>771</v>
      </c>
      <c r="C693" t="s">
        <v>2285</v>
      </c>
      <c r="D693" s="4" t="s">
        <v>3071</v>
      </c>
      <c r="E693" t="str">
        <f>IF(COUNTIF(Sayfa2!$A$2:$A$8,"*"&amp;D693&amp;"*")&gt;0, Sayfa2!$A$1,
 IF(COUNTIF(Sayfa2!$B$2:$B$8, "*"&amp;D693&amp;"*")&gt;0, Sayfa2!$B$1,
 IF(COUNTIF(Sayfa2!$C$2:$C$8, "*"&amp;D693&amp;"*")&gt;0, Sayfa2!$C$1,
 IF(COUNTIF(Sayfa2!$D$2:$D$8,"*"&amp;D693&amp;"*")&gt;0, Sayfa2!$D$1,
 IF(COUNTIF(Sayfa2!$E$2:$E$8, "*"&amp;D693&amp;"*")&gt;0, Sayfa2!$E$1, "Bulunamadı")))))</f>
        <v>PERŞEMBE</v>
      </c>
    </row>
    <row r="694" spans="1:5" hidden="1" x14ac:dyDescent="0.25">
      <c r="A694" t="s">
        <v>2295</v>
      </c>
      <c r="B694" t="s">
        <v>772</v>
      </c>
      <c r="C694" t="s">
        <v>2272</v>
      </c>
      <c r="D694" s="4" t="s">
        <v>3069</v>
      </c>
      <c r="E694" t="str">
        <f>IF(COUNTIF(Sayfa2!$A$2:$A$8,"*"&amp;D694&amp;"*")&gt;0, Sayfa2!$A$1,
 IF(COUNTIF(Sayfa2!$B$2:$B$8, "*"&amp;D694&amp;"*")&gt;0, Sayfa2!$B$1,
 IF(COUNTIF(Sayfa2!$C$2:$C$8, "*"&amp;D694&amp;"*")&gt;0, Sayfa2!$C$1,
 IF(COUNTIF(Sayfa2!$D$2:$D$8,"*"&amp;D694&amp;"*")&gt;0, Sayfa2!$D$1,
 IF(COUNTIF(Sayfa2!$E$2:$E$8, "*"&amp;D694&amp;"*")&gt;0, Sayfa2!$E$1, "Bulunamadı")))))</f>
        <v>SALI</v>
      </c>
    </row>
    <row r="695" spans="1:5" hidden="1" x14ac:dyDescent="0.25">
      <c r="A695" t="s">
        <v>2296</v>
      </c>
      <c r="B695" t="s">
        <v>773</v>
      </c>
      <c r="C695" t="s">
        <v>2297</v>
      </c>
      <c r="D695" s="4" t="s">
        <v>3068</v>
      </c>
      <c r="E695" t="str">
        <f>IF(COUNTIF(Sayfa2!$A$2:$A$8,"*"&amp;D695&amp;"*")&gt;0, Sayfa2!$A$1,
 IF(COUNTIF(Sayfa2!$B$2:$B$8, "*"&amp;D695&amp;"*")&gt;0, Sayfa2!$B$1,
 IF(COUNTIF(Sayfa2!$C$2:$C$8, "*"&amp;D695&amp;"*")&gt;0, Sayfa2!$C$1,
 IF(COUNTIF(Sayfa2!$D$2:$D$8,"*"&amp;D695&amp;"*")&gt;0, Sayfa2!$D$1,
 IF(COUNTIF(Sayfa2!$E$2:$E$8, "*"&amp;D695&amp;"*")&gt;0, Sayfa2!$E$1, "Bulunamadı")))))</f>
        <v>PAZARTESİ</v>
      </c>
    </row>
    <row r="696" spans="1:5" hidden="1" x14ac:dyDescent="0.25">
      <c r="A696" t="s">
        <v>2298</v>
      </c>
      <c r="B696" t="s">
        <v>774</v>
      </c>
      <c r="C696" t="s">
        <v>2299</v>
      </c>
      <c r="D696" s="4" t="s">
        <v>3069</v>
      </c>
      <c r="E696" t="str">
        <f>IF(COUNTIF(Sayfa2!$A$2:$A$8,"*"&amp;D696&amp;"*")&gt;0, Sayfa2!$A$1,
 IF(COUNTIF(Sayfa2!$B$2:$B$8, "*"&amp;D696&amp;"*")&gt;0, Sayfa2!$B$1,
 IF(COUNTIF(Sayfa2!$C$2:$C$8, "*"&amp;D696&amp;"*")&gt;0, Sayfa2!$C$1,
 IF(COUNTIF(Sayfa2!$D$2:$D$8,"*"&amp;D696&amp;"*")&gt;0, Sayfa2!$D$1,
 IF(COUNTIF(Sayfa2!$E$2:$E$8, "*"&amp;D696&amp;"*")&gt;0, Sayfa2!$E$1, "Bulunamadı")))))</f>
        <v>SALI</v>
      </c>
    </row>
    <row r="697" spans="1:5" hidden="1" x14ac:dyDescent="0.25">
      <c r="A697" t="s">
        <v>2300</v>
      </c>
      <c r="B697" t="s">
        <v>775</v>
      </c>
      <c r="C697" t="s">
        <v>2299</v>
      </c>
      <c r="D697" s="4" t="s">
        <v>3069</v>
      </c>
      <c r="E697" t="str">
        <f>IF(COUNTIF(Sayfa2!$A$2:$A$8,"*"&amp;D697&amp;"*")&gt;0, Sayfa2!$A$1,
 IF(COUNTIF(Sayfa2!$B$2:$B$8, "*"&amp;D697&amp;"*")&gt;0, Sayfa2!$B$1,
 IF(COUNTIF(Sayfa2!$C$2:$C$8, "*"&amp;D697&amp;"*")&gt;0, Sayfa2!$C$1,
 IF(COUNTIF(Sayfa2!$D$2:$D$8,"*"&amp;D697&amp;"*")&gt;0, Sayfa2!$D$1,
 IF(COUNTIF(Sayfa2!$E$2:$E$8, "*"&amp;D697&amp;"*")&gt;0, Sayfa2!$E$1, "Bulunamadı")))))</f>
        <v>SALI</v>
      </c>
    </row>
    <row r="698" spans="1:5" hidden="1" x14ac:dyDescent="0.25">
      <c r="A698" t="s">
        <v>2301</v>
      </c>
      <c r="B698" t="s">
        <v>776</v>
      </c>
      <c r="C698" t="s">
        <v>2302</v>
      </c>
      <c r="D698" s="4" t="s">
        <v>3070</v>
      </c>
      <c r="E698" t="str">
        <f>IF(COUNTIF(Sayfa2!$A$2:$A$8,"*"&amp;D698&amp;"*")&gt;0, Sayfa2!$A$1,
 IF(COUNTIF(Sayfa2!$B$2:$B$8, "*"&amp;D698&amp;"*")&gt;0, Sayfa2!$B$1,
 IF(COUNTIF(Sayfa2!$C$2:$C$8, "*"&amp;D698&amp;"*")&gt;0, Sayfa2!$C$1,
 IF(COUNTIF(Sayfa2!$D$2:$D$8,"*"&amp;D698&amp;"*")&gt;0, Sayfa2!$D$1,
 IF(COUNTIF(Sayfa2!$E$2:$E$8, "*"&amp;D698&amp;"*")&gt;0, Sayfa2!$E$1, "Bulunamadı")))))</f>
        <v>ÇARŞAMBA</v>
      </c>
    </row>
    <row r="699" spans="1:5" hidden="1" x14ac:dyDescent="0.25">
      <c r="A699" t="s">
        <v>2303</v>
      </c>
      <c r="B699" t="s">
        <v>777</v>
      </c>
      <c r="C699" t="s">
        <v>2304</v>
      </c>
      <c r="D699" s="4" t="s">
        <v>3071</v>
      </c>
      <c r="E699" t="str">
        <f>IF(COUNTIF(Sayfa2!$A$2:$A$8,"*"&amp;D699&amp;"*")&gt;0, Sayfa2!$A$1,
 IF(COUNTIF(Sayfa2!$B$2:$B$8, "*"&amp;D699&amp;"*")&gt;0, Sayfa2!$B$1,
 IF(COUNTIF(Sayfa2!$C$2:$C$8, "*"&amp;D699&amp;"*")&gt;0, Sayfa2!$C$1,
 IF(COUNTIF(Sayfa2!$D$2:$D$8,"*"&amp;D699&amp;"*")&gt;0, Sayfa2!$D$1,
 IF(COUNTIF(Sayfa2!$E$2:$E$8, "*"&amp;D699&amp;"*")&gt;0, Sayfa2!$E$1, "Bulunamadı")))))</f>
        <v>PERŞEMBE</v>
      </c>
    </row>
    <row r="700" spans="1:5" hidden="1" x14ac:dyDescent="0.25">
      <c r="A700" t="s">
        <v>2305</v>
      </c>
      <c r="B700" t="s">
        <v>778</v>
      </c>
      <c r="C700" t="s">
        <v>2304</v>
      </c>
      <c r="D700" s="4" t="s">
        <v>3071</v>
      </c>
      <c r="E700" t="str">
        <f>IF(COUNTIF(Sayfa2!$A$2:$A$8,"*"&amp;D700&amp;"*")&gt;0, Sayfa2!$A$1,
 IF(COUNTIF(Sayfa2!$B$2:$B$8, "*"&amp;D700&amp;"*")&gt;0, Sayfa2!$B$1,
 IF(COUNTIF(Sayfa2!$C$2:$C$8, "*"&amp;D700&amp;"*")&gt;0, Sayfa2!$C$1,
 IF(COUNTIF(Sayfa2!$D$2:$D$8,"*"&amp;D700&amp;"*")&gt;0, Sayfa2!$D$1,
 IF(COUNTIF(Sayfa2!$E$2:$E$8, "*"&amp;D700&amp;"*")&gt;0, Sayfa2!$E$1, "Bulunamadı")))))</f>
        <v>PERŞEMBE</v>
      </c>
    </row>
    <row r="701" spans="1:5" hidden="1" x14ac:dyDescent="0.25">
      <c r="A701" t="s">
        <v>2306</v>
      </c>
      <c r="B701" t="s">
        <v>779</v>
      </c>
      <c r="C701" t="s">
        <v>2297</v>
      </c>
      <c r="D701" s="4" t="s">
        <v>3068</v>
      </c>
      <c r="E701" t="str">
        <f>IF(COUNTIF(Sayfa2!$A$2:$A$8,"*"&amp;D701&amp;"*")&gt;0, Sayfa2!$A$1,
 IF(COUNTIF(Sayfa2!$B$2:$B$8, "*"&amp;D701&amp;"*")&gt;0, Sayfa2!$B$1,
 IF(COUNTIF(Sayfa2!$C$2:$C$8, "*"&amp;D701&amp;"*")&gt;0, Sayfa2!$C$1,
 IF(COUNTIF(Sayfa2!$D$2:$D$8,"*"&amp;D701&amp;"*")&gt;0, Sayfa2!$D$1,
 IF(COUNTIF(Sayfa2!$E$2:$E$8, "*"&amp;D701&amp;"*")&gt;0, Sayfa2!$E$1, "Bulunamadı")))))</f>
        <v>PAZARTESİ</v>
      </c>
    </row>
    <row r="702" spans="1:5" hidden="1" x14ac:dyDescent="0.25">
      <c r="A702" t="s">
        <v>2307</v>
      </c>
      <c r="B702" t="s">
        <v>780</v>
      </c>
      <c r="C702" t="s">
        <v>2302</v>
      </c>
      <c r="D702" s="4" t="s">
        <v>3070</v>
      </c>
      <c r="E702" t="str">
        <f>IF(COUNTIF(Sayfa2!$A$2:$A$8,"*"&amp;D702&amp;"*")&gt;0, Sayfa2!$A$1,
 IF(COUNTIF(Sayfa2!$B$2:$B$8, "*"&amp;D702&amp;"*")&gt;0, Sayfa2!$B$1,
 IF(COUNTIF(Sayfa2!$C$2:$C$8, "*"&amp;D702&amp;"*")&gt;0, Sayfa2!$C$1,
 IF(COUNTIF(Sayfa2!$D$2:$D$8,"*"&amp;D702&amp;"*")&gt;0, Sayfa2!$D$1,
 IF(COUNTIF(Sayfa2!$E$2:$E$8, "*"&amp;D702&amp;"*")&gt;0, Sayfa2!$E$1, "Bulunamadı")))))</f>
        <v>ÇARŞAMBA</v>
      </c>
    </row>
    <row r="703" spans="1:5" hidden="1" x14ac:dyDescent="0.25">
      <c r="A703" t="s">
        <v>2308</v>
      </c>
      <c r="B703" t="s">
        <v>781</v>
      </c>
      <c r="C703" t="s">
        <v>2297</v>
      </c>
      <c r="D703" s="4" t="s">
        <v>3068</v>
      </c>
      <c r="E703" t="str">
        <f>IF(COUNTIF(Sayfa2!$A$2:$A$8,"*"&amp;D703&amp;"*")&gt;0, Sayfa2!$A$1,
 IF(COUNTIF(Sayfa2!$B$2:$B$8, "*"&amp;D703&amp;"*")&gt;0, Sayfa2!$B$1,
 IF(COUNTIF(Sayfa2!$C$2:$C$8, "*"&amp;D703&amp;"*")&gt;0, Sayfa2!$C$1,
 IF(COUNTIF(Sayfa2!$D$2:$D$8,"*"&amp;D703&amp;"*")&gt;0, Sayfa2!$D$1,
 IF(COUNTIF(Sayfa2!$E$2:$E$8, "*"&amp;D703&amp;"*")&gt;0, Sayfa2!$E$1, "Bulunamadı")))))</f>
        <v>PAZARTESİ</v>
      </c>
    </row>
    <row r="704" spans="1:5" hidden="1" x14ac:dyDescent="0.25">
      <c r="A704" t="s">
        <v>2309</v>
      </c>
      <c r="B704" t="s">
        <v>782</v>
      </c>
      <c r="C704" t="s">
        <v>2304</v>
      </c>
      <c r="D704" s="4" t="s">
        <v>3071</v>
      </c>
      <c r="E704" t="str">
        <f>IF(COUNTIF(Sayfa2!$A$2:$A$8,"*"&amp;D704&amp;"*")&gt;0, Sayfa2!$A$1,
 IF(COUNTIF(Sayfa2!$B$2:$B$8, "*"&amp;D704&amp;"*")&gt;0, Sayfa2!$B$1,
 IF(COUNTIF(Sayfa2!$C$2:$C$8, "*"&amp;D704&amp;"*")&gt;0, Sayfa2!$C$1,
 IF(COUNTIF(Sayfa2!$D$2:$D$8,"*"&amp;D704&amp;"*")&gt;0, Sayfa2!$D$1,
 IF(COUNTIF(Sayfa2!$E$2:$E$8, "*"&amp;D704&amp;"*")&gt;0, Sayfa2!$E$1, "Bulunamadı")))))</f>
        <v>PERŞEMBE</v>
      </c>
    </row>
    <row r="705" spans="1:5" hidden="1" x14ac:dyDescent="0.25">
      <c r="A705" t="s">
        <v>2310</v>
      </c>
      <c r="B705" t="s">
        <v>783</v>
      </c>
      <c r="C705" t="s">
        <v>2311</v>
      </c>
      <c r="D705" s="4" t="s">
        <v>3067</v>
      </c>
      <c r="E705" t="str">
        <f>IF(COUNTIF(Sayfa2!$A$2:$A$8,"*"&amp;D705&amp;"*")&gt;0, Sayfa2!$A$1,
 IF(COUNTIF(Sayfa2!$B$2:$B$8, "*"&amp;D705&amp;"*")&gt;0, Sayfa2!$B$1,
 IF(COUNTIF(Sayfa2!$C$2:$C$8, "*"&amp;D705&amp;"*")&gt;0, Sayfa2!$C$1,
 IF(COUNTIF(Sayfa2!$D$2:$D$8,"*"&amp;D705&amp;"*")&gt;0, Sayfa2!$D$1,
 IF(COUNTIF(Sayfa2!$E$2:$E$8, "*"&amp;D705&amp;"*")&gt;0, Sayfa2!$E$1, "Bulunamadı")))))</f>
        <v>CUMA</v>
      </c>
    </row>
    <row r="706" spans="1:5" hidden="1" x14ac:dyDescent="0.25">
      <c r="A706" t="s">
        <v>2312</v>
      </c>
      <c r="B706" t="s">
        <v>784</v>
      </c>
      <c r="C706" t="s">
        <v>2299</v>
      </c>
      <c r="D706" s="4" t="s">
        <v>3069</v>
      </c>
      <c r="E706" t="str">
        <f>IF(COUNTIF(Sayfa2!$A$2:$A$8,"*"&amp;D706&amp;"*")&gt;0, Sayfa2!$A$1,
 IF(COUNTIF(Sayfa2!$B$2:$B$8, "*"&amp;D706&amp;"*")&gt;0, Sayfa2!$B$1,
 IF(COUNTIF(Sayfa2!$C$2:$C$8, "*"&amp;D706&amp;"*")&gt;0, Sayfa2!$C$1,
 IF(COUNTIF(Sayfa2!$D$2:$D$8,"*"&amp;D706&amp;"*")&gt;0, Sayfa2!$D$1,
 IF(COUNTIF(Sayfa2!$E$2:$E$8, "*"&amp;D706&amp;"*")&gt;0, Sayfa2!$E$1, "Bulunamadı")))))</f>
        <v>SALI</v>
      </c>
    </row>
    <row r="707" spans="1:5" hidden="1" x14ac:dyDescent="0.25">
      <c r="A707" t="s">
        <v>2313</v>
      </c>
      <c r="B707" t="s">
        <v>785</v>
      </c>
      <c r="C707" t="s">
        <v>2304</v>
      </c>
      <c r="D707" s="4" t="s">
        <v>3071</v>
      </c>
      <c r="E707" t="str">
        <f>IF(COUNTIF(Sayfa2!$A$2:$A$8,"*"&amp;D707&amp;"*")&gt;0, Sayfa2!$A$1,
 IF(COUNTIF(Sayfa2!$B$2:$B$8, "*"&amp;D707&amp;"*")&gt;0, Sayfa2!$B$1,
 IF(COUNTIF(Sayfa2!$C$2:$C$8, "*"&amp;D707&amp;"*")&gt;0, Sayfa2!$C$1,
 IF(COUNTIF(Sayfa2!$D$2:$D$8,"*"&amp;D707&amp;"*")&gt;0, Sayfa2!$D$1,
 IF(COUNTIF(Sayfa2!$E$2:$E$8, "*"&amp;D707&amp;"*")&gt;0, Sayfa2!$E$1, "Bulunamadı")))))</f>
        <v>PERŞEMBE</v>
      </c>
    </row>
    <row r="708" spans="1:5" hidden="1" x14ac:dyDescent="0.25">
      <c r="A708" t="s">
        <v>2314</v>
      </c>
      <c r="B708" t="s">
        <v>786</v>
      </c>
      <c r="C708" t="s">
        <v>2304</v>
      </c>
      <c r="D708" s="4" t="s">
        <v>3071</v>
      </c>
      <c r="E708" t="str">
        <f>IF(COUNTIF(Sayfa2!$A$2:$A$8,"*"&amp;D708&amp;"*")&gt;0, Sayfa2!$A$1,
 IF(COUNTIF(Sayfa2!$B$2:$B$8, "*"&amp;D708&amp;"*")&gt;0, Sayfa2!$B$1,
 IF(COUNTIF(Sayfa2!$C$2:$C$8, "*"&amp;D708&amp;"*")&gt;0, Sayfa2!$C$1,
 IF(COUNTIF(Sayfa2!$D$2:$D$8,"*"&amp;D708&amp;"*")&gt;0, Sayfa2!$D$1,
 IF(COUNTIF(Sayfa2!$E$2:$E$8, "*"&amp;D708&amp;"*")&gt;0, Sayfa2!$E$1, "Bulunamadı")))))</f>
        <v>PERŞEMBE</v>
      </c>
    </row>
    <row r="709" spans="1:5" hidden="1" x14ac:dyDescent="0.25">
      <c r="A709" t="s">
        <v>2315</v>
      </c>
      <c r="B709" t="s">
        <v>787</v>
      </c>
      <c r="C709" t="s">
        <v>2304</v>
      </c>
      <c r="D709" s="4" t="s">
        <v>3071</v>
      </c>
      <c r="E709" t="str">
        <f>IF(COUNTIF(Sayfa2!$A$2:$A$8,"*"&amp;D709&amp;"*")&gt;0, Sayfa2!$A$1,
 IF(COUNTIF(Sayfa2!$B$2:$B$8, "*"&amp;D709&amp;"*")&gt;0, Sayfa2!$B$1,
 IF(COUNTIF(Sayfa2!$C$2:$C$8, "*"&amp;D709&amp;"*")&gt;0, Sayfa2!$C$1,
 IF(COUNTIF(Sayfa2!$D$2:$D$8,"*"&amp;D709&amp;"*")&gt;0, Sayfa2!$D$1,
 IF(COUNTIF(Sayfa2!$E$2:$E$8, "*"&amp;D709&amp;"*")&gt;0, Sayfa2!$E$1, "Bulunamadı")))))</f>
        <v>PERŞEMBE</v>
      </c>
    </row>
    <row r="710" spans="1:5" hidden="1" x14ac:dyDescent="0.25">
      <c r="A710" t="s">
        <v>2316</v>
      </c>
      <c r="B710" t="s">
        <v>788</v>
      </c>
      <c r="C710" t="s">
        <v>2302</v>
      </c>
      <c r="D710" s="4" t="s">
        <v>3070</v>
      </c>
      <c r="E710" t="str">
        <f>IF(COUNTIF(Sayfa2!$A$2:$A$8,"*"&amp;D710&amp;"*")&gt;0, Sayfa2!$A$1,
 IF(COUNTIF(Sayfa2!$B$2:$B$8, "*"&amp;D710&amp;"*")&gt;0, Sayfa2!$B$1,
 IF(COUNTIF(Sayfa2!$C$2:$C$8, "*"&amp;D710&amp;"*")&gt;0, Sayfa2!$C$1,
 IF(COUNTIF(Sayfa2!$D$2:$D$8,"*"&amp;D710&amp;"*")&gt;0, Sayfa2!$D$1,
 IF(COUNTIF(Sayfa2!$E$2:$E$8, "*"&amp;D710&amp;"*")&gt;0, Sayfa2!$E$1, "Bulunamadı")))))</f>
        <v>ÇARŞAMBA</v>
      </c>
    </row>
    <row r="711" spans="1:5" hidden="1" x14ac:dyDescent="0.25">
      <c r="A711" t="s">
        <v>2317</v>
      </c>
      <c r="B711" t="s">
        <v>789</v>
      </c>
      <c r="C711" t="s">
        <v>2302</v>
      </c>
      <c r="D711" s="4" t="s">
        <v>3070</v>
      </c>
      <c r="E711" t="str">
        <f>IF(COUNTIF(Sayfa2!$A$2:$A$8,"*"&amp;D711&amp;"*")&gt;0, Sayfa2!$A$1,
 IF(COUNTIF(Sayfa2!$B$2:$B$8, "*"&amp;D711&amp;"*")&gt;0, Sayfa2!$B$1,
 IF(COUNTIF(Sayfa2!$C$2:$C$8, "*"&amp;D711&amp;"*")&gt;0, Sayfa2!$C$1,
 IF(COUNTIF(Sayfa2!$D$2:$D$8,"*"&amp;D711&amp;"*")&gt;0, Sayfa2!$D$1,
 IF(COUNTIF(Sayfa2!$E$2:$E$8, "*"&amp;D711&amp;"*")&gt;0, Sayfa2!$E$1, "Bulunamadı")))))</f>
        <v>ÇARŞAMBA</v>
      </c>
    </row>
    <row r="712" spans="1:5" hidden="1" x14ac:dyDescent="0.25">
      <c r="A712" t="s">
        <v>2318</v>
      </c>
      <c r="B712" t="s">
        <v>790</v>
      </c>
      <c r="C712" t="s">
        <v>2311</v>
      </c>
      <c r="D712" s="4" t="s">
        <v>3067</v>
      </c>
      <c r="E712" t="str">
        <f>IF(COUNTIF(Sayfa2!$A$2:$A$8,"*"&amp;D712&amp;"*")&gt;0, Sayfa2!$A$1,
 IF(COUNTIF(Sayfa2!$B$2:$B$8, "*"&amp;D712&amp;"*")&gt;0, Sayfa2!$B$1,
 IF(COUNTIF(Sayfa2!$C$2:$C$8, "*"&amp;D712&amp;"*")&gt;0, Sayfa2!$C$1,
 IF(COUNTIF(Sayfa2!$D$2:$D$8,"*"&amp;D712&amp;"*")&gt;0, Sayfa2!$D$1,
 IF(COUNTIF(Sayfa2!$E$2:$E$8, "*"&amp;D712&amp;"*")&gt;0, Sayfa2!$E$1, "Bulunamadı")))))</f>
        <v>CUMA</v>
      </c>
    </row>
    <row r="713" spans="1:5" hidden="1" x14ac:dyDescent="0.25">
      <c r="A713" t="s">
        <v>2319</v>
      </c>
      <c r="B713" t="s">
        <v>791</v>
      </c>
      <c r="C713" t="s">
        <v>2297</v>
      </c>
      <c r="D713" s="4" t="s">
        <v>3068</v>
      </c>
      <c r="E713" t="str">
        <f>IF(COUNTIF(Sayfa2!$A$2:$A$8,"*"&amp;D713&amp;"*")&gt;0, Sayfa2!$A$1,
 IF(COUNTIF(Sayfa2!$B$2:$B$8, "*"&amp;D713&amp;"*")&gt;0, Sayfa2!$B$1,
 IF(COUNTIF(Sayfa2!$C$2:$C$8, "*"&amp;D713&amp;"*")&gt;0, Sayfa2!$C$1,
 IF(COUNTIF(Sayfa2!$D$2:$D$8,"*"&amp;D713&amp;"*")&gt;0, Sayfa2!$D$1,
 IF(COUNTIF(Sayfa2!$E$2:$E$8, "*"&amp;D713&amp;"*")&gt;0, Sayfa2!$E$1, "Bulunamadı")))))</f>
        <v>PAZARTESİ</v>
      </c>
    </row>
    <row r="714" spans="1:5" hidden="1" x14ac:dyDescent="0.25">
      <c r="A714" t="s">
        <v>2320</v>
      </c>
      <c r="B714" t="s">
        <v>792</v>
      </c>
      <c r="C714" t="s">
        <v>2302</v>
      </c>
      <c r="D714" s="4" t="s">
        <v>3070</v>
      </c>
      <c r="E714" t="str">
        <f>IF(COUNTIF(Sayfa2!$A$2:$A$8,"*"&amp;D714&amp;"*")&gt;0, Sayfa2!$A$1,
 IF(COUNTIF(Sayfa2!$B$2:$B$8, "*"&amp;D714&amp;"*")&gt;0, Sayfa2!$B$1,
 IF(COUNTIF(Sayfa2!$C$2:$C$8, "*"&amp;D714&amp;"*")&gt;0, Sayfa2!$C$1,
 IF(COUNTIF(Sayfa2!$D$2:$D$8,"*"&amp;D714&amp;"*")&gt;0, Sayfa2!$D$1,
 IF(COUNTIF(Sayfa2!$E$2:$E$8, "*"&amp;D714&amp;"*")&gt;0, Sayfa2!$E$1, "Bulunamadı")))))</f>
        <v>ÇARŞAMBA</v>
      </c>
    </row>
    <row r="715" spans="1:5" hidden="1" x14ac:dyDescent="0.25">
      <c r="A715" t="s">
        <v>2321</v>
      </c>
      <c r="B715" t="s">
        <v>793</v>
      </c>
      <c r="C715" t="s">
        <v>2299</v>
      </c>
      <c r="D715" s="4" t="s">
        <v>3069</v>
      </c>
      <c r="E715" t="str">
        <f>IF(COUNTIF(Sayfa2!$A$2:$A$8,"*"&amp;D715&amp;"*")&gt;0, Sayfa2!$A$1,
 IF(COUNTIF(Sayfa2!$B$2:$B$8, "*"&amp;D715&amp;"*")&gt;0, Sayfa2!$B$1,
 IF(COUNTIF(Sayfa2!$C$2:$C$8, "*"&amp;D715&amp;"*")&gt;0, Sayfa2!$C$1,
 IF(COUNTIF(Sayfa2!$D$2:$D$8,"*"&amp;D715&amp;"*")&gt;0, Sayfa2!$D$1,
 IF(COUNTIF(Sayfa2!$E$2:$E$8, "*"&amp;D715&amp;"*")&gt;0, Sayfa2!$E$1, "Bulunamadı")))))</f>
        <v>SALI</v>
      </c>
    </row>
    <row r="716" spans="1:5" hidden="1" x14ac:dyDescent="0.25">
      <c r="A716" t="s">
        <v>2322</v>
      </c>
      <c r="B716" t="s">
        <v>794</v>
      </c>
      <c r="C716" t="s">
        <v>2311</v>
      </c>
      <c r="D716" s="4" t="s">
        <v>3067</v>
      </c>
      <c r="E716" t="str">
        <f>IF(COUNTIF(Sayfa2!$A$2:$A$8,"*"&amp;D716&amp;"*")&gt;0, Sayfa2!$A$1,
 IF(COUNTIF(Sayfa2!$B$2:$B$8, "*"&amp;D716&amp;"*")&gt;0, Sayfa2!$B$1,
 IF(COUNTIF(Sayfa2!$C$2:$C$8, "*"&amp;D716&amp;"*")&gt;0, Sayfa2!$C$1,
 IF(COUNTIF(Sayfa2!$D$2:$D$8,"*"&amp;D716&amp;"*")&gt;0, Sayfa2!$D$1,
 IF(COUNTIF(Sayfa2!$E$2:$E$8, "*"&amp;D716&amp;"*")&gt;0, Sayfa2!$E$1, "Bulunamadı")))))</f>
        <v>CUMA</v>
      </c>
    </row>
    <row r="717" spans="1:5" hidden="1" x14ac:dyDescent="0.25">
      <c r="A717" t="s">
        <v>2323</v>
      </c>
      <c r="B717" t="s">
        <v>795</v>
      </c>
      <c r="C717" t="s">
        <v>2304</v>
      </c>
      <c r="D717" s="4" t="s">
        <v>3071</v>
      </c>
      <c r="E717" t="str">
        <f>IF(COUNTIF(Sayfa2!$A$2:$A$8,"*"&amp;D717&amp;"*")&gt;0, Sayfa2!$A$1,
 IF(COUNTIF(Sayfa2!$B$2:$B$8, "*"&amp;D717&amp;"*")&gt;0, Sayfa2!$B$1,
 IF(COUNTIF(Sayfa2!$C$2:$C$8, "*"&amp;D717&amp;"*")&gt;0, Sayfa2!$C$1,
 IF(COUNTIF(Sayfa2!$D$2:$D$8,"*"&amp;D717&amp;"*")&gt;0, Sayfa2!$D$1,
 IF(COUNTIF(Sayfa2!$E$2:$E$8, "*"&amp;D717&amp;"*")&gt;0, Sayfa2!$E$1, "Bulunamadı")))))</f>
        <v>PERŞEMBE</v>
      </c>
    </row>
    <row r="718" spans="1:5" hidden="1" x14ac:dyDescent="0.25">
      <c r="A718" t="s">
        <v>2324</v>
      </c>
      <c r="B718" t="s">
        <v>796</v>
      </c>
      <c r="C718" t="s">
        <v>2297</v>
      </c>
      <c r="D718" s="4" t="s">
        <v>3068</v>
      </c>
      <c r="E718" t="str">
        <f>IF(COUNTIF(Sayfa2!$A$2:$A$8,"*"&amp;D718&amp;"*")&gt;0, Sayfa2!$A$1,
 IF(COUNTIF(Sayfa2!$B$2:$B$8, "*"&amp;D718&amp;"*")&gt;0, Sayfa2!$B$1,
 IF(COUNTIF(Sayfa2!$C$2:$C$8, "*"&amp;D718&amp;"*")&gt;0, Sayfa2!$C$1,
 IF(COUNTIF(Sayfa2!$D$2:$D$8,"*"&amp;D718&amp;"*")&gt;0, Sayfa2!$D$1,
 IF(COUNTIF(Sayfa2!$E$2:$E$8, "*"&amp;D718&amp;"*")&gt;0, Sayfa2!$E$1, "Bulunamadı")))))</f>
        <v>PAZARTESİ</v>
      </c>
    </row>
    <row r="719" spans="1:5" hidden="1" x14ac:dyDescent="0.25">
      <c r="A719" t="s">
        <v>2325</v>
      </c>
      <c r="B719" t="s">
        <v>797</v>
      </c>
      <c r="C719" t="s">
        <v>2304</v>
      </c>
      <c r="D719" s="4" t="s">
        <v>3071</v>
      </c>
      <c r="E719" t="str">
        <f>IF(COUNTIF(Sayfa2!$A$2:$A$8,"*"&amp;D719&amp;"*")&gt;0, Sayfa2!$A$1,
 IF(COUNTIF(Sayfa2!$B$2:$B$8, "*"&amp;D719&amp;"*")&gt;0, Sayfa2!$B$1,
 IF(COUNTIF(Sayfa2!$C$2:$C$8, "*"&amp;D719&amp;"*")&gt;0, Sayfa2!$C$1,
 IF(COUNTIF(Sayfa2!$D$2:$D$8,"*"&amp;D719&amp;"*")&gt;0, Sayfa2!$D$1,
 IF(COUNTIF(Sayfa2!$E$2:$E$8, "*"&amp;D719&amp;"*")&gt;0, Sayfa2!$E$1, "Bulunamadı")))))</f>
        <v>PERŞEMBE</v>
      </c>
    </row>
    <row r="720" spans="1:5" hidden="1" x14ac:dyDescent="0.25">
      <c r="A720" t="s">
        <v>2326</v>
      </c>
      <c r="B720" t="s">
        <v>798</v>
      </c>
      <c r="C720" t="s">
        <v>2304</v>
      </c>
      <c r="D720" s="4" t="s">
        <v>3071</v>
      </c>
      <c r="E720" t="str">
        <f>IF(COUNTIF(Sayfa2!$A$2:$A$8,"*"&amp;D720&amp;"*")&gt;0, Sayfa2!$A$1,
 IF(COUNTIF(Sayfa2!$B$2:$B$8, "*"&amp;D720&amp;"*")&gt;0, Sayfa2!$B$1,
 IF(COUNTIF(Sayfa2!$C$2:$C$8, "*"&amp;D720&amp;"*")&gt;0, Sayfa2!$C$1,
 IF(COUNTIF(Sayfa2!$D$2:$D$8,"*"&amp;D720&amp;"*")&gt;0, Sayfa2!$D$1,
 IF(COUNTIF(Sayfa2!$E$2:$E$8, "*"&amp;D720&amp;"*")&gt;0, Sayfa2!$E$1, "Bulunamadı")))))</f>
        <v>PERŞEMBE</v>
      </c>
    </row>
    <row r="721" spans="1:5" hidden="1" x14ac:dyDescent="0.25">
      <c r="A721" t="s">
        <v>2327</v>
      </c>
      <c r="B721" t="s">
        <v>799</v>
      </c>
      <c r="C721" t="s">
        <v>2302</v>
      </c>
      <c r="D721" s="4" t="s">
        <v>3070</v>
      </c>
      <c r="E721" t="str">
        <f>IF(COUNTIF(Sayfa2!$A$2:$A$8,"*"&amp;D721&amp;"*")&gt;0, Sayfa2!$A$1,
 IF(COUNTIF(Sayfa2!$B$2:$B$8, "*"&amp;D721&amp;"*")&gt;0, Sayfa2!$B$1,
 IF(COUNTIF(Sayfa2!$C$2:$C$8, "*"&amp;D721&amp;"*")&gt;0, Sayfa2!$C$1,
 IF(COUNTIF(Sayfa2!$D$2:$D$8,"*"&amp;D721&amp;"*")&gt;0, Sayfa2!$D$1,
 IF(COUNTIF(Sayfa2!$E$2:$E$8, "*"&amp;D721&amp;"*")&gt;0, Sayfa2!$E$1, "Bulunamadı")))))</f>
        <v>ÇARŞAMBA</v>
      </c>
    </row>
    <row r="722" spans="1:5" hidden="1" x14ac:dyDescent="0.25">
      <c r="A722" t="s">
        <v>2328</v>
      </c>
      <c r="B722" t="s">
        <v>800</v>
      </c>
      <c r="C722" t="s">
        <v>2299</v>
      </c>
      <c r="D722" s="4" t="s">
        <v>3069</v>
      </c>
      <c r="E722" t="str">
        <f>IF(COUNTIF(Sayfa2!$A$2:$A$8,"*"&amp;D722&amp;"*")&gt;0, Sayfa2!$A$1,
 IF(COUNTIF(Sayfa2!$B$2:$B$8, "*"&amp;D722&amp;"*")&gt;0, Sayfa2!$B$1,
 IF(COUNTIF(Sayfa2!$C$2:$C$8, "*"&amp;D722&amp;"*")&gt;0, Sayfa2!$C$1,
 IF(COUNTIF(Sayfa2!$D$2:$D$8,"*"&amp;D722&amp;"*")&gt;0, Sayfa2!$D$1,
 IF(COUNTIF(Sayfa2!$E$2:$E$8, "*"&amp;D722&amp;"*")&gt;0, Sayfa2!$E$1, "Bulunamadı")))))</f>
        <v>SALI</v>
      </c>
    </row>
    <row r="723" spans="1:5" hidden="1" x14ac:dyDescent="0.25">
      <c r="A723" t="s">
        <v>2329</v>
      </c>
      <c r="B723" t="s">
        <v>801</v>
      </c>
      <c r="C723" t="s">
        <v>2311</v>
      </c>
      <c r="D723" s="4" t="s">
        <v>3067</v>
      </c>
      <c r="E723" t="str">
        <f>IF(COUNTIF(Sayfa2!$A$2:$A$8,"*"&amp;D723&amp;"*")&gt;0, Sayfa2!$A$1,
 IF(COUNTIF(Sayfa2!$B$2:$B$8, "*"&amp;D723&amp;"*")&gt;0, Sayfa2!$B$1,
 IF(COUNTIF(Sayfa2!$C$2:$C$8, "*"&amp;D723&amp;"*")&gt;0, Sayfa2!$C$1,
 IF(COUNTIF(Sayfa2!$D$2:$D$8,"*"&amp;D723&amp;"*")&gt;0, Sayfa2!$D$1,
 IF(COUNTIF(Sayfa2!$E$2:$E$8, "*"&amp;D723&amp;"*")&gt;0, Sayfa2!$E$1, "Bulunamadı")))))</f>
        <v>CUMA</v>
      </c>
    </row>
    <row r="724" spans="1:5" hidden="1" x14ac:dyDescent="0.25">
      <c r="A724" t="s">
        <v>2330</v>
      </c>
      <c r="B724" t="s">
        <v>802</v>
      </c>
      <c r="C724" t="s">
        <v>2299</v>
      </c>
      <c r="D724" s="4" t="s">
        <v>3069</v>
      </c>
      <c r="E724" t="str">
        <f>IF(COUNTIF(Sayfa2!$A$2:$A$8,"*"&amp;D724&amp;"*")&gt;0, Sayfa2!$A$1,
 IF(COUNTIF(Sayfa2!$B$2:$B$8, "*"&amp;D724&amp;"*")&gt;0, Sayfa2!$B$1,
 IF(COUNTIF(Sayfa2!$C$2:$C$8, "*"&amp;D724&amp;"*")&gt;0, Sayfa2!$C$1,
 IF(COUNTIF(Sayfa2!$D$2:$D$8,"*"&amp;D724&amp;"*")&gt;0, Sayfa2!$D$1,
 IF(COUNTIF(Sayfa2!$E$2:$E$8, "*"&amp;D724&amp;"*")&gt;0, Sayfa2!$E$1, "Bulunamadı")))))</f>
        <v>SALI</v>
      </c>
    </row>
    <row r="725" spans="1:5" hidden="1" x14ac:dyDescent="0.25">
      <c r="A725" t="s">
        <v>2331</v>
      </c>
      <c r="B725" t="s">
        <v>803</v>
      </c>
      <c r="C725" t="s">
        <v>2304</v>
      </c>
      <c r="D725" s="4" t="s">
        <v>3071</v>
      </c>
      <c r="E725" t="str">
        <f>IF(COUNTIF(Sayfa2!$A$2:$A$8,"*"&amp;D725&amp;"*")&gt;0, Sayfa2!$A$1,
 IF(COUNTIF(Sayfa2!$B$2:$B$8, "*"&amp;D725&amp;"*")&gt;0, Sayfa2!$B$1,
 IF(COUNTIF(Sayfa2!$C$2:$C$8, "*"&amp;D725&amp;"*")&gt;0, Sayfa2!$C$1,
 IF(COUNTIF(Sayfa2!$D$2:$D$8,"*"&amp;D725&amp;"*")&gt;0, Sayfa2!$D$1,
 IF(COUNTIF(Sayfa2!$E$2:$E$8, "*"&amp;D725&amp;"*")&gt;0, Sayfa2!$E$1, "Bulunamadı")))))</f>
        <v>PERŞEMBE</v>
      </c>
    </row>
    <row r="726" spans="1:5" hidden="1" x14ac:dyDescent="0.25">
      <c r="A726" t="s">
        <v>2332</v>
      </c>
      <c r="B726" t="s">
        <v>804</v>
      </c>
      <c r="C726" t="s">
        <v>2302</v>
      </c>
      <c r="D726" s="4" t="s">
        <v>3070</v>
      </c>
      <c r="E726" t="str">
        <f>IF(COUNTIF(Sayfa2!$A$2:$A$8,"*"&amp;D726&amp;"*")&gt;0, Sayfa2!$A$1,
 IF(COUNTIF(Sayfa2!$B$2:$B$8, "*"&amp;D726&amp;"*")&gt;0, Sayfa2!$B$1,
 IF(COUNTIF(Sayfa2!$C$2:$C$8, "*"&amp;D726&amp;"*")&gt;0, Sayfa2!$C$1,
 IF(COUNTIF(Sayfa2!$D$2:$D$8,"*"&amp;D726&amp;"*")&gt;0, Sayfa2!$D$1,
 IF(COUNTIF(Sayfa2!$E$2:$E$8, "*"&amp;D726&amp;"*")&gt;0, Sayfa2!$E$1, "Bulunamadı")))))</f>
        <v>ÇARŞAMBA</v>
      </c>
    </row>
    <row r="727" spans="1:5" hidden="1" x14ac:dyDescent="0.25">
      <c r="A727" t="s">
        <v>2333</v>
      </c>
      <c r="B727" t="s">
        <v>805</v>
      </c>
      <c r="C727" t="s">
        <v>2302</v>
      </c>
      <c r="D727" s="4" t="s">
        <v>3070</v>
      </c>
      <c r="E727" t="str">
        <f>IF(COUNTIF(Sayfa2!$A$2:$A$8,"*"&amp;D727&amp;"*")&gt;0, Sayfa2!$A$1,
 IF(COUNTIF(Sayfa2!$B$2:$B$8, "*"&amp;D727&amp;"*")&gt;0, Sayfa2!$B$1,
 IF(COUNTIF(Sayfa2!$C$2:$C$8, "*"&amp;D727&amp;"*")&gt;0, Sayfa2!$C$1,
 IF(COUNTIF(Sayfa2!$D$2:$D$8,"*"&amp;D727&amp;"*")&gt;0, Sayfa2!$D$1,
 IF(COUNTIF(Sayfa2!$E$2:$E$8, "*"&amp;D727&amp;"*")&gt;0, Sayfa2!$E$1, "Bulunamadı")))))</f>
        <v>ÇARŞAMBA</v>
      </c>
    </row>
    <row r="728" spans="1:5" hidden="1" x14ac:dyDescent="0.25">
      <c r="A728" t="s">
        <v>2334</v>
      </c>
      <c r="B728" t="s">
        <v>806</v>
      </c>
      <c r="C728" t="s">
        <v>2299</v>
      </c>
      <c r="D728" s="4" t="s">
        <v>3069</v>
      </c>
      <c r="E728" t="str">
        <f>IF(COUNTIF(Sayfa2!$A$2:$A$8,"*"&amp;D728&amp;"*")&gt;0, Sayfa2!$A$1,
 IF(COUNTIF(Sayfa2!$B$2:$B$8, "*"&amp;D728&amp;"*")&gt;0, Sayfa2!$B$1,
 IF(COUNTIF(Sayfa2!$C$2:$C$8, "*"&amp;D728&amp;"*")&gt;0, Sayfa2!$C$1,
 IF(COUNTIF(Sayfa2!$D$2:$D$8,"*"&amp;D728&amp;"*")&gt;0, Sayfa2!$D$1,
 IF(COUNTIF(Sayfa2!$E$2:$E$8, "*"&amp;D728&amp;"*")&gt;0, Sayfa2!$E$1, "Bulunamadı")))))</f>
        <v>SALI</v>
      </c>
    </row>
    <row r="729" spans="1:5" hidden="1" x14ac:dyDescent="0.25">
      <c r="A729" t="s">
        <v>2335</v>
      </c>
      <c r="B729" t="s">
        <v>807</v>
      </c>
      <c r="C729" t="s">
        <v>2302</v>
      </c>
      <c r="D729" s="4" t="s">
        <v>3070</v>
      </c>
      <c r="E729" t="str">
        <f>IF(COUNTIF(Sayfa2!$A$2:$A$8,"*"&amp;D729&amp;"*")&gt;0, Sayfa2!$A$1,
 IF(COUNTIF(Sayfa2!$B$2:$B$8, "*"&amp;D729&amp;"*")&gt;0, Sayfa2!$B$1,
 IF(COUNTIF(Sayfa2!$C$2:$C$8, "*"&amp;D729&amp;"*")&gt;0, Sayfa2!$C$1,
 IF(COUNTIF(Sayfa2!$D$2:$D$8,"*"&amp;D729&amp;"*")&gt;0, Sayfa2!$D$1,
 IF(COUNTIF(Sayfa2!$E$2:$E$8, "*"&amp;D729&amp;"*")&gt;0, Sayfa2!$E$1, "Bulunamadı")))))</f>
        <v>ÇARŞAMBA</v>
      </c>
    </row>
    <row r="730" spans="1:5" hidden="1" x14ac:dyDescent="0.25">
      <c r="A730" t="s">
        <v>2336</v>
      </c>
      <c r="B730" t="s">
        <v>808</v>
      </c>
      <c r="C730" t="s">
        <v>2304</v>
      </c>
      <c r="D730" s="4" t="s">
        <v>3071</v>
      </c>
      <c r="E730" t="str">
        <f>IF(COUNTIF(Sayfa2!$A$2:$A$8,"*"&amp;D730&amp;"*")&gt;0, Sayfa2!$A$1,
 IF(COUNTIF(Sayfa2!$B$2:$B$8, "*"&amp;D730&amp;"*")&gt;0, Sayfa2!$B$1,
 IF(COUNTIF(Sayfa2!$C$2:$C$8, "*"&amp;D730&amp;"*")&gt;0, Sayfa2!$C$1,
 IF(COUNTIF(Sayfa2!$D$2:$D$8,"*"&amp;D730&amp;"*")&gt;0, Sayfa2!$D$1,
 IF(COUNTIF(Sayfa2!$E$2:$E$8, "*"&amp;D730&amp;"*")&gt;0, Sayfa2!$E$1, "Bulunamadı")))))</f>
        <v>PERŞEMBE</v>
      </c>
    </row>
    <row r="731" spans="1:5" hidden="1" x14ac:dyDescent="0.25">
      <c r="A731" t="s">
        <v>2337</v>
      </c>
      <c r="B731" t="s">
        <v>809</v>
      </c>
      <c r="C731" t="s">
        <v>2297</v>
      </c>
      <c r="D731" s="4" t="s">
        <v>3068</v>
      </c>
      <c r="E731" t="str">
        <f>IF(COUNTIF(Sayfa2!$A$2:$A$8,"*"&amp;D731&amp;"*")&gt;0, Sayfa2!$A$1,
 IF(COUNTIF(Sayfa2!$B$2:$B$8, "*"&amp;D731&amp;"*")&gt;0, Sayfa2!$B$1,
 IF(COUNTIF(Sayfa2!$C$2:$C$8, "*"&amp;D731&amp;"*")&gt;0, Sayfa2!$C$1,
 IF(COUNTIF(Sayfa2!$D$2:$D$8,"*"&amp;D731&amp;"*")&gt;0, Sayfa2!$D$1,
 IF(COUNTIF(Sayfa2!$E$2:$E$8, "*"&amp;D731&amp;"*")&gt;0, Sayfa2!$E$1, "Bulunamadı")))))</f>
        <v>PAZARTESİ</v>
      </c>
    </row>
    <row r="732" spans="1:5" hidden="1" x14ac:dyDescent="0.25">
      <c r="A732" t="s">
        <v>2338</v>
      </c>
      <c r="B732" t="s">
        <v>810</v>
      </c>
      <c r="C732" t="s">
        <v>2311</v>
      </c>
      <c r="D732" s="4" t="s">
        <v>3067</v>
      </c>
      <c r="E732" t="str">
        <f>IF(COUNTIF(Sayfa2!$A$2:$A$8,"*"&amp;D732&amp;"*")&gt;0, Sayfa2!$A$1,
 IF(COUNTIF(Sayfa2!$B$2:$B$8, "*"&amp;D732&amp;"*")&gt;0, Sayfa2!$B$1,
 IF(COUNTIF(Sayfa2!$C$2:$C$8, "*"&amp;D732&amp;"*")&gt;0, Sayfa2!$C$1,
 IF(COUNTIF(Sayfa2!$D$2:$D$8,"*"&amp;D732&amp;"*")&gt;0, Sayfa2!$D$1,
 IF(COUNTIF(Sayfa2!$E$2:$E$8, "*"&amp;D732&amp;"*")&gt;0, Sayfa2!$E$1, "Bulunamadı")))))</f>
        <v>CUMA</v>
      </c>
    </row>
    <row r="733" spans="1:5" hidden="1" x14ac:dyDescent="0.25">
      <c r="A733" t="s">
        <v>2339</v>
      </c>
      <c r="B733" t="s">
        <v>811</v>
      </c>
      <c r="C733" t="s">
        <v>2302</v>
      </c>
      <c r="D733" s="4" t="s">
        <v>3070</v>
      </c>
      <c r="E733" t="str">
        <f>IF(COUNTIF(Sayfa2!$A$2:$A$8,"*"&amp;D733&amp;"*")&gt;0, Sayfa2!$A$1,
 IF(COUNTIF(Sayfa2!$B$2:$B$8, "*"&amp;D733&amp;"*")&gt;0, Sayfa2!$B$1,
 IF(COUNTIF(Sayfa2!$C$2:$C$8, "*"&amp;D733&amp;"*")&gt;0, Sayfa2!$C$1,
 IF(COUNTIF(Sayfa2!$D$2:$D$8,"*"&amp;D733&amp;"*")&gt;0, Sayfa2!$D$1,
 IF(COUNTIF(Sayfa2!$E$2:$E$8, "*"&amp;D733&amp;"*")&gt;0, Sayfa2!$E$1, "Bulunamadı")))))</f>
        <v>ÇARŞAMBA</v>
      </c>
    </row>
    <row r="734" spans="1:5" hidden="1" x14ac:dyDescent="0.25">
      <c r="A734" t="s">
        <v>2340</v>
      </c>
      <c r="B734" t="s">
        <v>812</v>
      </c>
      <c r="C734" t="s">
        <v>2302</v>
      </c>
      <c r="D734" s="4" t="s">
        <v>3070</v>
      </c>
      <c r="E734" t="str">
        <f>IF(COUNTIF(Sayfa2!$A$2:$A$8,"*"&amp;D734&amp;"*")&gt;0, Sayfa2!$A$1,
 IF(COUNTIF(Sayfa2!$B$2:$B$8, "*"&amp;D734&amp;"*")&gt;0, Sayfa2!$B$1,
 IF(COUNTIF(Sayfa2!$C$2:$C$8, "*"&amp;D734&amp;"*")&gt;0, Sayfa2!$C$1,
 IF(COUNTIF(Sayfa2!$D$2:$D$8,"*"&amp;D734&amp;"*")&gt;0, Sayfa2!$D$1,
 IF(COUNTIF(Sayfa2!$E$2:$E$8, "*"&amp;D734&amp;"*")&gt;0, Sayfa2!$E$1, "Bulunamadı")))))</f>
        <v>ÇARŞAMBA</v>
      </c>
    </row>
    <row r="735" spans="1:5" hidden="1" x14ac:dyDescent="0.25">
      <c r="A735" t="s">
        <v>2341</v>
      </c>
      <c r="B735" t="s">
        <v>813</v>
      </c>
      <c r="C735" t="s">
        <v>2297</v>
      </c>
      <c r="D735" s="4" t="s">
        <v>3068</v>
      </c>
      <c r="E735" t="str">
        <f>IF(COUNTIF(Sayfa2!$A$2:$A$8,"*"&amp;D735&amp;"*")&gt;0, Sayfa2!$A$1,
 IF(COUNTIF(Sayfa2!$B$2:$B$8, "*"&amp;D735&amp;"*")&gt;0, Sayfa2!$B$1,
 IF(COUNTIF(Sayfa2!$C$2:$C$8, "*"&amp;D735&amp;"*")&gt;0, Sayfa2!$C$1,
 IF(COUNTIF(Sayfa2!$D$2:$D$8,"*"&amp;D735&amp;"*")&gt;0, Sayfa2!$D$1,
 IF(COUNTIF(Sayfa2!$E$2:$E$8, "*"&amp;D735&amp;"*")&gt;0, Sayfa2!$E$1, "Bulunamadı")))))</f>
        <v>PAZARTESİ</v>
      </c>
    </row>
    <row r="736" spans="1:5" hidden="1" x14ac:dyDescent="0.25">
      <c r="A736" t="s">
        <v>2342</v>
      </c>
      <c r="B736" t="s">
        <v>814</v>
      </c>
      <c r="C736" t="s">
        <v>2311</v>
      </c>
      <c r="D736" s="4" t="s">
        <v>3067</v>
      </c>
      <c r="E736" t="str">
        <f>IF(COUNTIF(Sayfa2!$A$2:$A$8,"*"&amp;D736&amp;"*")&gt;0, Sayfa2!$A$1,
 IF(COUNTIF(Sayfa2!$B$2:$B$8, "*"&amp;D736&amp;"*")&gt;0, Sayfa2!$B$1,
 IF(COUNTIF(Sayfa2!$C$2:$C$8, "*"&amp;D736&amp;"*")&gt;0, Sayfa2!$C$1,
 IF(COUNTIF(Sayfa2!$D$2:$D$8,"*"&amp;D736&amp;"*")&gt;0, Sayfa2!$D$1,
 IF(COUNTIF(Sayfa2!$E$2:$E$8, "*"&amp;D736&amp;"*")&gt;0, Sayfa2!$E$1, "Bulunamadı")))))</f>
        <v>CUMA</v>
      </c>
    </row>
    <row r="737" spans="1:5" hidden="1" x14ac:dyDescent="0.25">
      <c r="A737" t="s">
        <v>2194</v>
      </c>
      <c r="B737" t="s">
        <v>815</v>
      </c>
      <c r="C737" t="s">
        <v>2304</v>
      </c>
      <c r="D737" s="4" t="s">
        <v>3071</v>
      </c>
      <c r="E737" t="str">
        <f>IF(COUNTIF(Sayfa2!$A$2:$A$8,"*"&amp;D737&amp;"*")&gt;0, Sayfa2!$A$1,
 IF(COUNTIF(Sayfa2!$B$2:$B$8, "*"&amp;D737&amp;"*")&gt;0, Sayfa2!$B$1,
 IF(COUNTIF(Sayfa2!$C$2:$C$8, "*"&amp;D737&amp;"*")&gt;0, Sayfa2!$C$1,
 IF(COUNTIF(Sayfa2!$D$2:$D$8,"*"&amp;D737&amp;"*")&gt;0, Sayfa2!$D$1,
 IF(COUNTIF(Sayfa2!$E$2:$E$8, "*"&amp;D737&amp;"*")&gt;0, Sayfa2!$E$1, "Bulunamadı")))))</f>
        <v>PERŞEMBE</v>
      </c>
    </row>
    <row r="738" spans="1:5" hidden="1" x14ac:dyDescent="0.25">
      <c r="A738" t="s">
        <v>2343</v>
      </c>
      <c r="B738" t="s">
        <v>816</v>
      </c>
      <c r="C738" t="s">
        <v>2297</v>
      </c>
      <c r="D738" s="4" t="s">
        <v>3068</v>
      </c>
      <c r="E738" t="str">
        <f>IF(COUNTIF(Sayfa2!$A$2:$A$8,"*"&amp;D738&amp;"*")&gt;0, Sayfa2!$A$1,
 IF(COUNTIF(Sayfa2!$B$2:$B$8, "*"&amp;D738&amp;"*")&gt;0, Sayfa2!$B$1,
 IF(COUNTIF(Sayfa2!$C$2:$C$8, "*"&amp;D738&amp;"*")&gt;0, Sayfa2!$C$1,
 IF(COUNTIF(Sayfa2!$D$2:$D$8,"*"&amp;D738&amp;"*")&gt;0, Sayfa2!$D$1,
 IF(COUNTIF(Sayfa2!$E$2:$E$8, "*"&amp;D738&amp;"*")&gt;0, Sayfa2!$E$1, "Bulunamadı")))))</f>
        <v>PAZARTESİ</v>
      </c>
    </row>
    <row r="739" spans="1:5" hidden="1" x14ac:dyDescent="0.25">
      <c r="A739" t="s">
        <v>2344</v>
      </c>
      <c r="B739" t="s">
        <v>817</v>
      </c>
      <c r="C739" t="s">
        <v>2299</v>
      </c>
      <c r="D739" s="4" t="s">
        <v>3069</v>
      </c>
      <c r="E739" t="str">
        <f>IF(COUNTIF(Sayfa2!$A$2:$A$8,"*"&amp;D739&amp;"*")&gt;0, Sayfa2!$A$1,
 IF(COUNTIF(Sayfa2!$B$2:$B$8, "*"&amp;D739&amp;"*")&gt;0, Sayfa2!$B$1,
 IF(COUNTIF(Sayfa2!$C$2:$C$8, "*"&amp;D739&amp;"*")&gt;0, Sayfa2!$C$1,
 IF(COUNTIF(Sayfa2!$D$2:$D$8,"*"&amp;D739&amp;"*")&gt;0, Sayfa2!$D$1,
 IF(COUNTIF(Sayfa2!$E$2:$E$8, "*"&amp;D739&amp;"*")&gt;0, Sayfa2!$E$1, "Bulunamadı")))))</f>
        <v>SALI</v>
      </c>
    </row>
    <row r="740" spans="1:5" hidden="1" x14ac:dyDescent="0.25">
      <c r="A740" t="s">
        <v>2345</v>
      </c>
      <c r="B740" t="s">
        <v>818</v>
      </c>
      <c r="C740" t="s">
        <v>2302</v>
      </c>
      <c r="D740" s="4" t="s">
        <v>3070</v>
      </c>
      <c r="E740" t="str">
        <f>IF(COUNTIF(Sayfa2!$A$2:$A$8,"*"&amp;D740&amp;"*")&gt;0, Sayfa2!$A$1,
 IF(COUNTIF(Sayfa2!$B$2:$B$8, "*"&amp;D740&amp;"*")&gt;0, Sayfa2!$B$1,
 IF(COUNTIF(Sayfa2!$C$2:$C$8, "*"&amp;D740&amp;"*")&gt;0, Sayfa2!$C$1,
 IF(COUNTIF(Sayfa2!$D$2:$D$8,"*"&amp;D740&amp;"*")&gt;0, Sayfa2!$D$1,
 IF(COUNTIF(Sayfa2!$E$2:$E$8, "*"&amp;D740&amp;"*")&gt;0, Sayfa2!$E$1, "Bulunamadı")))))</f>
        <v>ÇARŞAMBA</v>
      </c>
    </row>
    <row r="741" spans="1:5" hidden="1" x14ac:dyDescent="0.25">
      <c r="A741" t="s">
        <v>2346</v>
      </c>
      <c r="B741" t="s">
        <v>819</v>
      </c>
      <c r="C741" t="s">
        <v>2297</v>
      </c>
      <c r="D741" s="4" t="s">
        <v>3068</v>
      </c>
      <c r="E741" t="str">
        <f>IF(COUNTIF(Sayfa2!$A$2:$A$8,"*"&amp;D741&amp;"*")&gt;0, Sayfa2!$A$1,
 IF(COUNTIF(Sayfa2!$B$2:$B$8, "*"&amp;D741&amp;"*")&gt;0, Sayfa2!$B$1,
 IF(COUNTIF(Sayfa2!$C$2:$C$8, "*"&amp;D741&amp;"*")&gt;0, Sayfa2!$C$1,
 IF(COUNTIF(Sayfa2!$D$2:$D$8,"*"&amp;D741&amp;"*")&gt;0, Sayfa2!$D$1,
 IF(COUNTIF(Sayfa2!$E$2:$E$8, "*"&amp;D741&amp;"*")&gt;0, Sayfa2!$E$1, "Bulunamadı")))))</f>
        <v>PAZARTESİ</v>
      </c>
    </row>
    <row r="742" spans="1:5" hidden="1" x14ac:dyDescent="0.25">
      <c r="A742" t="s">
        <v>2347</v>
      </c>
      <c r="B742" t="s">
        <v>820</v>
      </c>
      <c r="C742" t="s">
        <v>2302</v>
      </c>
      <c r="D742" s="4" t="s">
        <v>3070</v>
      </c>
      <c r="E742" t="str">
        <f>IF(COUNTIF(Sayfa2!$A$2:$A$8,"*"&amp;D742&amp;"*")&gt;0, Sayfa2!$A$1,
 IF(COUNTIF(Sayfa2!$B$2:$B$8, "*"&amp;D742&amp;"*")&gt;0, Sayfa2!$B$1,
 IF(COUNTIF(Sayfa2!$C$2:$C$8, "*"&amp;D742&amp;"*")&gt;0, Sayfa2!$C$1,
 IF(COUNTIF(Sayfa2!$D$2:$D$8,"*"&amp;D742&amp;"*")&gt;0, Sayfa2!$D$1,
 IF(COUNTIF(Sayfa2!$E$2:$E$8, "*"&amp;D742&amp;"*")&gt;0, Sayfa2!$E$1, "Bulunamadı")))))</f>
        <v>ÇARŞAMBA</v>
      </c>
    </row>
    <row r="743" spans="1:5" hidden="1" x14ac:dyDescent="0.25">
      <c r="A743" t="s">
        <v>2348</v>
      </c>
      <c r="B743" t="s">
        <v>821</v>
      </c>
      <c r="C743" t="s">
        <v>2299</v>
      </c>
      <c r="D743" s="4" t="s">
        <v>3069</v>
      </c>
      <c r="E743" t="str">
        <f>IF(COUNTIF(Sayfa2!$A$2:$A$8,"*"&amp;D743&amp;"*")&gt;0, Sayfa2!$A$1,
 IF(COUNTIF(Sayfa2!$B$2:$B$8, "*"&amp;D743&amp;"*")&gt;0, Sayfa2!$B$1,
 IF(COUNTIF(Sayfa2!$C$2:$C$8, "*"&amp;D743&amp;"*")&gt;0, Sayfa2!$C$1,
 IF(COUNTIF(Sayfa2!$D$2:$D$8,"*"&amp;D743&amp;"*")&gt;0, Sayfa2!$D$1,
 IF(COUNTIF(Sayfa2!$E$2:$E$8, "*"&amp;D743&amp;"*")&gt;0, Sayfa2!$E$1, "Bulunamadı")))))</f>
        <v>SALI</v>
      </c>
    </row>
    <row r="744" spans="1:5" hidden="1" x14ac:dyDescent="0.25">
      <c r="A744" t="s">
        <v>2349</v>
      </c>
      <c r="B744" t="s">
        <v>822</v>
      </c>
      <c r="C744" t="s">
        <v>2299</v>
      </c>
      <c r="D744" s="4" t="s">
        <v>3069</v>
      </c>
      <c r="E744" t="str">
        <f>IF(COUNTIF(Sayfa2!$A$2:$A$8,"*"&amp;D744&amp;"*")&gt;0, Sayfa2!$A$1,
 IF(COUNTIF(Sayfa2!$B$2:$B$8, "*"&amp;D744&amp;"*")&gt;0, Sayfa2!$B$1,
 IF(COUNTIF(Sayfa2!$C$2:$C$8, "*"&amp;D744&amp;"*")&gt;0, Sayfa2!$C$1,
 IF(COUNTIF(Sayfa2!$D$2:$D$8,"*"&amp;D744&amp;"*")&gt;0, Sayfa2!$D$1,
 IF(COUNTIF(Sayfa2!$E$2:$E$8, "*"&amp;D744&amp;"*")&gt;0, Sayfa2!$E$1, "Bulunamadı")))))</f>
        <v>SALI</v>
      </c>
    </row>
    <row r="745" spans="1:5" hidden="1" x14ac:dyDescent="0.25">
      <c r="A745" t="s">
        <v>2350</v>
      </c>
      <c r="B745" t="s">
        <v>823</v>
      </c>
      <c r="C745" t="s">
        <v>2297</v>
      </c>
      <c r="D745" s="4" t="s">
        <v>3068</v>
      </c>
      <c r="E745" t="str">
        <f>IF(COUNTIF(Sayfa2!$A$2:$A$8,"*"&amp;D745&amp;"*")&gt;0, Sayfa2!$A$1,
 IF(COUNTIF(Sayfa2!$B$2:$B$8, "*"&amp;D745&amp;"*")&gt;0, Sayfa2!$B$1,
 IF(COUNTIF(Sayfa2!$C$2:$C$8, "*"&amp;D745&amp;"*")&gt;0, Sayfa2!$C$1,
 IF(COUNTIF(Sayfa2!$D$2:$D$8,"*"&amp;D745&amp;"*")&gt;0, Sayfa2!$D$1,
 IF(COUNTIF(Sayfa2!$E$2:$E$8, "*"&amp;D745&amp;"*")&gt;0, Sayfa2!$E$1, "Bulunamadı")))))</f>
        <v>PAZARTESİ</v>
      </c>
    </row>
    <row r="746" spans="1:5" hidden="1" x14ac:dyDescent="0.25">
      <c r="A746" t="s">
        <v>2351</v>
      </c>
      <c r="B746" t="s">
        <v>824</v>
      </c>
      <c r="C746" t="s">
        <v>2304</v>
      </c>
      <c r="D746" s="4" t="s">
        <v>3071</v>
      </c>
      <c r="E746" t="str">
        <f>IF(COUNTIF(Sayfa2!$A$2:$A$8,"*"&amp;D746&amp;"*")&gt;0, Sayfa2!$A$1,
 IF(COUNTIF(Sayfa2!$B$2:$B$8, "*"&amp;D746&amp;"*")&gt;0, Sayfa2!$B$1,
 IF(COUNTIF(Sayfa2!$C$2:$C$8, "*"&amp;D746&amp;"*")&gt;0, Sayfa2!$C$1,
 IF(COUNTIF(Sayfa2!$D$2:$D$8,"*"&amp;D746&amp;"*")&gt;0, Sayfa2!$D$1,
 IF(COUNTIF(Sayfa2!$E$2:$E$8, "*"&amp;D746&amp;"*")&gt;0, Sayfa2!$E$1, "Bulunamadı")))))</f>
        <v>PERŞEMBE</v>
      </c>
    </row>
    <row r="747" spans="1:5" hidden="1" x14ac:dyDescent="0.25">
      <c r="A747" t="s">
        <v>2352</v>
      </c>
      <c r="B747" t="s">
        <v>825</v>
      </c>
      <c r="C747" t="s">
        <v>2311</v>
      </c>
      <c r="D747" s="4" t="s">
        <v>3067</v>
      </c>
      <c r="E747" t="str">
        <f>IF(COUNTIF(Sayfa2!$A$2:$A$8,"*"&amp;D747&amp;"*")&gt;0, Sayfa2!$A$1,
 IF(COUNTIF(Sayfa2!$B$2:$B$8, "*"&amp;D747&amp;"*")&gt;0, Sayfa2!$B$1,
 IF(COUNTIF(Sayfa2!$C$2:$C$8, "*"&amp;D747&amp;"*")&gt;0, Sayfa2!$C$1,
 IF(COUNTIF(Sayfa2!$D$2:$D$8,"*"&amp;D747&amp;"*")&gt;0, Sayfa2!$D$1,
 IF(COUNTIF(Sayfa2!$E$2:$E$8, "*"&amp;D747&amp;"*")&gt;0, Sayfa2!$E$1, "Bulunamadı")))))</f>
        <v>CUMA</v>
      </c>
    </row>
    <row r="748" spans="1:5" hidden="1" x14ac:dyDescent="0.25">
      <c r="A748" t="s">
        <v>2353</v>
      </c>
      <c r="B748" t="s">
        <v>826</v>
      </c>
      <c r="C748" t="s">
        <v>2302</v>
      </c>
      <c r="D748" s="4" t="s">
        <v>3070</v>
      </c>
      <c r="E748" t="str">
        <f>IF(COUNTIF(Sayfa2!$A$2:$A$8,"*"&amp;D748&amp;"*")&gt;0, Sayfa2!$A$1,
 IF(COUNTIF(Sayfa2!$B$2:$B$8, "*"&amp;D748&amp;"*")&gt;0, Sayfa2!$B$1,
 IF(COUNTIF(Sayfa2!$C$2:$C$8, "*"&amp;D748&amp;"*")&gt;0, Sayfa2!$C$1,
 IF(COUNTIF(Sayfa2!$D$2:$D$8,"*"&amp;D748&amp;"*")&gt;0, Sayfa2!$D$1,
 IF(COUNTIF(Sayfa2!$E$2:$E$8, "*"&amp;D748&amp;"*")&gt;0, Sayfa2!$E$1, "Bulunamadı")))))</f>
        <v>ÇARŞAMBA</v>
      </c>
    </row>
    <row r="749" spans="1:5" x14ac:dyDescent="0.25">
      <c r="A749" t="s">
        <v>2354</v>
      </c>
      <c r="B749" t="s">
        <v>827</v>
      </c>
      <c r="C749" t="s">
        <v>2355</v>
      </c>
      <c r="D749" s="4" t="s">
        <v>3102</v>
      </c>
      <c r="E749" t="str">
        <f>IF(COUNTIF(Sayfa2!$A$2:$A$8,"*"&amp;D749&amp;"*")&gt;0, Sayfa2!$A$1,
 IF(COUNTIF(Sayfa2!$B$2:$B$8, "*"&amp;D749&amp;"*")&gt;0, Sayfa2!$B$1,
 IF(COUNTIF(Sayfa2!$C$2:$C$8, "*"&amp;D749&amp;"*")&gt;0, Sayfa2!$C$1,
 IF(COUNTIF(Sayfa2!$D$2:$D$8,"*"&amp;D749&amp;"*")&gt;0, Sayfa2!$D$1,
 IF(COUNTIF(Sayfa2!$E$2:$E$8, "*"&amp;D749&amp;"*")&gt;0, Sayfa2!$E$1, "Bulunamadı")))))</f>
        <v>Bulunamadı</v>
      </c>
    </row>
    <row r="750" spans="1:5" hidden="1" x14ac:dyDescent="0.25">
      <c r="A750" t="s">
        <v>2356</v>
      </c>
      <c r="B750" t="s">
        <v>828</v>
      </c>
      <c r="C750" t="s">
        <v>2299</v>
      </c>
      <c r="D750" s="4" t="s">
        <v>3069</v>
      </c>
      <c r="E750" t="str">
        <f>IF(COUNTIF(Sayfa2!$A$2:$A$8,"*"&amp;D750&amp;"*")&gt;0, Sayfa2!$A$1,
 IF(COUNTIF(Sayfa2!$B$2:$B$8, "*"&amp;D750&amp;"*")&gt;0, Sayfa2!$B$1,
 IF(COUNTIF(Sayfa2!$C$2:$C$8, "*"&amp;D750&amp;"*")&gt;0, Sayfa2!$C$1,
 IF(COUNTIF(Sayfa2!$D$2:$D$8,"*"&amp;D750&amp;"*")&gt;0, Sayfa2!$D$1,
 IF(COUNTIF(Sayfa2!$E$2:$E$8, "*"&amp;D750&amp;"*")&gt;0, Sayfa2!$E$1, "Bulunamadı")))))</f>
        <v>SALI</v>
      </c>
    </row>
    <row r="751" spans="1:5" hidden="1" x14ac:dyDescent="0.25">
      <c r="A751" t="s">
        <v>2357</v>
      </c>
      <c r="B751" t="s">
        <v>829</v>
      </c>
      <c r="C751" t="s">
        <v>2304</v>
      </c>
      <c r="D751" s="4" t="s">
        <v>3071</v>
      </c>
      <c r="E751" t="str">
        <f>IF(COUNTIF(Sayfa2!$A$2:$A$8,"*"&amp;D751&amp;"*")&gt;0, Sayfa2!$A$1,
 IF(COUNTIF(Sayfa2!$B$2:$B$8, "*"&amp;D751&amp;"*")&gt;0, Sayfa2!$B$1,
 IF(COUNTIF(Sayfa2!$C$2:$C$8, "*"&amp;D751&amp;"*")&gt;0, Sayfa2!$C$1,
 IF(COUNTIF(Sayfa2!$D$2:$D$8,"*"&amp;D751&amp;"*")&gt;0, Sayfa2!$D$1,
 IF(COUNTIF(Sayfa2!$E$2:$E$8, "*"&amp;D751&amp;"*")&gt;0, Sayfa2!$E$1, "Bulunamadı")))))</f>
        <v>PERŞEMBE</v>
      </c>
    </row>
    <row r="752" spans="1:5" hidden="1" x14ac:dyDescent="0.25">
      <c r="A752" t="s">
        <v>2358</v>
      </c>
      <c r="B752" t="s">
        <v>830</v>
      </c>
      <c r="C752" t="s">
        <v>2299</v>
      </c>
      <c r="D752" s="4" t="s">
        <v>3069</v>
      </c>
      <c r="E752" t="str">
        <f>IF(COUNTIF(Sayfa2!$A$2:$A$8,"*"&amp;D752&amp;"*")&gt;0, Sayfa2!$A$1,
 IF(COUNTIF(Sayfa2!$B$2:$B$8, "*"&amp;D752&amp;"*")&gt;0, Sayfa2!$B$1,
 IF(COUNTIF(Sayfa2!$C$2:$C$8, "*"&amp;D752&amp;"*")&gt;0, Sayfa2!$C$1,
 IF(COUNTIF(Sayfa2!$D$2:$D$8,"*"&amp;D752&amp;"*")&gt;0, Sayfa2!$D$1,
 IF(COUNTIF(Sayfa2!$E$2:$E$8, "*"&amp;D752&amp;"*")&gt;0, Sayfa2!$E$1, "Bulunamadı")))))</f>
        <v>SALI</v>
      </c>
    </row>
    <row r="753" spans="1:5" hidden="1" x14ac:dyDescent="0.25">
      <c r="A753" t="s">
        <v>2359</v>
      </c>
      <c r="B753" t="s">
        <v>831</v>
      </c>
      <c r="C753" t="s">
        <v>2297</v>
      </c>
      <c r="D753" s="4" t="s">
        <v>3068</v>
      </c>
      <c r="E753" t="str">
        <f>IF(COUNTIF(Sayfa2!$A$2:$A$8,"*"&amp;D753&amp;"*")&gt;0, Sayfa2!$A$1,
 IF(COUNTIF(Sayfa2!$B$2:$B$8, "*"&amp;D753&amp;"*")&gt;0, Sayfa2!$B$1,
 IF(COUNTIF(Sayfa2!$C$2:$C$8, "*"&amp;D753&amp;"*")&gt;0, Sayfa2!$C$1,
 IF(COUNTIF(Sayfa2!$D$2:$D$8,"*"&amp;D753&amp;"*")&gt;0, Sayfa2!$D$1,
 IF(COUNTIF(Sayfa2!$E$2:$E$8, "*"&amp;D753&amp;"*")&gt;0, Sayfa2!$E$1, "Bulunamadı")))))</f>
        <v>PAZARTESİ</v>
      </c>
    </row>
    <row r="754" spans="1:5" hidden="1" x14ac:dyDescent="0.25">
      <c r="A754" t="s">
        <v>2360</v>
      </c>
      <c r="B754" t="s">
        <v>832</v>
      </c>
      <c r="C754" t="s">
        <v>2311</v>
      </c>
      <c r="D754" s="4" t="s">
        <v>3067</v>
      </c>
      <c r="E754" t="str">
        <f>IF(COUNTIF(Sayfa2!$A$2:$A$8,"*"&amp;D754&amp;"*")&gt;0, Sayfa2!$A$1,
 IF(COUNTIF(Sayfa2!$B$2:$B$8, "*"&amp;D754&amp;"*")&gt;0, Sayfa2!$B$1,
 IF(COUNTIF(Sayfa2!$C$2:$C$8, "*"&amp;D754&amp;"*")&gt;0, Sayfa2!$C$1,
 IF(COUNTIF(Sayfa2!$D$2:$D$8,"*"&amp;D754&amp;"*")&gt;0, Sayfa2!$D$1,
 IF(COUNTIF(Sayfa2!$E$2:$E$8, "*"&amp;D754&amp;"*")&gt;0, Sayfa2!$E$1, "Bulunamadı")))))</f>
        <v>CUMA</v>
      </c>
    </row>
    <row r="755" spans="1:5" hidden="1" x14ac:dyDescent="0.25">
      <c r="A755" t="s">
        <v>2361</v>
      </c>
      <c r="B755" t="s">
        <v>833</v>
      </c>
      <c r="C755" t="s">
        <v>2304</v>
      </c>
      <c r="D755" s="4" t="s">
        <v>3071</v>
      </c>
      <c r="E755" t="str">
        <f>IF(COUNTIF(Sayfa2!$A$2:$A$8,"*"&amp;D755&amp;"*")&gt;0, Sayfa2!$A$1,
 IF(COUNTIF(Sayfa2!$B$2:$B$8, "*"&amp;D755&amp;"*")&gt;0, Sayfa2!$B$1,
 IF(COUNTIF(Sayfa2!$C$2:$C$8, "*"&amp;D755&amp;"*")&gt;0, Sayfa2!$C$1,
 IF(COUNTIF(Sayfa2!$D$2:$D$8,"*"&amp;D755&amp;"*")&gt;0, Sayfa2!$D$1,
 IF(COUNTIF(Sayfa2!$E$2:$E$8, "*"&amp;D755&amp;"*")&gt;0, Sayfa2!$E$1, "Bulunamadı")))))</f>
        <v>PERŞEMBE</v>
      </c>
    </row>
    <row r="756" spans="1:5" hidden="1" x14ac:dyDescent="0.25">
      <c r="A756" t="s">
        <v>2362</v>
      </c>
      <c r="B756" t="s">
        <v>834</v>
      </c>
      <c r="C756" t="s">
        <v>2297</v>
      </c>
      <c r="D756" s="4" t="s">
        <v>3068</v>
      </c>
      <c r="E756" t="str">
        <f>IF(COUNTIF(Sayfa2!$A$2:$A$8,"*"&amp;D756&amp;"*")&gt;0, Sayfa2!$A$1,
 IF(COUNTIF(Sayfa2!$B$2:$B$8, "*"&amp;D756&amp;"*")&gt;0, Sayfa2!$B$1,
 IF(COUNTIF(Sayfa2!$C$2:$C$8, "*"&amp;D756&amp;"*")&gt;0, Sayfa2!$C$1,
 IF(COUNTIF(Sayfa2!$D$2:$D$8,"*"&amp;D756&amp;"*")&gt;0, Sayfa2!$D$1,
 IF(COUNTIF(Sayfa2!$E$2:$E$8, "*"&amp;D756&amp;"*")&gt;0, Sayfa2!$E$1, "Bulunamadı")))))</f>
        <v>PAZARTESİ</v>
      </c>
    </row>
    <row r="757" spans="1:5" hidden="1" x14ac:dyDescent="0.25">
      <c r="A757" t="s">
        <v>2363</v>
      </c>
      <c r="B757" t="s">
        <v>835</v>
      </c>
      <c r="C757" t="s">
        <v>2299</v>
      </c>
      <c r="D757" s="4" t="s">
        <v>3069</v>
      </c>
      <c r="E757" t="str">
        <f>IF(COUNTIF(Sayfa2!$A$2:$A$8,"*"&amp;D757&amp;"*")&gt;0, Sayfa2!$A$1,
 IF(COUNTIF(Sayfa2!$B$2:$B$8, "*"&amp;D757&amp;"*")&gt;0, Sayfa2!$B$1,
 IF(COUNTIF(Sayfa2!$C$2:$C$8, "*"&amp;D757&amp;"*")&gt;0, Sayfa2!$C$1,
 IF(COUNTIF(Sayfa2!$D$2:$D$8,"*"&amp;D757&amp;"*")&gt;0, Sayfa2!$D$1,
 IF(COUNTIF(Sayfa2!$E$2:$E$8, "*"&amp;D757&amp;"*")&gt;0, Sayfa2!$E$1, "Bulunamadı")))))</f>
        <v>SALI</v>
      </c>
    </row>
    <row r="758" spans="1:5" hidden="1" x14ac:dyDescent="0.25">
      <c r="A758" t="s">
        <v>2364</v>
      </c>
      <c r="B758" t="s">
        <v>836</v>
      </c>
      <c r="C758" t="s">
        <v>2299</v>
      </c>
      <c r="D758" s="4" t="s">
        <v>3069</v>
      </c>
      <c r="E758" t="str">
        <f>IF(COUNTIF(Sayfa2!$A$2:$A$8,"*"&amp;D758&amp;"*")&gt;0, Sayfa2!$A$1,
 IF(COUNTIF(Sayfa2!$B$2:$B$8, "*"&amp;D758&amp;"*")&gt;0, Sayfa2!$B$1,
 IF(COUNTIF(Sayfa2!$C$2:$C$8, "*"&amp;D758&amp;"*")&gt;0, Sayfa2!$C$1,
 IF(COUNTIF(Sayfa2!$D$2:$D$8,"*"&amp;D758&amp;"*")&gt;0, Sayfa2!$D$1,
 IF(COUNTIF(Sayfa2!$E$2:$E$8, "*"&amp;D758&amp;"*")&gt;0, Sayfa2!$E$1, "Bulunamadı")))))</f>
        <v>SALI</v>
      </c>
    </row>
    <row r="759" spans="1:5" hidden="1" x14ac:dyDescent="0.25">
      <c r="A759" t="s">
        <v>2365</v>
      </c>
      <c r="B759" t="s">
        <v>837</v>
      </c>
      <c r="C759" t="s">
        <v>2311</v>
      </c>
      <c r="D759" s="4" t="s">
        <v>3067</v>
      </c>
      <c r="E759" t="str">
        <f>IF(COUNTIF(Sayfa2!$A$2:$A$8,"*"&amp;D759&amp;"*")&gt;0, Sayfa2!$A$1,
 IF(COUNTIF(Sayfa2!$B$2:$B$8, "*"&amp;D759&amp;"*")&gt;0, Sayfa2!$B$1,
 IF(COUNTIF(Sayfa2!$C$2:$C$8, "*"&amp;D759&amp;"*")&gt;0, Sayfa2!$C$1,
 IF(COUNTIF(Sayfa2!$D$2:$D$8,"*"&amp;D759&amp;"*")&gt;0, Sayfa2!$D$1,
 IF(COUNTIF(Sayfa2!$E$2:$E$8, "*"&amp;D759&amp;"*")&gt;0, Sayfa2!$E$1, "Bulunamadı")))))</f>
        <v>CUMA</v>
      </c>
    </row>
    <row r="760" spans="1:5" hidden="1" x14ac:dyDescent="0.25">
      <c r="A760" t="s">
        <v>2366</v>
      </c>
      <c r="B760" t="s">
        <v>838</v>
      </c>
      <c r="C760" t="s">
        <v>2297</v>
      </c>
      <c r="D760" s="4" t="s">
        <v>3068</v>
      </c>
      <c r="E760" t="str">
        <f>IF(COUNTIF(Sayfa2!$A$2:$A$8,"*"&amp;D760&amp;"*")&gt;0, Sayfa2!$A$1,
 IF(COUNTIF(Sayfa2!$B$2:$B$8, "*"&amp;D760&amp;"*")&gt;0, Sayfa2!$B$1,
 IF(COUNTIF(Sayfa2!$C$2:$C$8, "*"&amp;D760&amp;"*")&gt;0, Sayfa2!$C$1,
 IF(COUNTIF(Sayfa2!$D$2:$D$8,"*"&amp;D760&amp;"*")&gt;0, Sayfa2!$D$1,
 IF(COUNTIF(Sayfa2!$E$2:$E$8, "*"&amp;D760&amp;"*")&gt;0, Sayfa2!$E$1, "Bulunamadı")))))</f>
        <v>PAZARTESİ</v>
      </c>
    </row>
    <row r="761" spans="1:5" hidden="1" x14ac:dyDescent="0.25">
      <c r="A761" t="s">
        <v>2367</v>
      </c>
      <c r="B761" t="s">
        <v>839</v>
      </c>
      <c r="C761" t="s">
        <v>2302</v>
      </c>
      <c r="D761" s="4" t="s">
        <v>3070</v>
      </c>
      <c r="E761" t="str">
        <f>IF(COUNTIF(Sayfa2!$A$2:$A$8,"*"&amp;D761&amp;"*")&gt;0, Sayfa2!$A$1,
 IF(COUNTIF(Sayfa2!$B$2:$B$8, "*"&amp;D761&amp;"*")&gt;0, Sayfa2!$B$1,
 IF(COUNTIF(Sayfa2!$C$2:$C$8, "*"&amp;D761&amp;"*")&gt;0, Sayfa2!$C$1,
 IF(COUNTIF(Sayfa2!$D$2:$D$8,"*"&amp;D761&amp;"*")&gt;0, Sayfa2!$D$1,
 IF(COUNTIF(Sayfa2!$E$2:$E$8, "*"&amp;D761&amp;"*")&gt;0, Sayfa2!$E$1, "Bulunamadı")))))</f>
        <v>ÇARŞAMBA</v>
      </c>
    </row>
    <row r="762" spans="1:5" hidden="1" x14ac:dyDescent="0.25">
      <c r="A762" t="s">
        <v>2368</v>
      </c>
      <c r="B762" t="s">
        <v>840</v>
      </c>
      <c r="C762" t="s">
        <v>2297</v>
      </c>
      <c r="D762" s="4" t="s">
        <v>3068</v>
      </c>
      <c r="E762" t="str">
        <f>IF(COUNTIF(Sayfa2!$A$2:$A$8,"*"&amp;D762&amp;"*")&gt;0, Sayfa2!$A$1,
 IF(COUNTIF(Sayfa2!$B$2:$B$8, "*"&amp;D762&amp;"*")&gt;0, Sayfa2!$B$1,
 IF(COUNTIF(Sayfa2!$C$2:$C$8, "*"&amp;D762&amp;"*")&gt;0, Sayfa2!$C$1,
 IF(COUNTIF(Sayfa2!$D$2:$D$8,"*"&amp;D762&amp;"*")&gt;0, Sayfa2!$D$1,
 IF(COUNTIF(Sayfa2!$E$2:$E$8, "*"&amp;D762&amp;"*")&gt;0, Sayfa2!$E$1, "Bulunamadı")))))</f>
        <v>PAZARTESİ</v>
      </c>
    </row>
    <row r="763" spans="1:5" hidden="1" x14ac:dyDescent="0.25">
      <c r="A763" t="s">
        <v>2369</v>
      </c>
      <c r="B763" t="s">
        <v>841</v>
      </c>
      <c r="C763" t="s">
        <v>2304</v>
      </c>
      <c r="D763" s="4" t="s">
        <v>3071</v>
      </c>
      <c r="E763" t="str">
        <f>IF(COUNTIF(Sayfa2!$A$2:$A$8,"*"&amp;D763&amp;"*")&gt;0, Sayfa2!$A$1,
 IF(COUNTIF(Sayfa2!$B$2:$B$8, "*"&amp;D763&amp;"*")&gt;0, Sayfa2!$B$1,
 IF(COUNTIF(Sayfa2!$C$2:$C$8, "*"&amp;D763&amp;"*")&gt;0, Sayfa2!$C$1,
 IF(COUNTIF(Sayfa2!$D$2:$D$8,"*"&amp;D763&amp;"*")&gt;0, Sayfa2!$D$1,
 IF(COUNTIF(Sayfa2!$E$2:$E$8, "*"&amp;D763&amp;"*")&gt;0, Sayfa2!$E$1, "Bulunamadı")))))</f>
        <v>PERŞEMBE</v>
      </c>
    </row>
    <row r="764" spans="1:5" hidden="1" x14ac:dyDescent="0.25">
      <c r="A764" t="s">
        <v>2370</v>
      </c>
      <c r="B764" t="s">
        <v>842</v>
      </c>
      <c r="C764" t="s">
        <v>2297</v>
      </c>
      <c r="D764" s="4" t="s">
        <v>3068</v>
      </c>
      <c r="E764" t="str">
        <f>IF(COUNTIF(Sayfa2!$A$2:$A$8,"*"&amp;D764&amp;"*")&gt;0, Sayfa2!$A$1,
 IF(COUNTIF(Sayfa2!$B$2:$B$8, "*"&amp;D764&amp;"*")&gt;0, Sayfa2!$B$1,
 IF(COUNTIF(Sayfa2!$C$2:$C$8, "*"&amp;D764&amp;"*")&gt;0, Sayfa2!$C$1,
 IF(COUNTIF(Sayfa2!$D$2:$D$8,"*"&amp;D764&amp;"*")&gt;0, Sayfa2!$D$1,
 IF(COUNTIF(Sayfa2!$E$2:$E$8, "*"&amp;D764&amp;"*")&gt;0, Sayfa2!$E$1, "Bulunamadı")))))</f>
        <v>PAZARTESİ</v>
      </c>
    </row>
    <row r="765" spans="1:5" hidden="1" x14ac:dyDescent="0.25">
      <c r="A765" t="s">
        <v>2371</v>
      </c>
      <c r="B765" t="s">
        <v>843</v>
      </c>
      <c r="C765" t="s">
        <v>2372</v>
      </c>
      <c r="D765" s="4" t="s">
        <v>3067</v>
      </c>
      <c r="E765" t="str">
        <f>IF(COUNTIF(Sayfa2!$A$2:$A$8,"*"&amp;D765&amp;"*")&gt;0, Sayfa2!$A$1,
 IF(COUNTIF(Sayfa2!$B$2:$B$8, "*"&amp;D765&amp;"*")&gt;0, Sayfa2!$B$1,
 IF(COUNTIF(Sayfa2!$C$2:$C$8, "*"&amp;D765&amp;"*")&gt;0, Sayfa2!$C$1,
 IF(COUNTIF(Sayfa2!$D$2:$D$8,"*"&amp;D765&amp;"*")&gt;0, Sayfa2!$D$1,
 IF(COUNTIF(Sayfa2!$E$2:$E$8, "*"&amp;D765&amp;"*")&gt;0, Sayfa2!$E$1, "Bulunamadı")))))</f>
        <v>CUMA</v>
      </c>
    </row>
    <row r="766" spans="1:5" hidden="1" x14ac:dyDescent="0.25">
      <c r="A766" t="s">
        <v>2373</v>
      </c>
      <c r="B766" t="s">
        <v>844</v>
      </c>
      <c r="C766" t="s">
        <v>2374</v>
      </c>
      <c r="D766" s="4" t="s">
        <v>3071</v>
      </c>
      <c r="E766" t="str">
        <f>IF(COUNTIF(Sayfa2!$A$2:$A$8,"*"&amp;D766&amp;"*")&gt;0, Sayfa2!$A$1,
 IF(COUNTIF(Sayfa2!$B$2:$B$8, "*"&amp;D766&amp;"*")&gt;0, Sayfa2!$B$1,
 IF(COUNTIF(Sayfa2!$C$2:$C$8, "*"&amp;D766&amp;"*")&gt;0, Sayfa2!$C$1,
 IF(COUNTIF(Sayfa2!$D$2:$D$8,"*"&amp;D766&amp;"*")&gt;0, Sayfa2!$D$1,
 IF(COUNTIF(Sayfa2!$E$2:$E$8, "*"&amp;D766&amp;"*")&gt;0, Sayfa2!$E$1, "Bulunamadı")))))</f>
        <v>PERŞEMBE</v>
      </c>
    </row>
    <row r="767" spans="1:5" hidden="1" x14ac:dyDescent="0.25">
      <c r="A767" t="s">
        <v>2375</v>
      </c>
      <c r="B767" t="s">
        <v>845</v>
      </c>
      <c r="C767" t="s">
        <v>2376</v>
      </c>
      <c r="D767" s="4" t="s">
        <v>3067</v>
      </c>
      <c r="E767" t="str">
        <f>IF(COUNTIF(Sayfa2!$A$2:$A$8,"*"&amp;D767&amp;"*")&gt;0, Sayfa2!$A$1,
 IF(COUNTIF(Sayfa2!$B$2:$B$8, "*"&amp;D767&amp;"*")&gt;0, Sayfa2!$B$1,
 IF(COUNTIF(Sayfa2!$C$2:$C$8, "*"&amp;D767&amp;"*")&gt;0, Sayfa2!$C$1,
 IF(COUNTIF(Sayfa2!$D$2:$D$8,"*"&amp;D767&amp;"*")&gt;0, Sayfa2!$D$1,
 IF(COUNTIF(Sayfa2!$E$2:$E$8, "*"&amp;D767&amp;"*")&gt;0, Sayfa2!$E$1, "Bulunamadı")))))</f>
        <v>CUMA</v>
      </c>
    </row>
    <row r="768" spans="1:5" hidden="1" x14ac:dyDescent="0.25">
      <c r="A768" t="s">
        <v>2377</v>
      </c>
      <c r="B768" t="s">
        <v>846</v>
      </c>
      <c r="C768" t="s">
        <v>2378</v>
      </c>
      <c r="D768" s="4" t="s">
        <v>3071</v>
      </c>
      <c r="E768" t="str">
        <f>IF(COUNTIF(Sayfa2!$A$2:$A$8,"*"&amp;D768&amp;"*")&gt;0, Sayfa2!$A$1,
 IF(COUNTIF(Sayfa2!$B$2:$B$8, "*"&amp;D768&amp;"*")&gt;0, Sayfa2!$B$1,
 IF(COUNTIF(Sayfa2!$C$2:$C$8, "*"&amp;D768&amp;"*")&gt;0, Sayfa2!$C$1,
 IF(COUNTIF(Sayfa2!$D$2:$D$8,"*"&amp;D768&amp;"*")&gt;0, Sayfa2!$D$1,
 IF(COUNTIF(Sayfa2!$E$2:$E$8, "*"&amp;D768&amp;"*")&gt;0, Sayfa2!$E$1, "Bulunamadı")))))</f>
        <v>PERŞEMBE</v>
      </c>
    </row>
    <row r="769" spans="1:5" hidden="1" x14ac:dyDescent="0.25">
      <c r="A769" t="s">
        <v>2379</v>
      </c>
      <c r="B769" t="s">
        <v>847</v>
      </c>
      <c r="C769" t="s">
        <v>2380</v>
      </c>
      <c r="D769" s="4" t="s">
        <v>3068</v>
      </c>
      <c r="E769" t="str">
        <f>IF(COUNTIF(Sayfa2!$A$2:$A$8,"*"&amp;D769&amp;"*")&gt;0, Sayfa2!$A$1,
 IF(COUNTIF(Sayfa2!$B$2:$B$8, "*"&amp;D769&amp;"*")&gt;0, Sayfa2!$B$1,
 IF(COUNTIF(Sayfa2!$C$2:$C$8, "*"&amp;D769&amp;"*")&gt;0, Sayfa2!$C$1,
 IF(COUNTIF(Sayfa2!$D$2:$D$8,"*"&amp;D769&amp;"*")&gt;0, Sayfa2!$D$1,
 IF(COUNTIF(Sayfa2!$E$2:$E$8, "*"&amp;D769&amp;"*")&gt;0, Sayfa2!$E$1, "Bulunamadı")))))</f>
        <v>PAZARTESİ</v>
      </c>
    </row>
    <row r="770" spans="1:5" hidden="1" x14ac:dyDescent="0.25">
      <c r="A770" t="s">
        <v>2381</v>
      </c>
      <c r="B770" t="s">
        <v>848</v>
      </c>
      <c r="C770" t="s">
        <v>2378</v>
      </c>
      <c r="D770" s="4" t="s">
        <v>3071</v>
      </c>
      <c r="E770" t="str">
        <f>IF(COUNTIF(Sayfa2!$A$2:$A$8,"*"&amp;D770&amp;"*")&gt;0, Sayfa2!$A$1,
 IF(COUNTIF(Sayfa2!$B$2:$B$8, "*"&amp;D770&amp;"*")&gt;0, Sayfa2!$B$1,
 IF(COUNTIF(Sayfa2!$C$2:$C$8, "*"&amp;D770&amp;"*")&gt;0, Sayfa2!$C$1,
 IF(COUNTIF(Sayfa2!$D$2:$D$8,"*"&amp;D770&amp;"*")&gt;0, Sayfa2!$D$1,
 IF(COUNTIF(Sayfa2!$E$2:$E$8, "*"&amp;D770&amp;"*")&gt;0, Sayfa2!$E$1, "Bulunamadı")))))</f>
        <v>PERŞEMBE</v>
      </c>
    </row>
    <row r="771" spans="1:5" hidden="1" x14ac:dyDescent="0.25">
      <c r="A771" t="s">
        <v>2382</v>
      </c>
      <c r="B771" t="s">
        <v>849</v>
      </c>
      <c r="C771" t="s">
        <v>2380</v>
      </c>
      <c r="D771" s="4" t="s">
        <v>3068</v>
      </c>
      <c r="E771" t="str">
        <f>IF(COUNTIF(Sayfa2!$A$2:$A$8,"*"&amp;D771&amp;"*")&gt;0, Sayfa2!$A$1,
 IF(COUNTIF(Sayfa2!$B$2:$B$8, "*"&amp;D771&amp;"*")&gt;0, Sayfa2!$B$1,
 IF(COUNTIF(Sayfa2!$C$2:$C$8, "*"&amp;D771&amp;"*")&gt;0, Sayfa2!$C$1,
 IF(COUNTIF(Sayfa2!$D$2:$D$8,"*"&amp;D771&amp;"*")&gt;0, Sayfa2!$D$1,
 IF(COUNTIF(Sayfa2!$E$2:$E$8, "*"&amp;D771&amp;"*")&gt;0, Sayfa2!$E$1, "Bulunamadı")))))</f>
        <v>PAZARTESİ</v>
      </c>
    </row>
    <row r="772" spans="1:5" hidden="1" x14ac:dyDescent="0.25">
      <c r="A772" t="s">
        <v>2383</v>
      </c>
      <c r="B772" t="s">
        <v>850</v>
      </c>
      <c r="C772" t="s">
        <v>2384</v>
      </c>
      <c r="D772" s="4" t="s">
        <v>3070</v>
      </c>
      <c r="E772" t="str">
        <f>IF(COUNTIF(Sayfa2!$A$2:$A$8,"*"&amp;D772&amp;"*")&gt;0, Sayfa2!$A$1,
 IF(COUNTIF(Sayfa2!$B$2:$B$8, "*"&amp;D772&amp;"*")&gt;0, Sayfa2!$B$1,
 IF(COUNTIF(Sayfa2!$C$2:$C$8, "*"&amp;D772&amp;"*")&gt;0, Sayfa2!$C$1,
 IF(COUNTIF(Sayfa2!$D$2:$D$8,"*"&amp;D772&amp;"*")&gt;0, Sayfa2!$D$1,
 IF(COUNTIF(Sayfa2!$E$2:$E$8, "*"&amp;D772&amp;"*")&gt;0, Sayfa2!$E$1, "Bulunamadı")))))</f>
        <v>ÇARŞAMBA</v>
      </c>
    </row>
    <row r="773" spans="1:5" hidden="1" x14ac:dyDescent="0.25">
      <c r="A773" t="s">
        <v>2385</v>
      </c>
      <c r="B773" t="s">
        <v>851</v>
      </c>
      <c r="C773" t="s">
        <v>2386</v>
      </c>
      <c r="D773" s="4" t="s">
        <v>3069</v>
      </c>
      <c r="E773" t="str">
        <f>IF(COUNTIF(Sayfa2!$A$2:$A$8,"*"&amp;D773&amp;"*")&gt;0, Sayfa2!$A$1,
 IF(COUNTIF(Sayfa2!$B$2:$B$8, "*"&amp;D773&amp;"*")&gt;0, Sayfa2!$B$1,
 IF(COUNTIF(Sayfa2!$C$2:$C$8, "*"&amp;D773&amp;"*")&gt;0, Sayfa2!$C$1,
 IF(COUNTIF(Sayfa2!$D$2:$D$8,"*"&amp;D773&amp;"*")&gt;0, Sayfa2!$D$1,
 IF(COUNTIF(Sayfa2!$E$2:$E$8, "*"&amp;D773&amp;"*")&gt;0, Sayfa2!$E$1, "Bulunamadı")))))</f>
        <v>SALI</v>
      </c>
    </row>
    <row r="774" spans="1:5" hidden="1" x14ac:dyDescent="0.25">
      <c r="A774" t="s">
        <v>2387</v>
      </c>
      <c r="B774" t="s">
        <v>852</v>
      </c>
      <c r="C774" t="s">
        <v>2380</v>
      </c>
      <c r="D774" s="4" t="s">
        <v>3068</v>
      </c>
      <c r="E774" t="str">
        <f>IF(COUNTIF(Sayfa2!$A$2:$A$8,"*"&amp;D774&amp;"*")&gt;0, Sayfa2!$A$1,
 IF(COUNTIF(Sayfa2!$B$2:$B$8, "*"&amp;D774&amp;"*")&gt;0, Sayfa2!$B$1,
 IF(COUNTIF(Sayfa2!$C$2:$C$8, "*"&amp;D774&amp;"*")&gt;0, Sayfa2!$C$1,
 IF(COUNTIF(Sayfa2!$D$2:$D$8,"*"&amp;D774&amp;"*")&gt;0, Sayfa2!$D$1,
 IF(COUNTIF(Sayfa2!$E$2:$E$8, "*"&amp;D774&amp;"*")&gt;0, Sayfa2!$E$1, "Bulunamadı")))))</f>
        <v>PAZARTESİ</v>
      </c>
    </row>
    <row r="775" spans="1:5" hidden="1" x14ac:dyDescent="0.25">
      <c r="A775" t="s">
        <v>2388</v>
      </c>
      <c r="B775" t="s">
        <v>853</v>
      </c>
      <c r="C775" t="s">
        <v>2380</v>
      </c>
      <c r="D775" s="4" t="s">
        <v>3068</v>
      </c>
      <c r="E775" t="str">
        <f>IF(COUNTIF(Sayfa2!$A$2:$A$8,"*"&amp;D775&amp;"*")&gt;0, Sayfa2!$A$1,
 IF(COUNTIF(Sayfa2!$B$2:$B$8, "*"&amp;D775&amp;"*")&gt;0, Sayfa2!$B$1,
 IF(COUNTIF(Sayfa2!$C$2:$C$8, "*"&amp;D775&amp;"*")&gt;0, Sayfa2!$C$1,
 IF(COUNTIF(Sayfa2!$D$2:$D$8,"*"&amp;D775&amp;"*")&gt;0, Sayfa2!$D$1,
 IF(COUNTIF(Sayfa2!$E$2:$E$8, "*"&amp;D775&amp;"*")&gt;0, Sayfa2!$E$1, "Bulunamadı")))))</f>
        <v>PAZARTESİ</v>
      </c>
    </row>
    <row r="776" spans="1:5" hidden="1" x14ac:dyDescent="0.25">
      <c r="A776" t="s">
        <v>2389</v>
      </c>
      <c r="B776" t="s">
        <v>854</v>
      </c>
      <c r="C776" t="s">
        <v>2384</v>
      </c>
      <c r="D776" s="4" t="s">
        <v>3070</v>
      </c>
      <c r="E776" t="str">
        <f>IF(COUNTIF(Sayfa2!$A$2:$A$8,"*"&amp;D776&amp;"*")&gt;0, Sayfa2!$A$1,
 IF(COUNTIF(Sayfa2!$B$2:$B$8, "*"&amp;D776&amp;"*")&gt;0, Sayfa2!$B$1,
 IF(COUNTIF(Sayfa2!$C$2:$C$8, "*"&amp;D776&amp;"*")&gt;0, Sayfa2!$C$1,
 IF(COUNTIF(Sayfa2!$D$2:$D$8,"*"&amp;D776&amp;"*")&gt;0, Sayfa2!$D$1,
 IF(COUNTIF(Sayfa2!$E$2:$E$8, "*"&amp;D776&amp;"*")&gt;0, Sayfa2!$E$1, "Bulunamadı")))))</f>
        <v>ÇARŞAMBA</v>
      </c>
    </row>
    <row r="777" spans="1:5" hidden="1" x14ac:dyDescent="0.25">
      <c r="A777" t="s">
        <v>2390</v>
      </c>
      <c r="B777" t="s">
        <v>855</v>
      </c>
      <c r="C777" t="s">
        <v>2386</v>
      </c>
      <c r="D777" s="4" t="s">
        <v>3069</v>
      </c>
      <c r="E777" t="str">
        <f>IF(COUNTIF(Sayfa2!$A$2:$A$8,"*"&amp;D777&amp;"*")&gt;0, Sayfa2!$A$1,
 IF(COUNTIF(Sayfa2!$B$2:$B$8, "*"&amp;D777&amp;"*")&gt;0, Sayfa2!$B$1,
 IF(COUNTIF(Sayfa2!$C$2:$C$8, "*"&amp;D777&amp;"*")&gt;0, Sayfa2!$C$1,
 IF(COUNTIF(Sayfa2!$D$2:$D$8,"*"&amp;D777&amp;"*")&gt;0, Sayfa2!$D$1,
 IF(COUNTIF(Sayfa2!$E$2:$E$8, "*"&amp;D777&amp;"*")&gt;0, Sayfa2!$E$1, "Bulunamadı")))))</f>
        <v>SALI</v>
      </c>
    </row>
    <row r="778" spans="1:5" hidden="1" x14ac:dyDescent="0.25">
      <c r="A778" t="s">
        <v>2391</v>
      </c>
      <c r="B778" t="s">
        <v>856</v>
      </c>
      <c r="C778" t="s">
        <v>2376</v>
      </c>
      <c r="D778" s="4" t="s">
        <v>3067</v>
      </c>
      <c r="E778" t="str">
        <f>IF(COUNTIF(Sayfa2!$A$2:$A$8,"*"&amp;D778&amp;"*")&gt;0, Sayfa2!$A$1,
 IF(COUNTIF(Sayfa2!$B$2:$B$8, "*"&amp;D778&amp;"*")&gt;0, Sayfa2!$B$1,
 IF(COUNTIF(Sayfa2!$C$2:$C$8, "*"&amp;D778&amp;"*")&gt;0, Sayfa2!$C$1,
 IF(COUNTIF(Sayfa2!$D$2:$D$8,"*"&amp;D778&amp;"*")&gt;0, Sayfa2!$D$1,
 IF(COUNTIF(Sayfa2!$E$2:$E$8, "*"&amp;D778&amp;"*")&gt;0, Sayfa2!$E$1, "Bulunamadı")))))</f>
        <v>CUMA</v>
      </c>
    </row>
    <row r="779" spans="1:5" hidden="1" x14ac:dyDescent="0.25">
      <c r="A779" t="s">
        <v>2392</v>
      </c>
      <c r="B779" t="s">
        <v>857</v>
      </c>
      <c r="C779" t="s">
        <v>2386</v>
      </c>
      <c r="D779" s="4" t="s">
        <v>3069</v>
      </c>
      <c r="E779" t="str">
        <f>IF(COUNTIF(Sayfa2!$A$2:$A$8,"*"&amp;D779&amp;"*")&gt;0, Sayfa2!$A$1,
 IF(COUNTIF(Sayfa2!$B$2:$B$8, "*"&amp;D779&amp;"*")&gt;0, Sayfa2!$B$1,
 IF(COUNTIF(Sayfa2!$C$2:$C$8, "*"&amp;D779&amp;"*")&gt;0, Sayfa2!$C$1,
 IF(COUNTIF(Sayfa2!$D$2:$D$8,"*"&amp;D779&amp;"*")&gt;0, Sayfa2!$D$1,
 IF(COUNTIF(Sayfa2!$E$2:$E$8, "*"&amp;D779&amp;"*")&gt;0, Sayfa2!$E$1, "Bulunamadı")))))</f>
        <v>SALI</v>
      </c>
    </row>
    <row r="780" spans="1:5" hidden="1" x14ac:dyDescent="0.25">
      <c r="A780" t="s">
        <v>2393</v>
      </c>
      <c r="B780" t="s">
        <v>858</v>
      </c>
      <c r="C780" t="s">
        <v>2386</v>
      </c>
      <c r="D780" s="4" t="s">
        <v>3069</v>
      </c>
      <c r="E780" t="str">
        <f>IF(COUNTIF(Sayfa2!$A$2:$A$8,"*"&amp;D780&amp;"*")&gt;0, Sayfa2!$A$1,
 IF(COUNTIF(Sayfa2!$B$2:$B$8, "*"&amp;D780&amp;"*")&gt;0, Sayfa2!$B$1,
 IF(COUNTIF(Sayfa2!$C$2:$C$8, "*"&amp;D780&amp;"*")&gt;0, Sayfa2!$C$1,
 IF(COUNTIF(Sayfa2!$D$2:$D$8,"*"&amp;D780&amp;"*")&gt;0, Sayfa2!$D$1,
 IF(COUNTIF(Sayfa2!$E$2:$E$8, "*"&amp;D780&amp;"*")&gt;0, Sayfa2!$E$1, "Bulunamadı")))))</f>
        <v>SALI</v>
      </c>
    </row>
    <row r="781" spans="1:5" hidden="1" x14ac:dyDescent="0.25">
      <c r="A781" t="s">
        <v>2394</v>
      </c>
      <c r="B781" t="s">
        <v>859</v>
      </c>
      <c r="C781" t="s">
        <v>2378</v>
      </c>
      <c r="D781" s="4" t="s">
        <v>3071</v>
      </c>
      <c r="E781" t="str">
        <f>IF(COUNTIF(Sayfa2!$A$2:$A$8,"*"&amp;D781&amp;"*")&gt;0, Sayfa2!$A$1,
 IF(COUNTIF(Sayfa2!$B$2:$B$8, "*"&amp;D781&amp;"*")&gt;0, Sayfa2!$B$1,
 IF(COUNTIF(Sayfa2!$C$2:$C$8, "*"&amp;D781&amp;"*")&gt;0, Sayfa2!$C$1,
 IF(COUNTIF(Sayfa2!$D$2:$D$8,"*"&amp;D781&amp;"*")&gt;0, Sayfa2!$D$1,
 IF(COUNTIF(Sayfa2!$E$2:$E$8, "*"&amp;D781&amp;"*")&gt;0, Sayfa2!$E$1, "Bulunamadı")))))</f>
        <v>PERŞEMBE</v>
      </c>
    </row>
    <row r="782" spans="1:5" hidden="1" x14ac:dyDescent="0.25">
      <c r="A782" t="s">
        <v>2395</v>
      </c>
      <c r="B782" t="s">
        <v>860</v>
      </c>
      <c r="C782" t="s">
        <v>2386</v>
      </c>
      <c r="D782" s="4" t="s">
        <v>3069</v>
      </c>
      <c r="E782" t="str">
        <f>IF(COUNTIF(Sayfa2!$A$2:$A$8,"*"&amp;D782&amp;"*")&gt;0, Sayfa2!$A$1,
 IF(COUNTIF(Sayfa2!$B$2:$B$8, "*"&amp;D782&amp;"*")&gt;0, Sayfa2!$B$1,
 IF(COUNTIF(Sayfa2!$C$2:$C$8, "*"&amp;D782&amp;"*")&gt;0, Sayfa2!$C$1,
 IF(COUNTIF(Sayfa2!$D$2:$D$8,"*"&amp;D782&amp;"*")&gt;0, Sayfa2!$D$1,
 IF(COUNTIF(Sayfa2!$E$2:$E$8, "*"&amp;D782&amp;"*")&gt;0, Sayfa2!$E$1, "Bulunamadı")))))</f>
        <v>SALI</v>
      </c>
    </row>
    <row r="783" spans="1:5" hidden="1" x14ac:dyDescent="0.25">
      <c r="A783" t="s">
        <v>2396</v>
      </c>
      <c r="B783" t="s">
        <v>861</v>
      </c>
      <c r="C783" t="s">
        <v>2376</v>
      </c>
      <c r="D783" s="4" t="s">
        <v>3067</v>
      </c>
      <c r="E783" t="str">
        <f>IF(COUNTIF(Sayfa2!$A$2:$A$8,"*"&amp;D783&amp;"*")&gt;0, Sayfa2!$A$1,
 IF(COUNTIF(Sayfa2!$B$2:$B$8, "*"&amp;D783&amp;"*")&gt;0, Sayfa2!$B$1,
 IF(COUNTIF(Sayfa2!$C$2:$C$8, "*"&amp;D783&amp;"*")&gt;0, Sayfa2!$C$1,
 IF(COUNTIF(Sayfa2!$D$2:$D$8,"*"&amp;D783&amp;"*")&gt;0, Sayfa2!$D$1,
 IF(COUNTIF(Sayfa2!$E$2:$E$8, "*"&amp;D783&amp;"*")&gt;0, Sayfa2!$E$1, "Bulunamadı")))))</f>
        <v>CUMA</v>
      </c>
    </row>
    <row r="784" spans="1:5" hidden="1" x14ac:dyDescent="0.25">
      <c r="A784" t="s">
        <v>2397</v>
      </c>
      <c r="B784" t="s">
        <v>862</v>
      </c>
      <c r="C784" t="s">
        <v>2384</v>
      </c>
      <c r="D784" s="4" t="s">
        <v>3070</v>
      </c>
      <c r="E784" t="str">
        <f>IF(COUNTIF(Sayfa2!$A$2:$A$8,"*"&amp;D784&amp;"*")&gt;0, Sayfa2!$A$1,
 IF(COUNTIF(Sayfa2!$B$2:$B$8, "*"&amp;D784&amp;"*")&gt;0, Sayfa2!$B$1,
 IF(COUNTIF(Sayfa2!$C$2:$C$8, "*"&amp;D784&amp;"*")&gt;0, Sayfa2!$C$1,
 IF(COUNTIF(Sayfa2!$D$2:$D$8,"*"&amp;D784&amp;"*")&gt;0, Sayfa2!$D$1,
 IF(COUNTIF(Sayfa2!$E$2:$E$8, "*"&amp;D784&amp;"*")&gt;0, Sayfa2!$E$1, "Bulunamadı")))))</f>
        <v>ÇARŞAMBA</v>
      </c>
    </row>
    <row r="785" spans="1:5" hidden="1" x14ac:dyDescent="0.25">
      <c r="A785" t="s">
        <v>2398</v>
      </c>
      <c r="B785" t="s">
        <v>863</v>
      </c>
      <c r="C785" t="s">
        <v>2384</v>
      </c>
      <c r="D785" s="4" t="s">
        <v>3070</v>
      </c>
      <c r="E785" t="str">
        <f>IF(COUNTIF(Sayfa2!$A$2:$A$8,"*"&amp;D785&amp;"*")&gt;0, Sayfa2!$A$1,
 IF(COUNTIF(Sayfa2!$B$2:$B$8, "*"&amp;D785&amp;"*")&gt;0, Sayfa2!$B$1,
 IF(COUNTIF(Sayfa2!$C$2:$C$8, "*"&amp;D785&amp;"*")&gt;0, Sayfa2!$C$1,
 IF(COUNTIF(Sayfa2!$D$2:$D$8,"*"&amp;D785&amp;"*")&gt;0, Sayfa2!$D$1,
 IF(COUNTIF(Sayfa2!$E$2:$E$8, "*"&amp;D785&amp;"*")&gt;0, Sayfa2!$E$1, "Bulunamadı")))))</f>
        <v>ÇARŞAMBA</v>
      </c>
    </row>
    <row r="786" spans="1:5" hidden="1" x14ac:dyDescent="0.25">
      <c r="A786" t="s">
        <v>2399</v>
      </c>
      <c r="B786" t="s">
        <v>864</v>
      </c>
      <c r="C786" t="s">
        <v>2380</v>
      </c>
      <c r="D786" s="4" t="s">
        <v>3068</v>
      </c>
      <c r="E786" t="str">
        <f>IF(COUNTIF(Sayfa2!$A$2:$A$8,"*"&amp;D786&amp;"*")&gt;0, Sayfa2!$A$1,
 IF(COUNTIF(Sayfa2!$B$2:$B$8, "*"&amp;D786&amp;"*")&gt;0, Sayfa2!$B$1,
 IF(COUNTIF(Sayfa2!$C$2:$C$8, "*"&amp;D786&amp;"*")&gt;0, Sayfa2!$C$1,
 IF(COUNTIF(Sayfa2!$D$2:$D$8,"*"&amp;D786&amp;"*")&gt;0, Sayfa2!$D$1,
 IF(COUNTIF(Sayfa2!$E$2:$E$8, "*"&amp;D786&amp;"*")&gt;0, Sayfa2!$E$1, "Bulunamadı")))))</f>
        <v>PAZARTESİ</v>
      </c>
    </row>
    <row r="787" spans="1:5" hidden="1" x14ac:dyDescent="0.25">
      <c r="A787" t="s">
        <v>2400</v>
      </c>
      <c r="B787" t="s">
        <v>865</v>
      </c>
      <c r="C787" t="s">
        <v>2378</v>
      </c>
      <c r="D787" s="4" t="s">
        <v>3071</v>
      </c>
      <c r="E787" t="str">
        <f>IF(COUNTIF(Sayfa2!$A$2:$A$8,"*"&amp;D787&amp;"*")&gt;0, Sayfa2!$A$1,
 IF(COUNTIF(Sayfa2!$B$2:$B$8, "*"&amp;D787&amp;"*")&gt;0, Sayfa2!$B$1,
 IF(COUNTIF(Sayfa2!$C$2:$C$8, "*"&amp;D787&amp;"*")&gt;0, Sayfa2!$C$1,
 IF(COUNTIF(Sayfa2!$D$2:$D$8,"*"&amp;D787&amp;"*")&gt;0, Sayfa2!$D$1,
 IF(COUNTIF(Sayfa2!$E$2:$E$8, "*"&amp;D787&amp;"*")&gt;0, Sayfa2!$E$1, "Bulunamadı")))))</f>
        <v>PERŞEMBE</v>
      </c>
    </row>
    <row r="788" spans="1:5" hidden="1" x14ac:dyDescent="0.25">
      <c r="A788" t="s">
        <v>2401</v>
      </c>
      <c r="B788" t="s">
        <v>866</v>
      </c>
      <c r="C788" t="s">
        <v>2402</v>
      </c>
      <c r="D788" s="4" t="s">
        <v>3073</v>
      </c>
      <c r="E788" t="str">
        <f>IF(COUNTIF(Sayfa2!$A$2:$A$8,"*"&amp;D788&amp;"*")&gt;0, Sayfa2!$A$1,
 IF(COUNTIF(Sayfa2!$B$2:$B$8, "*"&amp;D788&amp;"*")&gt;0, Sayfa2!$B$1,
 IF(COUNTIF(Sayfa2!$C$2:$C$8, "*"&amp;D788&amp;"*")&gt;0, Sayfa2!$C$1,
 IF(COUNTIF(Sayfa2!$D$2:$D$8,"*"&amp;D788&amp;"*")&gt;0, Sayfa2!$D$1,
 IF(COUNTIF(Sayfa2!$E$2:$E$8, "*"&amp;D788&amp;"*")&gt;0, Sayfa2!$E$1, "Bulunamadı")))))</f>
        <v>PAZARTESİ</v>
      </c>
    </row>
    <row r="789" spans="1:5" hidden="1" x14ac:dyDescent="0.25">
      <c r="A789" t="s">
        <v>2403</v>
      </c>
      <c r="B789" t="s">
        <v>867</v>
      </c>
      <c r="C789" t="s">
        <v>2402</v>
      </c>
      <c r="D789" s="4" t="s">
        <v>3073</v>
      </c>
      <c r="E789" t="str">
        <f>IF(COUNTIF(Sayfa2!$A$2:$A$8,"*"&amp;D789&amp;"*")&gt;0, Sayfa2!$A$1,
 IF(COUNTIF(Sayfa2!$B$2:$B$8, "*"&amp;D789&amp;"*")&gt;0, Sayfa2!$B$1,
 IF(COUNTIF(Sayfa2!$C$2:$C$8, "*"&amp;D789&amp;"*")&gt;0, Sayfa2!$C$1,
 IF(COUNTIF(Sayfa2!$D$2:$D$8,"*"&amp;D789&amp;"*")&gt;0, Sayfa2!$D$1,
 IF(COUNTIF(Sayfa2!$E$2:$E$8, "*"&amp;D789&amp;"*")&gt;0, Sayfa2!$E$1, "Bulunamadı")))))</f>
        <v>PAZARTESİ</v>
      </c>
    </row>
    <row r="790" spans="1:5" hidden="1" x14ac:dyDescent="0.25">
      <c r="A790" t="s">
        <v>2404</v>
      </c>
      <c r="B790" t="s">
        <v>868</v>
      </c>
      <c r="C790" t="s">
        <v>2402</v>
      </c>
      <c r="D790" s="4" t="s">
        <v>3073</v>
      </c>
      <c r="E790" t="str">
        <f>IF(COUNTIF(Sayfa2!$A$2:$A$8,"*"&amp;D790&amp;"*")&gt;0, Sayfa2!$A$1,
 IF(COUNTIF(Sayfa2!$B$2:$B$8, "*"&amp;D790&amp;"*")&gt;0, Sayfa2!$B$1,
 IF(COUNTIF(Sayfa2!$C$2:$C$8, "*"&amp;D790&amp;"*")&gt;0, Sayfa2!$C$1,
 IF(COUNTIF(Sayfa2!$D$2:$D$8,"*"&amp;D790&amp;"*")&gt;0, Sayfa2!$D$1,
 IF(COUNTIF(Sayfa2!$E$2:$E$8, "*"&amp;D790&amp;"*")&gt;0, Sayfa2!$E$1, "Bulunamadı")))))</f>
        <v>PAZARTESİ</v>
      </c>
    </row>
    <row r="791" spans="1:5" hidden="1" x14ac:dyDescent="0.25">
      <c r="A791" t="s">
        <v>2405</v>
      </c>
      <c r="B791" t="s">
        <v>869</v>
      </c>
      <c r="C791" t="s">
        <v>2402</v>
      </c>
      <c r="D791" s="4" t="s">
        <v>3073</v>
      </c>
      <c r="E791" t="str">
        <f>IF(COUNTIF(Sayfa2!$A$2:$A$8,"*"&amp;D791&amp;"*")&gt;0, Sayfa2!$A$1,
 IF(COUNTIF(Sayfa2!$B$2:$B$8, "*"&amp;D791&amp;"*")&gt;0, Sayfa2!$B$1,
 IF(COUNTIF(Sayfa2!$C$2:$C$8, "*"&amp;D791&amp;"*")&gt;0, Sayfa2!$C$1,
 IF(COUNTIF(Sayfa2!$D$2:$D$8,"*"&amp;D791&amp;"*")&gt;0, Sayfa2!$D$1,
 IF(COUNTIF(Sayfa2!$E$2:$E$8, "*"&amp;D791&amp;"*")&gt;0, Sayfa2!$E$1, "Bulunamadı")))))</f>
        <v>PAZARTESİ</v>
      </c>
    </row>
    <row r="792" spans="1:5" hidden="1" x14ac:dyDescent="0.25">
      <c r="A792" t="s">
        <v>2406</v>
      </c>
      <c r="B792" t="s">
        <v>870</v>
      </c>
      <c r="C792" t="s">
        <v>2402</v>
      </c>
      <c r="D792" s="4" t="s">
        <v>3073</v>
      </c>
      <c r="E792" t="str">
        <f>IF(COUNTIF(Sayfa2!$A$2:$A$8,"*"&amp;D792&amp;"*")&gt;0, Sayfa2!$A$1,
 IF(COUNTIF(Sayfa2!$B$2:$B$8, "*"&amp;D792&amp;"*")&gt;0, Sayfa2!$B$1,
 IF(COUNTIF(Sayfa2!$C$2:$C$8, "*"&amp;D792&amp;"*")&gt;0, Sayfa2!$C$1,
 IF(COUNTIF(Sayfa2!$D$2:$D$8,"*"&amp;D792&amp;"*")&gt;0, Sayfa2!$D$1,
 IF(COUNTIF(Sayfa2!$E$2:$E$8, "*"&amp;D792&amp;"*")&gt;0, Sayfa2!$E$1, "Bulunamadı")))))</f>
        <v>PAZARTESİ</v>
      </c>
    </row>
    <row r="793" spans="1:5" hidden="1" x14ac:dyDescent="0.25">
      <c r="A793" t="s">
        <v>2407</v>
      </c>
      <c r="B793" t="s">
        <v>871</v>
      </c>
      <c r="C793" t="s">
        <v>2402</v>
      </c>
      <c r="D793" s="4" t="s">
        <v>3073</v>
      </c>
      <c r="E793" t="str">
        <f>IF(COUNTIF(Sayfa2!$A$2:$A$8,"*"&amp;D793&amp;"*")&gt;0, Sayfa2!$A$1,
 IF(COUNTIF(Sayfa2!$B$2:$B$8, "*"&amp;D793&amp;"*")&gt;0, Sayfa2!$B$1,
 IF(COUNTIF(Sayfa2!$C$2:$C$8, "*"&amp;D793&amp;"*")&gt;0, Sayfa2!$C$1,
 IF(COUNTIF(Sayfa2!$D$2:$D$8,"*"&amp;D793&amp;"*")&gt;0, Sayfa2!$D$1,
 IF(COUNTIF(Sayfa2!$E$2:$E$8, "*"&amp;D793&amp;"*")&gt;0, Sayfa2!$E$1, "Bulunamadı")))))</f>
        <v>PAZARTESİ</v>
      </c>
    </row>
    <row r="794" spans="1:5" hidden="1" x14ac:dyDescent="0.25">
      <c r="A794" t="s">
        <v>2408</v>
      </c>
      <c r="B794" t="s">
        <v>872</v>
      </c>
      <c r="C794" t="s">
        <v>2402</v>
      </c>
      <c r="D794" s="4" t="s">
        <v>3073</v>
      </c>
      <c r="E794" t="str">
        <f>IF(COUNTIF(Sayfa2!$A$2:$A$8,"*"&amp;D794&amp;"*")&gt;0, Sayfa2!$A$1,
 IF(COUNTIF(Sayfa2!$B$2:$B$8, "*"&amp;D794&amp;"*")&gt;0, Sayfa2!$B$1,
 IF(COUNTIF(Sayfa2!$C$2:$C$8, "*"&amp;D794&amp;"*")&gt;0, Sayfa2!$C$1,
 IF(COUNTIF(Sayfa2!$D$2:$D$8,"*"&amp;D794&amp;"*")&gt;0, Sayfa2!$D$1,
 IF(COUNTIF(Sayfa2!$E$2:$E$8, "*"&amp;D794&amp;"*")&gt;0, Sayfa2!$E$1, "Bulunamadı")))))</f>
        <v>PAZARTESİ</v>
      </c>
    </row>
    <row r="795" spans="1:5" hidden="1" x14ac:dyDescent="0.25">
      <c r="A795" t="s">
        <v>2409</v>
      </c>
      <c r="B795" t="s">
        <v>873</v>
      </c>
      <c r="C795" t="s">
        <v>2402</v>
      </c>
      <c r="D795" s="4" t="s">
        <v>3073</v>
      </c>
      <c r="E795" t="str">
        <f>IF(COUNTIF(Sayfa2!$A$2:$A$8,"*"&amp;D795&amp;"*")&gt;0, Sayfa2!$A$1,
 IF(COUNTIF(Sayfa2!$B$2:$B$8, "*"&amp;D795&amp;"*")&gt;0, Sayfa2!$B$1,
 IF(COUNTIF(Sayfa2!$C$2:$C$8, "*"&amp;D795&amp;"*")&gt;0, Sayfa2!$C$1,
 IF(COUNTIF(Sayfa2!$D$2:$D$8,"*"&amp;D795&amp;"*")&gt;0, Sayfa2!$D$1,
 IF(COUNTIF(Sayfa2!$E$2:$E$8, "*"&amp;D795&amp;"*")&gt;0, Sayfa2!$E$1, "Bulunamadı")))))</f>
        <v>PAZARTESİ</v>
      </c>
    </row>
    <row r="796" spans="1:5" hidden="1" x14ac:dyDescent="0.25">
      <c r="A796" t="s">
        <v>2410</v>
      </c>
      <c r="B796" t="s">
        <v>874</v>
      </c>
      <c r="C796" t="s">
        <v>2402</v>
      </c>
      <c r="D796" s="4" t="s">
        <v>3073</v>
      </c>
      <c r="E796" t="str">
        <f>IF(COUNTIF(Sayfa2!$A$2:$A$8,"*"&amp;D796&amp;"*")&gt;0, Sayfa2!$A$1,
 IF(COUNTIF(Sayfa2!$B$2:$B$8, "*"&amp;D796&amp;"*")&gt;0, Sayfa2!$B$1,
 IF(COUNTIF(Sayfa2!$C$2:$C$8, "*"&amp;D796&amp;"*")&gt;0, Sayfa2!$C$1,
 IF(COUNTIF(Sayfa2!$D$2:$D$8,"*"&amp;D796&amp;"*")&gt;0, Sayfa2!$D$1,
 IF(COUNTIF(Sayfa2!$E$2:$E$8, "*"&amp;D796&amp;"*")&gt;0, Sayfa2!$E$1, "Bulunamadı")))))</f>
        <v>PAZARTESİ</v>
      </c>
    </row>
    <row r="797" spans="1:5" hidden="1" x14ac:dyDescent="0.25">
      <c r="A797" t="s">
        <v>2411</v>
      </c>
      <c r="B797" t="s">
        <v>875</v>
      </c>
      <c r="C797" t="s">
        <v>2402</v>
      </c>
      <c r="D797" s="4" t="s">
        <v>3073</v>
      </c>
      <c r="E797" t="str">
        <f>IF(COUNTIF(Sayfa2!$A$2:$A$8,"*"&amp;D797&amp;"*")&gt;0, Sayfa2!$A$1,
 IF(COUNTIF(Sayfa2!$B$2:$B$8, "*"&amp;D797&amp;"*")&gt;0, Sayfa2!$B$1,
 IF(COUNTIF(Sayfa2!$C$2:$C$8, "*"&amp;D797&amp;"*")&gt;0, Sayfa2!$C$1,
 IF(COUNTIF(Sayfa2!$D$2:$D$8,"*"&amp;D797&amp;"*")&gt;0, Sayfa2!$D$1,
 IF(COUNTIF(Sayfa2!$E$2:$E$8, "*"&amp;D797&amp;"*")&gt;0, Sayfa2!$E$1, "Bulunamadı")))))</f>
        <v>PAZARTESİ</v>
      </c>
    </row>
    <row r="798" spans="1:5" hidden="1" x14ac:dyDescent="0.25">
      <c r="A798" t="s">
        <v>2412</v>
      </c>
      <c r="B798" t="s">
        <v>876</v>
      </c>
      <c r="C798" t="s">
        <v>2402</v>
      </c>
      <c r="D798" s="4" t="s">
        <v>3073</v>
      </c>
      <c r="E798" t="str">
        <f>IF(COUNTIF(Sayfa2!$A$2:$A$8,"*"&amp;D798&amp;"*")&gt;0, Sayfa2!$A$1,
 IF(COUNTIF(Sayfa2!$B$2:$B$8, "*"&amp;D798&amp;"*")&gt;0, Sayfa2!$B$1,
 IF(COUNTIF(Sayfa2!$C$2:$C$8, "*"&amp;D798&amp;"*")&gt;0, Sayfa2!$C$1,
 IF(COUNTIF(Sayfa2!$D$2:$D$8,"*"&amp;D798&amp;"*")&gt;0, Sayfa2!$D$1,
 IF(COUNTIF(Sayfa2!$E$2:$E$8, "*"&amp;D798&amp;"*")&gt;0, Sayfa2!$E$1, "Bulunamadı")))))</f>
        <v>PAZARTESİ</v>
      </c>
    </row>
    <row r="799" spans="1:5" hidden="1" x14ac:dyDescent="0.25">
      <c r="A799" t="s">
        <v>2413</v>
      </c>
      <c r="B799" t="s">
        <v>877</v>
      </c>
      <c r="C799" t="s">
        <v>2402</v>
      </c>
      <c r="D799" s="4" t="s">
        <v>3073</v>
      </c>
      <c r="E799" t="str">
        <f>IF(COUNTIF(Sayfa2!$A$2:$A$8,"*"&amp;D799&amp;"*")&gt;0, Sayfa2!$A$1,
 IF(COUNTIF(Sayfa2!$B$2:$B$8, "*"&amp;D799&amp;"*")&gt;0, Sayfa2!$B$1,
 IF(COUNTIF(Sayfa2!$C$2:$C$8, "*"&amp;D799&amp;"*")&gt;0, Sayfa2!$C$1,
 IF(COUNTIF(Sayfa2!$D$2:$D$8,"*"&amp;D799&amp;"*")&gt;0, Sayfa2!$D$1,
 IF(COUNTIF(Sayfa2!$E$2:$E$8, "*"&amp;D799&amp;"*")&gt;0, Sayfa2!$E$1, "Bulunamadı")))))</f>
        <v>PAZARTESİ</v>
      </c>
    </row>
    <row r="800" spans="1:5" hidden="1" x14ac:dyDescent="0.25">
      <c r="A800" t="s">
        <v>2414</v>
      </c>
      <c r="B800" t="s">
        <v>878</v>
      </c>
      <c r="C800" t="s">
        <v>2402</v>
      </c>
      <c r="D800" s="4" t="s">
        <v>3073</v>
      </c>
      <c r="E800" t="str">
        <f>IF(COUNTIF(Sayfa2!$A$2:$A$8,"*"&amp;D800&amp;"*")&gt;0, Sayfa2!$A$1,
 IF(COUNTIF(Sayfa2!$B$2:$B$8, "*"&amp;D800&amp;"*")&gt;0, Sayfa2!$B$1,
 IF(COUNTIF(Sayfa2!$C$2:$C$8, "*"&amp;D800&amp;"*")&gt;0, Sayfa2!$C$1,
 IF(COUNTIF(Sayfa2!$D$2:$D$8,"*"&amp;D800&amp;"*")&gt;0, Sayfa2!$D$1,
 IF(COUNTIF(Sayfa2!$E$2:$E$8, "*"&amp;D800&amp;"*")&gt;0, Sayfa2!$E$1, "Bulunamadı")))))</f>
        <v>PAZARTESİ</v>
      </c>
    </row>
    <row r="801" spans="1:5" hidden="1" x14ac:dyDescent="0.25">
      <c r="A801" t="s">
        <v>2415</v>
      </c>
      <c r="B801" t="s">
        <v>879</v>
      </c>
      <c r="C801" t="s">
        <v>2402</v>
      </c>
      <c r="D801" s="4" t="s">
        <v>3073</v>
      </c>
      <c r="E801" t="str">
        <f>IF(COUNTIF(Sayfa2!$A$2:$A$8,"*"&amp;D801&amp;"*")&gt;0, Sayfa2!$A$1,
 IF(COUNTIF(Sayfa2!$B$2:$B$8, "*"&amp;D801&amp;"*")&gt;0, Sayfa2!$B$1,
 IF(COUNTIF(Sayfa2!$C$2:$C$8, "*"&amp;D801&amp;"*")&gt;0, Sayfa2!$C$1,
 IF(COUNTIF(Sayfa2!$D$2:$D$8,"*"&amp;D801&amp;"*")&gt;0, Sayfa2!$D$1,
 IF(COUNTIF(Sayfa2!$E$2:$E$8, "*"&amp;D801&amp;"*")&gt;0, Sayfa2!$E$1, "Bulunamadı")))))</f>
        <v>PAZARTESİ</v>
      </c>
    </row>
    <row r="802" spans="1:5" hidden="1" x14ac:dyDescent="0.25">
      <c r="A802" t="s">
        <v>2416</v>
      </c>
      <c r="B802" t="s">
        <v>880</v>
      </c>
      <c r="C802" t="s">
        <v>2402</v>
      </c>
      <c r="D802" s="4" t="s">
        <v>3073</v>
      </c>
      <c r="E802" t="str">
        <f>IF(COUNTIF(Sayfa2!$A$2:$A$8,"*"&amp;D802&amp;"*")&gt;0, Sayfa2!$A$1,
 IF(COUNTIF(Sayfa2!$B$2:$B$8, "*"&amp;D802&amp;"*")&gt;0, Sayfa2!$B$1,
 IF(COUNTIF(Sayfa2!$C$2:$C$8, "*"&amp;D802&amp;"*")&gt;0, Sayfa2!$C$1,
 IF(COUNTIF(Sayfa2!$D$2:$D$8,"*"&amp;D802&amp;"*")&gt;0, Sayfa2!$D$1,
 IF(COUNTIF(Sayfa2!$E$2:$E$8, "*"&amp;D802&amp;"*")&gt;0, Sayfa2!$E$1, "Bulunamadı")))))</f>
        <v>PAZARTESİ</v>
      </c>
    </row>
    <row r="803" spans="1:5" hidden="1" x14ac:dyDescent="0.25">
      <c r="A803" t="s">
        <v>2417</v>
      </c>
      <c r="B803" t="s">
        <v>881</v>
      </c>
      <c r="C803" t="s">
        <v>2402</v>
      </c>
      <c r="D803" s="4" t="s">
        <v>3073</v>
      </c>
      <c r="E803" t="str">
        <f>IF(COUNTIF(Sayfa2!$A$2:$A$8,"*"&amp;D803&amp;"*")&gt;0, Sayfa2!$A$1,
 IF(COUNTIF(Sayfa2!$B$2:$B$8, "*"&amp;D803&amp;"*")&gt;0, Sayfa2!$B$1,
 IF(COUNTIF(Sayfa2!$C$2:$C$8, "*"&amp;D803&amp;"*")&gt;0, Sayfa2!$C$1,
 IF(COUNTIF(Sayfa2!$D$2:$D$8,"*"&amp;D803&amp;"*")&gt;0, Sayfa2!$D$1,
 IF(COUNTIF(Sayfa2!$E$2:$E$8, "*"&amp;D803&amp;"*")&gt;0, Sayfa2!$E$1, "Bulunamadı")))))</f>
        <v>PAZARTESİ</v>
      </c>
    </row>
    <row r="804" spans="1:5" hidden="1" x14ac:dyDescent="0.25">
      <c r="A804" t="s">
        <v>2418</v>
      </c>
      <c r="B804" t="s">
        <v>882</v>
      </c>
      <c r="C804" t="s">
        <v>2402</v>
      </c>
      <c r="D804" s="4" t="s">
        <v>3073</v>
      </c>
      <c r="E804" t="str">
        <f>IF(COUNTIF(Sayfa2!$A$2:$A$8,"*"&amp;D804&amp;"*")&gt;0, Sayfa2!$A$1,
 IF(COUNTIF(Sayfa2!$B$2:$B$8, "*"&amp;D804&amp;"*")&gt;0, Sayfa2!$B$1,
 IF(COUNTIF(Sayfa2!$C$2:$C$8, "*"&amp;D804&amp;"*")&gt;0, Sayfa2!$C$1,
 IF(COUNTIF(Sayfa2!$D$2:$D$8,"*"&amp;D804&amp;"*")&gt;0, Sayfa2!$D$1,
 IF(COUNTIF(Sayfa2!$E$2:$E$8, "*"&amp;D804&amp;"*")&gt;0, Sayfa2!$E$1, "Bulunamadı")))))</f>
        <v>PAZARTESİ</v>
      </c>
    </row>
    <row r="805" spans="1:5" hidden="1" x14ac:dyDescent="0.25">
      <c r="A805" t="s">
        <v>2419</v>
      </c>
      <c r="B805" t="s">
        <v>883</v>
      </c>
      <c r="C805" t="s">
        <v>2402</v>
      </c>
      <c r="D805" s="4" t="s">
        <v>3073</v>
      </c>
      <c r="E805" t="str">
        <f>IF(COUNTIF(Sayfa2!$A$2:$A$8,"*"&amp;D805&amp;"*")&gt;0, Sayfa2!$A$1,
 IF(COUNTIF(Sayfa2!$B$2:$B$8, "*"&amp;D805&amp;"*")&gt;0, Sayfa2!$B$1,
 IF(COUNTIF(Sayfa2!$C$2:$C$8, "*"&amp;D805&amp;"*")&gt;0, Sayfa2!$C$1,
 IF(COUNTIF(Sayfa2!$D$2:$D$8,"*"&amp;D805&amp;"*")&gt;0, Sayfa2!$D$1,
 IF(COUNTIF(Sayfa2!$E$2:$E$8, "*"&amp;D805&amp;"*")&gt;0, Sayfa2!$E$1, "Bulunamadı")))))</f>
        <v>PAZARTESİ</v>
      </c>
    </row>
    <row r="806" spans="1:5" x14ac:dyDescent="0.25">
      <c r="A806" t="s">
        <v>2420</v>
      </c>
      <c r="B806" t="s">
        <v>884</v>
      </c>
      <c r="C806" t="s">
        <v>2421</v>
      </c>
      <c r="D806" s="4" t="s">
        <v>3101</v>
      </c>
      <c r="E806" t="str">
        <f>IF(COUNTIF(Sayfa2!$A$2:$A$8,"*"&amp;D806&amp;"*")&gt;0, Sayfa2!$A$1,
 IF(COUNTIF(Sayfa2!$B$2:$B$8, "*"&amp;D806&amp;"*")&gt;0, Sayfa2!$B$1,
 IF(COUNTIF(Sayfa2!$C$2:$C$8, "*"&amp;D806&amp;"*")&gt;0, Sayfa2!$C$1,
 IF(COUNTIF(Sayfa2!$D$2:$D$8,"*"&amp;D806&amp;"*")&gt;0, Sayfa2!$D$1,
 IF(COUNTIF(Sayfa2!$E$2:$E$8, "*"&amp;D806&amp;"*")&gt;0, Sayfa2!$E$1, "Bulunamadı")))))</f>
        <v>Bulunamadı</v>
      </c>
    </row>
    <row r="807" spans="1:5" hidden="1" x14ac:dyDescent="0.25">
      <c r="A807" t="s">
        <v>2422</v>
      </c>
      <c r="B807" t="s">
        <v>885</v>
      </c>
      <c r="C807" t="s">
        <v>2423</v>
      </c>
      <c r="D807" s="4" t="s">
        <v>3064</v>
      </c>
      <c r="E807" t="str">
        <f>IF(COUNTIF(Sayfa2!$A$2:$A$8,"*"&amp;D807&amp;"*")&gt;0, Sayfa2!$A$1,
 IF(COUNTIF(Sayfa2!$B$2:$B$8, "*"&amp;D807&amp;"*")&gt;0, Sayfa2!$B$1,
 IF(COUNTIF(Sayfa2!$C$2:$C$8, "*"&amp;D807&amp;"*")&gt;0, Sayfa2!$C$1,
 IF(COUNTIF(Sayfa2!$D$2:$D$8,"*"&amp;D807&amp;"*")&gt;0, Sayfa2!$D$1,
 IF(COUNTIF(Sayfa2!$E$2:$E$8, "*"&amp;D807&amp;"*")&gt;0, Sayfa2!$E$1, "Bulunamadı")))))</f>
        <v>SALI</v>
      </c>
    </row>
    <row r="808" spans="1:5" hidden="1" x14ac:dyDescent="0.25">
      <c r="A808" t="s">
        <v>2424</v>
      </c>
      <c r="B808" t="s">
        <v>887</v>
      </c>
      <c r="C808" t="s">
        <v>2425</v>
      </c>
      <c r="D808" s="4" t="s">
        <v>3062</v>
      </c>
      <c r="E808" t="str">
        <f>IF(COUNTIF(Sayfa2!$A$2:$A$8,"*"&amp;D808&amp;"*")&gt;0, Sayfa2!$A$1,
 IF(COUNTIF(Sayfa2!$B$2:$B$8, "*"&amp;D808&amp;"*")&gt;0, Sayfa2!$B$1,
 IF(COUNTIF(Sayfa2!$C$2:$C$8, "*"&amp;D808&amp;"*")&gt;0, Sayfa2!$C$1,
 IF(COUNTIF(Sayfa2!$D$2:$D$8,"*"&amp;D808&amp;"*")&gt;0, Sayfa2!$D$1,
 IF(COUNTIF(Sayfa2!$E$2:$E$8, "*"&amp;D808&amp;"*")&gt;0, Sayfa2!$E$1, "Bulunamadı")))))</f>
        <v>CUMA</v>
      </c>
    </row>
    <row r="809" spans="1:5" hidden="1" x14ac:dyDescent="0.25">
      <c r="A809" t="s">
        <v>2426</v>
      </c>
      <c r="B809" t="s">
        <v>890</v>
      </c>
      <c r="C809" t="s">
        <v>2427</v>
      </c>
      <c r="D809" s="4" t="s">
        <v>3072</v>
      </c>
      <c r="E809" t="str">
        <f>IF(COUNTIF(Sayfa2!$A$2:$A$8,"*"&amp;D809&amp;"*")&gt;0, Sayfa2!$A$1,
 IF(COUNTIF(Sayfa2!$B$2:$B$8, "*"&amp;D809&amp;"*")&gt;0, Sayfa2!$B$1,
 IF(COUNTIF(Sayfa2!$C$2:$C$8, "*"&amp;D809&amp;"*")&gt;0, Sayfa2!$C$1,
 IF(COUNTIF(Sayfa2!$D$2:$D$8,"*"&amp;D809&amp;"*")&gt;0, Sayfa2!$D$1,
 IF(COUNTIF(Sayfa2!$E$2:$E$8, "*"&amp;D809&amp;"*")&gt;0, Sayfa2!$E$1, "Bulunamadı")))))</f>
        <v>CUMA</v>
      </c>
    </row>
    <row r="810" spans="1:5" hidden="1" x14ac:dyDescent="0.25">
      <c r="A810" t="s">
        <v>2428</v>
      </c>
      <c r="B810" t="s">
        <v>892</v>
      </c>
      <c r="C810" t="s">
        <v>2429</v>
      </c>
      <c r="D810" s="4" t="s">
        <v>3066</v>
      </c>
      <c r="E810" t="str">
        <f>IF(COUNTIF(Sayfa2!$A$2:$A$8,"*"&amp;D810&amp;"*")&gt;0, Sayfa2!$A$1,
 IF(COUNTIF(Sayfa2!$B$2:$B$8, "*"&amp;D810&amp;"*")&gt;0, Sayfa2!$B$1,
 IF(COUNTIF(Sayfa2!$C$2:$C$8, "*"&amp;D810&amp;"*")&gt;0, Sayfa2!$C$1,
 IF(COUNTIF(Sayfa2!$D$2:$D$8,"*"&amp;D810&amp;"*")&gt;0, Sayfa2!$D$1,
 IF(COUNTIF(Sayfa2!$E$2:$E$8, "*"&amp;D810&amp;"*")&gt;0, Sayfa2!$E$1, "Bulunamadı")))))</f>
        <v>PERŞEMBE</v>
      </c>
    </row>
    <row r="811" spans="1:5" hidden="1" x14ac:dyDescent="0.25">
      <c r="A811" t="s">
        <v>2430</v>
      </c>
      <c r="B811" t="s">
        <v>894</v>
      </c>
      <c r="C811" t="s">
        <v>2429</v>
      </c>
      <c r="D811" s="4" t="s">
        <v>3066</v>
      </c>
      <c r="E811" t="str">
        <f>IF(COUNTIF(Sayfa2!$A$2:$A$8,"*"&amp;D811&amp;"*")&gt;0, Sayfa2!$A$1,
 IF(COUNTIF(Sayfa2!$B$2:$B$8, "*"&amp;D811&amp;"*")&gt;0, Sayfa2!$B$1,
 IF(COUNTIF(Sayfa2!$C$2:$C$8, "*"&amp;D811&amp;"*")&gt;0, Sayfa2!$C$1,
 IF(COUNTIF(Sayfa2!$D$2:$D$8,"*"&amp;D811&amp;"*")&gt;0, Sayfa2!$D$1,
 IF(COUNTIF(Sayfa2!$E$2:$E$8, "*"&amp;D811&amp;"*")&gt;0, Sayfa2!$E$1, "Bulunamadı")))))</f>
        <v>PERŞEMBE</v>
      </c>
    </row>
    <row r="812" spans="1:5" hidden="1" x14ac:dyDescent="0.25">
      <c r="A812" t="s">
        <v>2431</v>
      </c>
      <c r="B812" t="s">
        <v>895</v>
      </c>
      <c r="C812" t="s">
        <v>2432</v>
      </c>
      <c r="D812" s="4" t="s">
        <v>3083</v>
      </c>
      <c r="E812" t="str">
        <f>IF(COUNTIF(Sayfa2!$A$2:$A$8,"*"&amp;D812&amp;"*")&gt;0, Sayfa2!$A$1,
 IF(COUNTIF(Sayfa2!$B$2:$B$8, "*"&amp;D812&amp;"*")&gt;0, Sayfa2!$B$1,
 IF(COUNTIF(Sayfa2!$C$2:$C$8, "*"&amp;D812&amp;"*")&gt;0, Sayfa2!$C$1,
 IF(COUNTIF(Sayfa2!$D$2:$D$8,"*"&amp;D812&amp;"*")&gt;0, Sayfa2!$D$1,
 IF(COUNTIF(Sayfa2!$E$2:$E$8, "*"&amp;D812&amp;"*")&gt;0, Sayfa2!$E$1, "Bulunamadı")))))</f>
        <v>PAZARTESİ</v>
      </c>
    </row>
    <row r="813" spans="1:5" hidden="1" x14ac:dyDescent="0.25">
      <c r="A813" t="s">
        <v>2433</v>
      </c>
      <c r="B813" t="s">
        <v>897</v>
      </c>
      <c r="C813" t="s">
        <v>2434</v>
      </c>
      <c r="D813" s="4" t="s">
        <v>3083</v>
      </c>
      <c r="E813" t="str">
        <f>IF(COUNTIF(Sayfa2!$A$2:$A$8,"*"&amp;D813&amp;"*")&gt;0, Sayfa2!$A$1,
 IF(COUNTIF(Sayfa2!$B$2:$B$8, "*"&amp;D813&amp;"*")&gt;0, Sayfa2!$B$1,
 IF(COUNTIF(Sayfa2!$C$2:$C$8, "*"&amp;D813&amp;"*")&gt;0, Sayfa2!$C$1,
 IF(COUNTIF(Sayfa2!$D$2:$D$8,"*"&amp;D813&amp;"*")&gt;0, Sayfa2!$D$1,
 IF(COUNTIF(Sayfa2!$E$2:$E$8, "*"&amp;D813&amp;"*")&gt;0, Sayfa2!$E$1, "Bulunamadı")))))</f>
        <v>PAZARTESİ</v>
      </c>
    </row>
    <row r="814" spans="1:5" hidden="1" x14ac:dyDescent="0.25">
      <c r="A814" t="s">
        <v>2435</v>
      </c>
      <c r="B814" t="s">
        <v>900</v>
      </c>
      <c r="C814" t="s">
        <v>2436</v>
      </c>
      <c r="D814" s="4" t="s">
        <v>3076</v>
      </c>
      <c r="E814" t="str">
        <f>IF(COUNTIF(Sayfa2!$A$2:$A$8,"*"&amp;D814&amp;"*")&gt;0, Sayfa2!$A$1,
 IF(COUNTIF(Sayfa2!$B$2:$B$8, "*"&amp;D814&amp;"*")&gt;0, Sayfa2!$B$1,
 IF(COUNTIF(Sayfa2!$C$2:$C$8, "*"&amp;D814&amp;"*")&gt;0, Sayfa2!$C$1,
 IF(COUNTIF(Sayfa2!$D$2:$D$8,"*"&amp;D814&amp;"*")&gt;0, Sayfa2!$D$1,
 IF(COUNTIF(Sayfa2!$E$2:$E$8, "*"&amp;D814&amp;"*")&gt;0, Sayfa2!$E$1, "Bulunamadı")))))</f>
        <v>PERŞEMBE</v>
      </c>
    </row>
    <row r="815" spans="1:5" hidden="1" x14ac:dyDescent="0.25">
      <c r="A815" t="s">
        <v>2437</v>
      </c>
      <c r="B815" t="s">
        <v>901</v>
      </c>
      <c r="C815" t="s">
        <v>2436</v>
      </c>
      <c r="D815" s="4" t="s">
        <v>3076</v>
      </c>
      <c r="E815" t="str">
        <f>IF(COUNTIF(Sayfa2!$A$2:$A$8,"*"&amp;D815&amp;"*")&gt;0, Sayfa2!$A$1,
 IF(COUNTIF(Sayfa2!$B$2:$B$8, "*"&amp;D815&amp;"*")&gt;0, Sayfa2!$B$1,
 IF(COUNTIF(Sayfa2!$C$2:$C$8, "*"&amp;D815&amp;"*")&gt;0, Sayfa2!$C$1,
 IF(COUNTIF(Sayfa2!$D$2:$D$8,"*"&amp;D815&amp;"*")&gt;0, Sayfa2!$D$1,
 IF(COUNTIF(Sayfa2!$E$2:$E$8, "*"&amp;D815&amp;"*")&gt;0, Sayfa2!$E$1, "Bulunamadı")))))</f>
        <v>PERŞEMBE</v>
      </c>
    </row>
    <row r="816" spans="1:5" hidden="1" x14ac:dyDescent="0.25">
      <c r="A816" t="s">
        <v>2438</v>
      </c>
      <c r="B816" t="s">
        <v>902</v>
      </c>
      <c r="C816" t="s">
        <v>2436</v>
      </c>
      <c r="D816" s="4" t="s">
        <v>3076</v>
      </c>
      <c r="E816" t="str">
        <f>IF(COUNTIF(Sayfa2!$A$2:$A$8,"*"&amp;D816&amp;"*")&gt;0, Sayfa2!$A$1,
 IF(COUNTIF(Sayfa2!$B$2:$B$8, "*"&amp;D816&amp;"*")&gt;0, Sayfa2!$B$1,
 IF(COUNTIF(Sayfa2!$C$2:$C$8, "*"&amp;D816&amp;"*")&gt;0, Sayfa2!$C$1,
 IF(COUNTIF(Sayfa2!$D$2:$D$8,"*"&amp;D816&amp;"*")&gt;0, Sayfa2!$D$1,
 IF(COUNTIF(Sayfa2!$E$2:$E$8, "*"&amp;D816&amp;"*")&gt;0, Sayfa2!$E$1, "Bulunamadı")))))</f>
        <v>PERŞEMBE</v>
      </c>
    </row>
    <row r="817" spans="1:5" hidden="1" x14ac:dyDescent="0.25">
      <c r="A817" t="s">
        <v>2439</v>
      </c>
      <c r="B817" t="s">
        <v>903</v>
      </c>
      <c r="C817" t="s">
        <v>2436</v>
      </c>
      <c r="D817" s="4" t="s">
        <v>3076</v>
      </c>
      <c r="E817" t="str">
        <f>IF(COUNTIF(Sayfa2!$A$2:$A$8,"*"&amp;D817&amp;"*")&gt;0, Sayfa2!$A$1,
 IF(COUNTIF(Sayfa2!$B$2:$B$8, "*"&amp;D817&amp;"*")&gt;0, Sayfa2!$B$1,
 IF(COUNTIF(Sayfa2!$C$2:$C$8, "*"&amp;D817&amp;"*")&gt;0, Sayfa2!$C$1,
 IF(COUNTIF(Sayfa2!$D$2:$D$8,"*"&amp;D817&amp;"*")&gt;0, Sayfa2!$D$1,
 IF(COUNTIF(Sayfa2!$E$2:$E$8, "*"&amp;D817&amp;"*")&gt;0, Sayfa2!$E$1, "Bulunamadı")))))</f>
        <v>PERŞEMBE</v>
      </c>
    </row>
    <row r="818" spans="1:5" hidden="1" x14ac:dyDescent="0.25">
      <c r="A818" t="s">
        <v>2440</v>
      </c>
      <c r="B818" t="s">
        <v>904</v>
      </c>
      <c r="C818" t="s">
        <v>2436</v>
      </c>
      <c r="D818" s="4" t="s">
        <v>3076</v>
      </c>
      <c r="E818" t="str">
        <f>IF(COUNTIF(Sayfa2!$A$2:$A$8,"*"&amp;D818&amp;"*")&gt;0, Sayfa2!$A$1,
 IF(COUNTIF(Sayfa2!$B$2:$B$8, "*"&amp;D818&amp;"*")&gt;0, Sayfa2!$B$1,
 IF(COUNTIF(Sayfa2!$C$2:$C$8, "*"&amp;D818&amp;"*")&gt;0, Sayfa2!$C$1,
 IF(COUNTIF(Sayfa2!$D$2:$D$8,"*"&amp;D818&amp;"*")&gt;0, Sayfa2!$D$1,
 IF(COUNTIF(Sayfa2!$E$2:$E$8, "*"&amp;D818&amp;"*")&gt;0, Sayfa2!$E$1, "Bulunamadı")))))</f>
        <v>PERŞEMBE</v>
      </c>
    </row>
    <row r="819" spans="1:5" hidden="1" x14ac:dyDescent="0.25">
      <c r="A819" t="s">
        <v>2441</v>
      </c>
      <c r="B819" t="s">
        <v>905</v>
      </c>
      <c r="C819" t="s">
        <v>2436</v>
      </c>
      <c r="D819" s="4" t="s">
        <v>3076</v>
      </c>
      <c r="E819" t="str">
        <f>IF(COUNTIF(Sayfa2!$A$2:$A$8,"*"&amp;D819&amp;"*")&gt;0, Sayfa2!$A$1,
 IF(COUNTIF(Sayfa2!$B$2:$B$8, "*"&amp;D819&amp;"*")&gt;0, Sayfa2!$B$1,
 IF(COUNTIF(Sayfa2!$C$2:$C$8, "*"&amp;D819&amp;"*")&gt;0, Sayfa2!$C$1,
 IF(COUNTIF(Sayfa2!$D$2:$D$8,"*"&amp;D819&amp;"*")&gt;0, Sayfa2!$D$1,
 IF(COUNTIF(Sayfa2!$E$2:$E$8, "*"&amp;D819&amp;"*")&gt;0, Sayfa2!$E$1, "Bulunamadı")))))</f>
        <v>PERŞEMBE</v>
      </c>
    </row>
    <row r="820" spans="1:5" hidden="1" x14ac:dyDescent="0.25">
      <c r="A820" t="s">
        <v>2442</v>
      </c>
      <c r="B820" t="s">
        <v>906</v>
      </c>
      <c r="C820" t="s">
        <v>2436</v>
      </c>
      <c r="D820" s="4" t="s">
        <v>3076</v>
      </c>
      <c r="E820" t="str">
        <f>IF(COUNTIF(Sayfa2!$A$2:$A$8,"*"&amp;D820&amp;"*")&gt;0, Sayfa2!$A$1,
 IF(COUNTIF(Sayfa2!$B$2:$B$8, "*"&amp;D820&amp;"*")&gt;0, Sayfa2!$B$1,
 IF(COUNTIF(Sayfa2!$C$2:$C$8, "*"&amp;D820&amp;"*")&gt;0, Sayfa2!$C$1,
 IF(COUNTIF(Sayfa2!$D$2:$D$8,"*"&amp;D820&amp;"*")&gt;0, Sayfa2!$D$1,
 IF(COUNTIF(Sayfa2!$E$2:$E$8, "*"&amp;D820&amp;"*")&gt;0, Sayfa2!$E$1, "Bulunamadı")))))</f>
        <v>PERŞEMBE</v>
      </c>
    </row>
    <row r="821" spans="1:5" hidden="1" x14ac:dyDescent="0.25">
      <c r="A821" t="s">
        <v>2443</v>
      </c>
      <c r="B821" t="s">
        <v>907</v>
      </c>
      <c r="C821" t="s">
        <v>2436</v>
      </c>
      <c r="D821" s="4" t="s">
        <v>3076</v>
      </c>
      <c r="E821" t="str">
        <f>IF(COUNTIF(Sayfa2!$A$2:$A$8,"*"&amp;D821&amp;"*")&gt;0, Sayfa2!$A$1,
 IF(COUNTIF(Sayfa2!$B$2:$B$8, "*"&amp;D821&amp;"*")&gt;0, Sayfa2!$B$1,
 IF(COUNTIF(Sayfa2!$C$2:$C$8, "*"&amp;D821&amp;"*")&gt;0, Sayfa2!$C$1,
 IF(COUNTIF(Sayfa2!$D$2:$D$8,"*"&amp;D821&amp;"*")&gt;0, Sayfa2!$D$1,
 IF(COUNTIF(Sayfa2!$E$2:$E$8, "*"&amp;D821&amp;"*")&gt;0, Sayfa2!$E$1, "Bulunamadı")))))</f>
        <v>PERŞEMBE</v>
      </c>
    </row>
    <row r="822" spans="1:5" hidden="1" x14ac:dyDescent="0.25">
      <c r="A822" t="s">
        <v>2444</v>
      </c>
      <c r="B822" t="s">
        <v>908</v>
      </c>
      <c r="C822" t="s">
        <v>2436</v>
      </c>
      <c r="D822" s="4" t="s">
        <v>3076</v>
      </c>
      <c r="E822" t="str">
        <f>IF(COUNTIF(Sayfa2!$A$2:$A$8,"*"&amp;D822&amp;"*")&gt;0, Sayfa2!$A$1,
 IF(COUNTIF(Sayfa2!$B$2:$B$8, "*"&amp;D822&amp;"*")&gt;0, Sayfa2!$B$1,
 IF(COUNTIF(Sayfa2!$C$2:$C$8, "*"&amp;D822&amp;"*")&gt;0, Sayfa2!$C$1,
 IF(COUNTIF(Sayfa2!$D$2:$D$8,"*"&amp;D822&amp;"*")&gt;0, Sayfa2!$D$1,
 IF(COUNTIF(Sayfa2!$E$2:$E$8, "*"&amp;D822&amp;"*")&gt;0, Sayfa2!$E$1, "Bulunamadı")))))</f>
        <v>PERŞEMBE</v>
      </c>
    </row>
    <row r="823" spans="1:5" hidden="1" x14ac:dyDescent="0.25">
      <c r="A823" t="s">
        <v>2445</v>
      </c>
      <c r="B823" t="s">
        <v>909</v>
      </c>
      <c r="C823" t="s">
        <v>2436</v>
      </c>
      <c r="D823" s="4" t="s">
        <v>3076</v>
      </c>
      <c r="E823" t="str">
        <f>IF(COUNTIF(Sayfa2!$A$2:$A$8,"*"&amp;D823&amp;"*")&gt;0, Sayfa2!$A$1,
 IF(COUNTIF(Sayfa2!$B$2:$B$8, "*"&amp;D823&amp;"*")&gt;0, Sayfa2!$B$1,
 IF(COUNTIF(Sayfa2!$C$2:$C$8, "*"&amp;D823&amp;"*")&gt;0, Sayfa2!$C$1,
 IF(COUNTIF(Sayfa2!$D$2:$D$8,"*"&amp;D823&amp;"*")&gt;0, Sayfa2!$D$1,
 IF(COUNTIF(Sayfa2!$E$2:$E$8, "*"&amp;D823&amp;"*")&gt;0, Sayfa2!$E$1, "Bulunamadı")))))</f>
        <v>PERŞEMBE</v>
      </c>
    </row>
    <row r="824" spans="1:5" hidden="1" x14ac:dyDescent="0.25">
      <c r="A824" t="s">
        <v>2446</v>
      </c>
      <c r="B824" t="s">
        <v>910</v>
      </c>
      <c r="C824" t="s">
        <v>2436</v>
      </c>
      <c r="D824" s="4" t="s">
        <v>3076</v>
      </c>
      <c r="E824" t="str">
        <f>IF(COUNTIF(Sayfa2!$A$2:$A$8,"*"&amp;D824&amp;"*")&gt;0, Sayfa2!$A$1,
 IF(COUNTIF(Sayfa2!$B$2:$B$8, "*"&amp;D824&amp;"*")&gt;0, Sayfa2!$B$1,
 IF(COUNTIF(Sayfa2!$C$2:$C$8, "*"&amp;D824&amp;"*")&gt;0, Sayfa2!$C$1,
 IF(COUNTIF(Sayfa2!$D$2:$D$8,"*"&amp;D824&amp;"*")&gt;0, Sayfa2!$D$1,
 IF(COUNTIF(Sayfa2!$E$2:$E$8, "*"&amp;D824&amp;"*")&gt;0, Sayfa2!$E$1, "Bulunamadı")))))</f>
        <v>PERŞEMBE</v>
      </c>
    </row>
    <row r="825" spans="1:5" hidden="1" x14ac:dyDescent="0.25">
      <c r="A825" t="s">
        <v>2447</v>
      </c>
      <c r="B825" t="s">
        <v>911</v>
      </c>
      <c r="C825" t="s">
        <v>2436</v>
      </c>
      <c r="D825" s="4" t="s">
        <v>3076</v>
      </c>
      <c r="E825" t="str">
        <f>IF(COUNTIF(Sayfa2!$A$2:$A$8,"*"&amp;D825&amp;"*")&gt;0, Sayfa2!$A$1,
 IF(COUNTIF(Sayfa2!$B$2:$B$8, "*"&amp;D825&amp;"*")&gt;0, Sayfa2!$B$1,
 IF(COUNTIF(Sayfa2!$C$2:$C$8, "*"&amp;D825&amp;"*")&gt;0, Sayfa2!$C$1,
 IF(COUNTIF(Sayfa2!$D$2:$D$8,"*"&amp;D825&amp;"*")&gt;0, Sayfa2!$D$1,
 IF(COUNTIF(Sayfa2!$E$2:$E$8, "*"&amp;D825&amp;"*")&gt;0, Sayfa2!$E$1, "Bulunamadı")))))</f>
        <v>PERŞEMBE</v>
      </c>
    </row>
    <row r="826" spans="1:5" hidden="1" x14ac:dyDescent="0.25">
      <c r="A826" t="s">
        <v>2448</v>
      </c>
      <c r="B826" t="s">
        <v>912</v>
      </c>
      <c r="C826" t="s">
        <v>2436</v>
      </c>
      <c r="D826" s="4" t="s">
        <v>3076</v>
      </c>
      <c r="E826" t="str">
        <f>IF(COUNTIF(Sayfa2!$A$2:$A$8,"*"&amp;D826&amp;"*")&gt;0, Sayfa2!$A$1,
 IF(COUNTIF(Sayfa2!$B$2:$B$8, "*"&amp;D826&amp;"*")&gt;0, Sayfa2!$B$1,
 IF(COUNTIF(Sayfa2!$C$2:$C$8, "*"&amp;D826&amp;"*")&gt;0, Sayfa2!$C$1,
 IF(COUNTIF(Sayfa2!$D$2:$D$8,"*"&amp;D826&amp;"*")&gt;0, Sayfa2!$D$1,
 IF(COUNTIF(Sayfa2!$E$2:$E$8, "*"&amp;D826&amp;"*")&gt;0, Sayfa2!$E$1, "Bulunamadı")))))</f>
        <v>PERŞEMBE</v>
      </c>
    </row>
    <row r="827" spans="1:5" hidden="1" x14ac:dyDescent="0.25">
      <c r="A827" t="s">
        <v>2449</v>
      </c>
      <c r="B827" t="s">
        <v>913</v>
      </c>
      <c r="C827" t="s">
        <v>2436</v>
      </c>
      <c r="D827" s="4" t="s">
        <v>3076</v>
      </c>
      <c r="E827" t="str">
        <f>IF(COUNTIF(Sayfa2!$A$2:$A$8,"*"&amp;D827&amp;"*")&gt;0, Sayfa2!$A$1,
 IF(COUNTIF(Sayfa2!$B$2:$B$8, "*"&amp;D827&amp;"*")&gt;0, Sayfa2!$B$1,
 IF(COUNTIF(Sayfa2!$C$2:$C$8, "*"&amp;D827&amp;"*")&gt;0, Sayfa2!$C$1,
 IF(COUNTIF(Sayfa2!$D$2:$D$8,"*"&amp;D827&amp;"*")&gt;0, Sayfa2!$D$1,
 IF(COUNTIF(Sayfa2!$E$2:$E$8, "*"&amp;D827&amp;"*")&gt;0, Sayfa2!$E$1, "Bulunamadı")))))</f>
        <v>PERŞEMBE</v>
      </c>
    </row>
    <row r="828" spans="1:5" hidden="1" x14ac:dyDescent="0.25">
      <c r="A828" t="s">
        <v>2450</v>
      </c>
      <c r="B828" t="s">
        <v>914</v>
      </c>
      <c r="C828" t="s">
        <v>2436</v>
      </c>
      <c r="D828" s="4" t="s">
        <v>3076</v>
      </c>
      <c r="E828" t="str">
        <f>IF(COUNTIF(Sayfa2!$A$2:$A$8,"*"&amp;D828&amp;"*")&gt;0, Sayfa2!$A$1,
 IF(COUNTIF(Sayfa2!$B$2:$B$8, "*"&amp;D828&amp;"*")&gt;0, Sayfa2!$B$1,
 IF(COUNTIF(Sayfa2!$C$2:$C$8, "*"&amp;D828&amp;"*")&gt;0, Sayfa2!$C$1,
 IF(COUNTIF(Sayfa2!$D$2:$D$8,"*"&amp;D828&amp;"*")&gt;0, Sayfa2!$D$1,
 IF(COUNTIF(Sayfa2!$E$2:$E$8, "*"&amp;D828&amp;"*")&gt;0, Sayfa2!$E$1, "Bulunamadı")))))</f>
        <v>PERŞEMBE</v>
      </c>
    </row>
    <row r="829" spans="1:5" hidden="1" x14ac:dyDescent="0.25">
      <c r="A829" t="s">
        <v>2451</v>
      </c>
      <c r="B829" t="s">
        <v>915</v>
      </c>
      <c r="C829" t="s">
        <v>2436</v>
      </c>
      <c r="D829" s="4" t="s">
        <v>3076</v>
      </c>
      <c r="E829" t="str">
        <f>IF(COUNTIF(Sayfa2!$A$2:$A$8,"*"&amp;D829&amp;"*")&gt;0, Sayfa2!$A$1,
 IF(COUNTIF(Sayfa2!$B$2:$B$8, "*"&amp;D829&amp;"*")&gt;0, Sayfa2!$B$1,
 IF(COUNTIF(Sayfa2!$C$2:$C$8, "*"&amp;D829&amp;"*")&gt;0, Sayfa2!$C$1,
 IF(COUNTIF(Sayfa2!$D$2:$D$8,"*"&amp;D829&amp;"*")&gt;0, Sayfa2!$D$1,
 IF(COUNTIF(Sayfa2!$E$2:$E$8, "*"&amp;D829&amp;"*")&gt;0, Sayfa2!$E$1, "Bulunamadı")))))</f>
        <v>PERŞEMBE</v>
      </c>
    </row>
    <row r="830" spans="1:5" hidden="1" x14ac:dyDescent="0.25">
      <c r="A830" t="s">
        <v>2452</v>
      </c>
      <c r="B830" t="s">
        <v>916</v>
      </c>
      <c r="C830" t="s">
        <v>2453</v>
      </c>
      <c r="D830" s="4" t="s">
        <v>3083</v>
      </c>
      <c r="E830" t="str">
        <f>IF(COUNTIF(Sayfa2!$A$2:$A$8,"*"&amp;D830&amp;"*")&gt;0, Sayfa2!$A$1,
 IF(COUNTIF(Sayfa2!$B$2:$B$8, "*"&amp;D830&amp;"*")&gt;0, Sayfa2!$B$1,
 IF(COUNTIF(Sayfa2!$C$2:$C$8, "*"&amp;D830&amp;"*")&gt;0, Sayfa2!$C$1,
 IF(COUNTIF(Sayfa2!$D$2:$D$8,"*"&amp;D830&amp;"*")&gt;0, Sayfa2!$D$1,
 IF(COUNTIF(Sayfa2!$E$2:$E$8, "*"&amp;D830&amp;"*")&gt;0, Sayfa2!$E$1, "Bulunamadı")))))</f>
        <v>PAZARTESİ</v>
      </c>
    </row>
    <row r="831" spans="1:5" hidden="1" x14ac:dyDescent="0.25">
      <c r="A831" t="s">
        <v>2454</v>
      </c>
      <c r="B831" t="s">
        <v>918</v>
      </c>
      <c r="C831" t="s">
        <v>2453</v>
      </c>
      <c r="D831" s="4" t="s">
        <v>3083</v>
      </c>
      <c r="E831" t="str">
        <f>IF(COUNTIF(Sayfa2!$A$2:$A$8,"*"&amp;D831&amp;"*")&gt;0, Sayfa2!$A$1,
 IF(COUNTIF(Sayfa2!$B$2:$B$8, "*"&amp;D831&amp;"*")&gt;0, Sayfa2!$B$1,
 IF(COUNTIF(Sayfa2!$C$2:$C$8, "*"&amp;D831&amp;"*")&gt;0, Sayfa2!$C$1,
 IF(COUNTIF(Sayfa2!$D$2:$D$8,"*"&amp;D831&amp;"*")&gt;0, Sayfa2!$D$1,
 IF(COUNTIF(Sayfa2!$E$2:$E$8, "*"&amp;D831&amp;"*")&gt;0, Sayfa2!$E$1, "Bulunamadı")))))</f>
        <v>PAZARTESİ</v>
      </c>
    </row>
    <row r="832" spans="1:5" hidden="1" x14ac:dyDescent="0.25">
      <c r="A832" t="s">
        <v>2455</v>
      </c>
      <c r="B832" t="s">
        <v>919</v>
      </c>
      <c r="C832" t="s">
        <v>2453</v>
      </c>
      <c r="D832" s="4" t="s">
        <v>3083</v>
      </c>
      <c r="E832" t="str">
        <f>IF(COUNTIF(Sayfa2!$A$2:$A$8,"*"&amp;D832&amp;"*")&gt;0, Sayfa2!$A$1,
 IF(COUNTIF(Sayfa2!$B$2:$B$8, "*"&amp;D832&amp;"*")&gt;0, Sayfa2!$B$1,
 IF(COUNTIF(Sayfa2!$C$2:$C$8, "*"&amp;D832&amp;"*")&gt;0, Sayfa2!$C$1,
 IF(COUNTIF(Sayfa2!$D$2:$D$8,"*"&amp;D832&amp;"*")&gt;0, Sayfa2!$D$1,
 IF(COUNTIF(Sayfa2!$E$2:$E$8, "*"&amp;D832&amp;"*")&gt;0, Sayfa2!$E$1, "Bulunamadı")))))</f>
        <v>PAZARTESİ</v>
      </c>
    </row>
    <row r="833" spans="1:5" hidden="1" x14ac:dyDescent="0.25">
      <c r="A833" t="s">
        <v>2456</v>
      </c>
      <c r="B833" t="s">
        <v>920</v>
      </c>
      <c r="C833" t="s">
        <v>2457</v>
      </c>
      <c r="D833" s="4" t="s">
        <v>3082</v>
      </c>
      <c r="E833" t="str">
        <f>IF(COUNTIF(Sayfa2!$A$2:$A$8,"*"&amp;D833&amp;"*")&gt;0, Sayfa2!$A$1,
 IF(COUNTIF(Sayfa2!$B$2:$B$8, "*"&amp;D833&amp;"*")&gt;0, Sayfa2!$B$1,
 IF(COUNTIF(Sayfa2!$C$2:$C$8, "*"&amp;D833&amp;"*")&gt;0, Sayfa2!$C$1,
 IF(COUNTIF(Sayfa2!$D$2:$D$8,"*"&amp;D833&amp;"*")&gt;0, Sayfa2!$D$1,
 IF(COUNTIF(Sayfa2!$E$2:$E$8, "*"&amp;D833&amp;"*")&gt;0, Sayfa2!$E$1, "Bulunamadı")))))</f>
        <v>CUMA</v>
      </c>
    </row>
    <row r="834" spans="1:5" hidden="1" x14ac:dyDescent="0.25">
      <c r="A834" t="s">
        <v>2458</v>
      </c>
      <c r="B834" t="s">
        <v>921</v>
      </c>
      <c r="C834" t="s">
        <v>2457</v>
      </c>
      <c r="D834" s="4" t="s">
        <v>3082</v>
      </c>
      <c r="E834" t="str">
        <f>IF(COUNTIF(Sayfa2!$A$2:$A$8,"*"&amp;D834&amp;"*")&gt;0, Sayfa2!$A$1,
 IF(COUNTIF(Sayfa2!$B$2:$B$8, "*"&amp;D834&amp;"*")&gt;0, Sayfa2!$B$1,
 IF(COUNTIF(Sayfa2!$C$2:$C$8, "*"&amp;D834&amp;"*")&gt;0, Sayfa2!$C$1,
 IF(COUNTIF(Sayfa2!$D$2:$D$8,"*"&amp;D834&amp;"*")&gt;0, Sayfa2!$D$1,
 IF(COUNTIF(Sayfa2!$E$2:$E$8, "*"&amp;D834&amp;"*")&gt;0, Sayfa2!$E$1, "Bulunamadı")))))</f>
        <v>CUMA</v>
      </c>
    </row>
    <row r="835" spans="1:5" hidden="1" x14ac:dyDescent="0.25">
      <c r="A835" t="s">
        <v>2459</v>
      </c>
      <c r="B835" t="s">
        <v>922</v>
      </c>
      <c r="C835" t="s">
        <v>2457</v>
      </c>
      <c r="D835" s="4" t="s">
        <v>3082</v>
      </c>
      <c r="E835" t="str">
        <f>IF(COUNTIF(Sayfa2!$A$2:$A$8,"*"&amp;D835&amp;"*")&gt;0, Sayfa2!$A$1,
 IF(COUNTIF(Sayfa2!$B$2:$B$8, "*"&amp;D835&amp;"*")&gt;0, Sayfa2!$B$1,
 IF(COUNTIF(Sayfa2!$C$2:$C$8, "*"&amp;D835&amp;"*")&gt;0, Sayfa2!$C$1,
 IF(COUNTIF(Sayfa2!$D$2:$D$8,"*"&amp;D835&amp;"*")&gt;0, Sayfa2!$D$1,
 IF(COUNTIF(Sayfa2!$E$2:$E$8, "*"&amp;D835&amp;"*")&gt;0, Sayfa2!$E$1, "Bulunamadı")))))</f>
        <v>CUMA</v>
      </c>
    </row>
    <row r="836" spans="1:5" hidden="1" x14ac:dyDescent="0.25">
      <c r="A836" t="s">
        <v>2460</v>
      </c>
      <c r="B836" t="s">
        <v>923</v>
      </c>
      <c r="C836" t="s">
        <v>2457</v>
      </c>
      <c r="D836" s="4" t="s">
        <v>3082</v>
      </c>
      <c r="E836" t="str">
        <f>IF(COUNTIF(Sayfa2!$A$2:$A$8,"*"&amp;D836&amp;"*")&gt;0, Sayfa2!$A$1,
 IF(COUNTIF(Sayfa2!$B$2:$B$8, "*"&amp;D836&amp;"*")&gt;0, Sayfa2!$B$1,
 IF(COUNTIF(Sayfa2!$C$2:$C$8, "*"&amp;D836&amp;"*")&gt;0, Sayfa2!$C$1,
 IF(COUNTIF(Sayfa2!$D$2:$D$8,"*"&amp;D836&amp;"*")&gt;0, Sayfa2!$D$1,
 IF(COUNTIF(Sayfa2!$E$2:$E$8, "*"&amp;D836&amp;"*")&gt;0, Sayfa2!$E$1, "Bulunamadı")))))</f>
        <v>CUMA</v>
      </c>
    </row>
    <row r="837" spans="1:5" hidden="1" x14ac:dyDescent="0.25">
      <c r="A837" t="s">
        <v>2461</v>
      </c>
      <c r="B837" t="s">
        <v>924</v>
      </c>
      <c r="C837" t="s">
        <v>2457</v>
      </c>
      <c r="D837" s="4" t="s">
        <v>3082</v>
      </c>
      <c r="E837" t="str">
        <f>IF(COUNTIF(Sayfa2!$A$2:$A$8,"*"&amp;D837&amp;"*")&gt;0, Sayfa2!$A$1,
 IF(COUNTIF(Sayfa2!$B$2:$B$8, "*"&amp;D837&amp;"*")&gt;0, Sayfa2!$B$1,
 IF(COUNTIF(Sayfa2!$C$2:$C$8, "*"&amp;D837&amp;"*")&gt;0, Sayfa2!$C$1,
 IF(COUNTIF(Sayfa2!$D$2:$D$8,"*"&amp;D837&amp;"*")&gt;0, Sayfa2!$D$1,
 IF(COUNTIF(Sayfa2!$E$2:$E$8, "*"&amp;D837&amp;"*")&gt;0, Sayfa2!$E$1, "Bulunamadı")))))</f>
        <v>CUMA</v>
      </c>
    </row>
    <row r="838" spans="1:5" hidden="1" x14ac:dyDescent="0.25">
      <c r="A838" t="s">
        <v>2462</v>
      </c>
      <c r="B838" t="s">
        <v>925</v>
      </c>
      <c r="C838" t="s">
        <v>2457</v>
      </c>
      <c r="D838" s="4" t="s">
        <v>3082</v>
      </c>
      <c r="E838" t="str">
        <f>IF(COUNTIF(Sayfa2!$A$2:$A$8,"*"&amp;D838&amp;"*")&gt;0, Sayfa2!$A$1,
 IF(COUNTIF(Sayfa2!$B$2:$B$8, "*"&amp;D838&amp;"*")&gt;0, Sayfa2!$B$1,
 IF(COUNTIF(Sayfa2!$C$2:$C$8, "*"&amp;D838&amp;"*")&gt;0, Sayfa2!$C$1,
 IF(COUNTIF(Sayfa2!$D$2:$D$8,"*"&amp;D838&amp;"*")&gt;0, Sayfa2!$D$1,
 IF(COUNTIF(Sayfa2!$E$2:$E$8, "*"&amp;D838&amp;"*")&gt;0, Sayfa2!$E$1, "Bulunamadı")))))</f>
        <v>CUMA</v>
      </c>
    </row>
    <row r="839" spans="1:5" hidden="1" x14ac:dyDescent="0.25">
      <c r="A839" t="s">
        <v>2463</v>
      </c>
      <c r="B839" t="s">
        <v>926</v>
      </c>
      <c r="C839" t="s">
        <v>2457</v>
      </c>
      <c r="D839" s="4" t="s">
        <v>3082</v>
      </c>
      <c r="E839" t="str">
        <f>IF(COUNTIF(Sayfa2!$A$2:$A$8,"*"&amp;D839&amp;"*")&gt;0, Sayfa2!$A$1,
 IF(COUNTIF(Sayfa2!$B$2:$B$8, "*"&amp;D839&amp;"*")&gt;0, Sayfa2!$B$1,
 IF(COUNTIF(Sayfa2!$C$2:$C$8, "*"&amp;D839&amp;"*")&gt;0, Sayfa2!$C$1,
 IF(COUNTIF(Sayfa2!$D$2:$D$8,"*"&amp;D839&amp;"*")&gt;0, Sayfa2!$D$1,
 IF(COUNTIF(Sayfa2!$E$2:$E$8, "*"&amp;D839&amp;"*")&gt;0, Sayfa2!$E$1, "Bulunamadı")))))</f>
        <v>CUMA</v>
      </c>
    </row>
    <row r="840" spans="1:5" hidden="1" x14ac:dyDescent="0.25">
      <c r="A840" t="s">
        <v>2203</v>
      </c>
      <c r="B840" t="s">
        <v>927</v>
      </c>
      <c r="C840" t="s">
        <v>2457</v>
      </c>
      <c r="D840" s="4" t="s">
        <v>3082</v>
      </c>
      <c r="E840" t="str">
        <f>IF(COUNTIF(Sayfa2!$A$2:$A$8,"*"&amp;D840&amp;"*")&gt;0, Sayfa2!$A$1,
 IF(COUNTIF(Sayfa2!$B$2:$B$8, "*"&amp;D840&amp;"*")&gt;0, Sayfa2!$B$1,
 IF(COUNTIF(Sayfa2!$C$2:$C$8, "*"&amp;D840&amp;"*")&gt;0, Sayfa2!$C$1,
 IF(COUNTIF(Sayfa2!$D$2:$D$8,"*"&amp;D840&amp;"*")&gt;0, Sayfa2!$D$1,
 IF(COUNTIF(Sayfa2!$E$2:$E$8, "*"&amp;D840&amp;"*")&gt;0, Sayfa2!$E$1, "Bulunamadı")))))</f>
        <v>CUMA</v>
      </c>
    </row>
    <row r="841" spans="1:5" hidden="1" x14ac:dyDescent="0.25">
      <c r="A841" t="s">
        <v>2464</v>
      </c>
      <c r="B841" t="s">
        <v>928</v>
      </c>
      <c r="C841" t="s">
        <v>2457</v>
      </c>
      <c r="D841" s="4" t="s">
        <v>3082</v>
      </c>
      <c r="E841" t="str">
        <f>IF(COUNTIF(Sayfa2!$A$2:$A$8,"*"&amp;D841&amp;"*")&gt;0, Sayfa2!$A$1,
 IF(COUNTIF(Sayfa2!$B$2:$B$8, "*"&amp;D841&amp;"*")&gt;0, Sayfa2!$B$1,
 IF(COUNTIF(Sayfa2!$C$2:$C$8, "*"&amp;D841&amp;"*")&gt;0, Sayfa2!$C$1,
 IF(COUNTIF(Sayfa2!$D$2:$D$8,"*"&amp;D841&amp;"*")&gt;0, Sayfa2!$D$1,
 IF(COUNTIF(Sayfa2!$E$2:$E$8, "*"&amp;D841&amp;"*")&gt;0, Sayfa2!$E$1, "Bulunamadı")))))</f>
        <v>CUMA</v>
      </c>
    </row>
    <row r="842" spans="1:5" hidden="1" x14ac:dyDescent="0.25">
      <c r="A842" t="s">
        <v>2465</v>
      </c>
      <c r="B842" t="s">
        <v>929</v>
      </c>
      <c r="C842" t="s">
        <v>2457</v>
      </c>
      <c r="D842" s="4" t="s">
        <v>3082</v>
      </c>
      <c r="E842" t="str">
        <f>IF(COUNTIF(Sayfa2!$A$2:$A$8,"*"&amp;D842&amp;"*")&gt;0, Sayfa2!$A$1,
 IF(COUNTIF(Sayfa2!$B$2:$B$8, "*"&amp;D842&amp;"*")&gt;0, Sayfa2!$B$1,
 IF(COUNTIF(Sayfa2!$C$2:$C$8, "*"&amp;D842&amp;"*")&gt;0, Sayfa2!$C$1,
 IF(COUNTIF(Sayfa2!$D$2:$D$8,"*"&amp;D842&amp;"*")&gt;0, Sayfa2!$D$1,
 IF(COUNTIF(Sayfa2!$E$2:$E$8, "*"&amp;D842&amp;"*")&gt;0, Sayfa2!$E$1, "Bulunamadı")))))</f>
        <v>CUMA</v>
      </c>
    </row>
    <row r="843" spans="1:5" hidden="1" x14ac:dyDescent="0.25">
      <c r="A843" t="s">
        <v>2466</v>
      </c>
      <c r="B843" t="s">
        <v>930</v>
      </c>
      <c r="C843" t="s">
        <v>2457</v>
      </c>
      <c r="D843" s="4" t="s">
        <v>3082</v>
      </c>
      <c r="E843" t="str">
        <f>IF(COUNTIF(Sayfa2!$A$2:$A$8,"*"&amp;D843&amp;"*")&gt;0, Sayfa2!$A$1,
 IF(COUNTIF(Sayfa2!$B$2:$B$8, "*"&amp;D843&amp;"*")&gt;0, Sayfa2!$B$1,
 IF(COUNTIF(Sayfa2!$C$2:$C$8, "*"&amp;D843&amp;"*")&gt;0, Sayfa2!$C$1,
 IF(COUNTIF(Sayfa2!$D$2:$D$8,"*"&amp;D843&amp;"*")&gt;0, Sayfa2!$D$1,
 IF(COUNTIF(Sayfa2!$E$2:$E$8, "*"&amp;D843&amp;"*")&gt;0, Sayfa2!$E$1, "Bulunamadı")))))</f>
        <v>CUMA</v>
      </c>
    </row>
    <row r="844" spans="1:5" hidden="1" x14ac:dyDescent="0.25">
      <c r="A844" t="s">
        <v>2467</v>
      </c>
      <c r="B844" t="s">
        <v>931</v>
      </c>
      <c r="C844" t="s">
        <v>2457</v>
      </c>
      <c r="D844" s="4" t="s">
        <v>3082</v>
      </c>
      <c r="E844" t="str">
        <f>IF(COUNTIF(Sayfa2!$A$2:$A$8,"*"&amp;D844&amp;"*")&gt;0, Sayfa2!$A$1,
 IF(COUNTIF(Sayfa2!$B$2:$B$8, "*"&amp;D844&amp;"*")&gt;0, Sayfa2!$B$1,
 IF(COUNTIF(Sayfa2!$C$2:$C$8, "*"&amp;D844&amp;"*")&gt;0, Sayfa2!$C$1,
 IF(COUNTIF(Sayfa2!$D$2:$D$8,"*"&amp;D844&amp;"*")&gt;0, Sayfa2!$D$1,
 IF(COUNTIF(Sayfa2!$E$2:$E$8, "*"&amp;D844&amp;"*")&gt;0, Sayfa2!$E$1, "Bulunamadı")))))</f>
        <v>CUMA</v>
      </c>
    </row>
    <row r="845" spans="1:5" hidden="1" x14ac:dyDescent="0.25">
      <c r="A845" t="s">
        <v>2468</v>
      </c>
      <c r="B845" t="s">
        <v>932</v>
      </c>
      <c r="C845" t="s">
        <v>2457</v>
      </c>
      <c r="D845" s="4" t="s">
        <v>3082</v>
      </c>
      <c r="E845" t="str">
        <f>IF(COUNTIF(Sayfa2!$A$2:$A$8,"*"&amp;D845&amp;"*")&gt;0, Sayfa2!$A$1,
 IF(COUNTIF(Sayfa2!$B$2:$B$8, "*"&amp;D845&amp;"*")&gt;0, Sayfa2!$B$1,
 IF(COUNTIF(Sayfa2!$C$2:$C$8, "*"&amp;D845&amp;"*")&gt;0, Sayfa2!$C$1,
 IF(COUNTIF(Sayfa2!$D$2:$D$8,"*"&amp;D845&amp;"*")&gt;0, Sayfa2!$D$1,
 IF(COUNTIF(Sayfa2!$E$2:$E$8, "*"&amp;D845&amp;"*")&gt;0, Sayfa2!$E$1, "Bulunamadı")))))</f>
        <v>CUMA</v>
      </c>
    </row>
    <row r="846" spans="1:5" hidden="1" x14ac:dyDescent="0.25">
      <c r="A846" t="s">
        <v>2469</v>
      </c>
      <c r="B846" t="s">
        <v>933</v>
      </c>
      <c r="C846" t="s">
        <v>2470</v>
      </c>
      <c r="D846" s="4" t="s">
        <v>3075</v>
      </c>
      <c r="E846" t="str">
        <f>IF(COUNTIF(Sayfa2!$A$2:$A$8,"*"&amp;D846&amp;"*")&gt;0, Sayfa2!$A$1,
 IF(COUNTIF(Sayfa2!$B$2:$B$8, "*"&amp;D846&amp;"*")&gt;0, Sayfa2!$B$1,
 IF(COUNTIF(Sayfa2!$C$2:$C$8, "*"&amp;D846&amp;"*")&gt;0, Sayfa2!$C$1,
 IF(COUNTIF(Sayfa2!$D$2:$D$8,"*"&amp;D846&amp;"*")&gt;0, Sayfa2!$D$1,
 IF(COUNTIF(Sayfa2!$E$2:$E$8, "*"&amp;D846&amp;"*")&gt;0, Sayfa2!$E$1, "Bulunamadı")))))</f>
        <v>ÇARŞAMBA</v>
      </c>
    </row>
    <row r="847" spans="1:5" hidden="1" x14ac:dyDescent="0.25">
      <c r="A847" t="s">
        <v>2471</v>
      </c>
      <c r="B847" t="s">
        <v>934</v>
      </c>
      <c r="C847" t="s">
        <v>2470</v>
      </c>
      <c r="D847" s="4" t="s">
        <v>3075</v>
      </c>
      <c r="E847" t="str">
        <f>IF(COUNTIF(Sayfa2!$A$2:$A$8,"*"&amp;D847&amp;"*")&gt;0, Sayfa2!$A$1,
 IF(COUNTIF(Sayfa2!$B$2:$B$8, "*"&amp;D847&amp;"*")&gt;0, Sayfa2!$B$1,
 IF(COUNTIF(Sayfa2!$C$2:$C$8, "*"&amp;D847&amp;"*")&gt;0, Sayfa2!$C$1,
 IF(COUNTIF(Sayfa2!$D$2:$D$8,"*"&amp;D847&amp;"*")&gt;0, Sayfa2!$D$1,
 IF(COUNTIF(Sayfa2!$E$2:$E$8, "*"&amp;D847&amp;"*")&gt;0, Sayfa2!$E$1, "Bulunamadı")))))</f>
        <v>ÇARŞAMBA</v>
      </c>
    </row>
    <row r="848" spans="1:5" hidden="1" x14ac:dyDescent="0.25">
      <c r="A848" t="s">
        <v>2472</v>
      </c>
      <c r="B848" t="s">
        <v>935</v>
      </c>
      <c r="C848" t="s">
        <v>2470</v>
      </c>
      <c r="D848" s="4" t="s">
        <v>3075</v>
      </c>
      <c r="E848" t="str">
        <f>IF(COUNTIF(Sayfa2!$A$2:$A$8,"*"&amp;D848&amp;"*")&gt;0, Sayfa2!$A$1,
 IF(COUNTIF(Sayfa2!$B$2:$B$8, "*"&amp;D848&amp;"*")&gt;0, Sayfa2!$B$1,
 IF(COUNTIF(Sayfa2!$C$2:$C$8, "*"&amp;D848&amp;"*")&gt;0, Sayfa2!$C$1,
 IF(COUNTIF(Sayfa2!$D$2:$D$8,"*"&amp;D848&amp;"*")&gt;0, Sayfa2!$D$1,
 IF(COUNTIF(Sayfa2!$E$2:$E$8, "*"&amp;D848&amp;"*")&gt;0, Sayfa2!$E$1, "Bulunamadı")))))</f>
        <v>ÇARŞAMBA</v>
      </c>
    </row>
    <row r="849" spans="1:5" hidden="1" x14ac:dyDescent="0.25">
      <c r="A849" t="s">
        <v>2473</v>
      </c>
      <c r="B849" t="s">
        <v>936</v>
      </c>
      <c r="C849" t="s">
        <v>2470</v>
      </c>
      <c r="D849" s="4" t="s">
        <v>3075</v>
      </c>
      <c r="E849" t="str">
        <f>IF(COUNTIF(Sayfa2!$A$2:$A$8,"*"&amp;D849&amp;"*")&gt;0, Sayfa2!$A$1,
 IF(COUNTIF(Sayfa2!$B$2:$B$8, "*"&amp;D849&amp;"*")&gt;0, Sayfa2!$B$1,
 IF(COUNTIF(Sayfa2!$C$2:$C$8, "*"&amp;D849&amp;"*")&gt;0, Sayfa2!$C$1,
 IF(COUNTIF(Sayfa2!$D$2:$D$8,"*"&amp;D849&amp;"*")&gt;0, Sayfa2!$D$1,
 IF(COUNTIF(Sayfa2!$E$2:$E$8, "*"&amp;D849&amp;"*")&gt;0, Sayfa2!$E$1, "Bulunamadı")))))</f>
        <v>ÇARŞAMBA</v>
      </c>
    </row>
    <row r="850" spans="1:5" hidden="1" x14ac:dyDescent="0.25">
      <c r="A850" t="s">
        <v>2474</v>
      </c>
      <c r="B850" t="s">
        <v>937</v>
      </c>
      <c r="C850" t="s">
        <v>2475</v>
      </c>
      <c r="D850" s="4" t="s">
        <v>3078</v>
      </c>
      <c r="E850" t="str">
        <f>IF(COUNTIF(Sayfa2!$A$2:$A$8,"*"&amp;D850&amp;"*")&gt;0, Sayfa2!$A$1,
 IF(COUNTIF(Sayfa2!$B$2:$B$8, "*"&amp;D850&amp;"*")&gt;0, Sayfa2!$B$1,
 IF(COUNTIF(Sayfa2!$C$2:$C$8, "*"&amp;D850&amp;"*")&gt;0, Sayfa2!$C$1,
 IF(COUNTIF(Sayfa2!$D$2:$D$8,"*"&amp;D850&amp;"*")&gt;0, Sayfa2!$D$1,
 IF(COUNTIF(Sayfa2!$E$2:$E$8, "*"&amp;D850&amp;"*")&gt;0, Sayfa2!$E$1, "Bulunamadı")))))</f>
        <v>PAZARTESİ</v>
      </c>
    </row>
    <row r="851" spans="1:5" hidden="1" x14ac:dyDescent="0.25">
      <c r="A851" t="s">
        <v>2476</v>
      </c>
      <c r="B851" t="s">
        <v>938</v>
      </c>
      <c r="C851" t="s">
        <v>2475</v>
      </c>
      <c r="D851" s="4" t="s">
        <v>3078</v>
      </c>
      <c r="E851" t="str">
        <f>IF(COUNTIF(Sayfa2!$A$2:$A$8,"*"&amp;D851&amp;"*")&gt;0, Sayfa2!$A$1,
 IF(COUNTIF(Sayfa2!$B$2:$B$8, "*"&amp;D851&amp;"*")&gt;0, Sayfa2!$B$1,
 IF(COUNTIF(Sayfa2!$C$2:$C$8, "*"&amp;D851&amp;"*")&gt;0, Sayfa2!$C$1,
 IF(COUNTIF(Sayfa2!$D$2:$D$8,"*"&amp;D851&amp;"*")&gt;0, Sayfa2!$D$1,
 IF(COUNTIF(Sayfa2!$E$2:$E$8, "*"&amp;D851&amp;"*")&gt;0, Sayfa2!$E$1, "Bulunamadı")))))</f>
        <v>PAZARTESİ</v>
      </c>
    </row>
    <row r="852" spans="1:5" hidden="1" x14ac:dyDescent="0.25">
      <c r="A852" t="s">
        <v>2477</v>
      </c>
      <c r="B852" t="s">
        <v>939</v>
      </c>
      <c r="C852" t="s">
        <v>2475</v>
      </c>
      <c r="D852" s="4" t="s">
        <v>3078</v>
      </c>
      <c r="E852" t="str">
        <f>IF(COUNTIF(Sayfa2!$A$2:$A$8,"*"&amp;D852&amp;"*")&gt;0, Sayfa2!$A$1,
 IF(COUNTIF(Sayfa2!$B$2:$B$8, "*"&amp;D852&amp;"*")&gt;0, Sayfa2!$B$1,
 IF(COUNTIF(Sayfa2!$C$2:$C$8, "*"&amp;D852&amp;"*")&gt;0, Sayfa2!$C$1,
 IF(COUNTIF(Sayfa2!$D$2:$D$8,"*"&amp;D852&amp;"*")&gt;0, Sayfa2!$D$1,
 IF(COUNTIF(Sayfa2!$E$2:$E$8, "*"&amp;D852&amp;"*")&gt;0, Sayfa2!$E$1, "Bulunamadı")))))</f>
        <v>PAZARTESİ</v>
      </c>
    </row>
    <row r="853" spans="1:5" hidden="1" x14ac:dyDescent="0.25">
      <c r="A853" t="s">
        <v>2478</v>
      </c>
      <c r="B853" t="s">
        <v>940</v>
      </c>
      <c r="C853" t="s">
        <v>2475</v>
      </c>
      <c r="D853" s="4" t="s">
        <v>3078</v>
      </c>
      <c r="E853" t="str">
        <f>IF(COUNTIF(Sayfa2!$A$2:$A$8,"*"&amp;D853&amp;"*")&gt;0, Sayfa2!$A$1,
 IF(COUNTIF(Sayfa2!$B$2:$B$8, "*"&amp;D853&amp;"*")&gt;0, Sayfa2!$B$1,
 IF(COUNTIF(Sayfa2!$C$2:$C$8, "*"&amp;D853&amp;"*")&gt;0, Sayfa2!$C$1,
 IF(COUNTIF(Sayfa2!$D$2:$D$8,"*"&amp;D853&amp;"*")&gt;0, Sayfa2!$D$1,
 IF(COUNTIF(Sayfa2!$E$2:$E$8, "*"&amp;D853&amp;"*")&gt;0, Sayfa2!$E$1, "Bulunamadı")))))</f>
        <v>PAZARTESİ</v>
      </c>
    </row>
    <row r="854" spans="1:5" hidden="1" x14ac:dyDescent="0.25">
      <c r="A854" t="s">
        <v>2479</v>
      </c>
      <c r="B854" t="s">
        <v>941</v>
      </c>
      <c r="C854" t="s">
        <v>2475</v>
      </c>
      <c r="D854" s="4" t="s">
        <v>3078</v>
      </c>
      <c r="E854" t="str">
        <f>IF(COUNTIF(Sayfa2!$A$2:$A$8,"*"&amp;D854&amp;"*")&gt;0, Sayfa2!$A$1,
 IF(COUNTIF(Sayfa2!$B$2:$B$8, "*"&amp;D854&amp;"*")&gt;0, Sayfa2!$B$1,
 IF(COUNTIF(Sayfa2!$C$2:$C$8, "*"&amp;D854&amp;"*")&gt;0, Sayfa2!$C$1,
 IF(COUNTIF(Sayfa2!$D$2:$D$8,"*"&amp;D854&amp;"*")&gt;0, Sayfa2!$D$1,
 IF(COUNTIF(Sayfa2!$E$2:$E$8, "*"&amp;D854&amp;"*")&gt;0, Sayfa2!$E$1, "Bulunamadı")))))</f>
        <v>PAZARTESİ</v>
      </c>
    </row>
    <row r="855" spans="1:5" hidden="1" x14ac:dyDescent="0.25">
      <c r="A855" t="s">
        <v>2480</v>
      </c>
      <c r="B855" t="s">
        <v>942</v>
      </c>
      <c r="C855" t="s">
        <v>2475</v>
      </c>
      <c r="D855" s="4" t="s">
        <v>3078</v>
      </c>
      <c r="E855" t="str">
        <f>IF(COUNTIF(Sayfa2!$A$2:$A$8,"*"&amp;D855&amp;"*")&gt;0, Sayfa2!$A$1,
 IF(COUNTIF(Sayfa2!$B$2:$B$8, "*"&amp;D855&amp;"*")&gt;0, Sayfa2!$B$1,
 IF(COUNTIF(Sayfa2!$C$2:$C$8, "*"&amp;D855&amp;"*")&gt;0, Sayfa2!$C$1,
 IF(COUNTIF(Sayfa2!$D$2:$D$8,"*"&amp;D855&amp;"*")&gt;0, Sayfa2!$D$1,
 IF(COUNTIF(Sayfa2!$E$2:$E$8, "*"&amp;D855&amp;"*")&gt;0, Sayfa2!$E$1, "Bulunamadı")))))</f>
        <v>PAZARTESİ</v>
      </c>
    </row>
    <row r="856" spans="1:5" hidden="1" x14ac:dyDescent="0.25">
      <c r="A856" t="s">
        <v>2481</v>
      </c>
      <c r="B856" t="s">
        <v>943</v>
      </c>
      <c r="C856" t="s">
        <v>2475</v>
      </c>
      <c r="D856" s="4" t="s">
        <v>3078</v>
      </c>
      <c r="E856" t="str">
        <f>IF(COUNTIF(Sayfa2!$A$2:$A$8,"*"&amp;D856&amp;"*")&gt;0, Sayfa2!$A$1,
 IF(COUNTIF(Sayfa2!$B$2:$B$8, "*"&amp;D856&amp;"*")&gt;0, Sayfa2!$B$1,
 IF(COUNTIF(Sayfa2!$C$2:$C$8, "*"&amp;D856&amp;"*")&gt;0, Sayfa2!$C$1,
 IF(COUNTIF(Sayfa2!$D$2:$D$8,"*"&amp;D856&amp;"*")&gt;0, Sayfa2!$D$1,
 IF(COUNTIF(Sayfa2!$E$2:$E$8, "*"&amp;D856&amp;"*")&gt;0, Sayfa2!$E$1, "Bulunamadı")))))</f>
        <v>PAZARTESİ</v>
      </c>
    </row>
    <row r="857" spans="1:5" hidden="1" x14ac:dyDescent="0.25">
      <c r="A857" t="s">
        <v>2482</v>
      </c>
      <c r="B857" t="s">
        <v>944</v>
      </c>
      <c r="C857" t="s">
        <v>2483</v>
      </c>
      <c r="D857" s="4" t="s">
        <v>3077</v>
      </c>
      <c r="E857" t="str">
        <f>IF(COUNTIF(Sayfa2!$A$2:$A$8,"*"&amp;D857&amp;"*")&gt;0, Sayfa2!$A$1,
 IF(COUNTIF(Sayfa2!$B$2:$B$8, "*"&amp;D857&amp;"*")&gt;0, Sayfa2!$B$1,
 IF(COUNTIF(Sayfa2!$C$2:$C$8, "*"&amp;D857&amp;"*")&gt;0, Sayfa2!$C$1,
 IF(COUNTIF(Sayfa2!$D$2:$D$8,"*"&amp;D857&amp;"*")&gt;0, Sayfa2!$D$1,
 IF(COUNTIF(Sayfa2!$E$2:$E$8, "*"&amp;D857&amp;"*")&gt;0, Sayfa2!$E$1, "Bulunamadı")))))</f>
        <v>CUMA</v>
      </c>
    </row>
    <row r="858" spans="1:5" hidden="1" x14ac:dyDescent="0.25">
      <c r="A858" t="s">
        <v>2484</v>
      </c>
      <c r="B858" t="s">
        <v>945</v>
      </c>
      <c r="C858" t="s">
        <v>2485</v>
      </c>
      <c r="D858" s="4" t="s">
        <v>3077</v>
      </c>
      <c r="E858" t="str">
        <f>IF(COUNTIF(Sayfa2!$A$2:$A$8,"*"&amp;D858&amp;"*")&gt;0, Sayfa2!$A$1,
 IF(COUNTIF(Sayfa2!$B$2:$B$8, "*"&amp;D858&amp;"*")&gt;0, Sayfa2!$B$1,
 IF(COUNTIF(Sayfa2!$C$2:$C$8, "*"&amp;D858&amp;"*")&gt;0, Sayfa2!$C$1,
 IF(COUNTIF(Sayfa2!$D$2:$D$8,"*"&amp;D858&amp;"*")&gt;0, Sayfa2!$D$1,
 IF(COUNTIF(Sayfa2!$E$2:$E$8, "*"&amp;D858&amp;"*")&gt;0, Sayfa2!$E$1, "Bulunamadı")))))</f>
        <v>CUMA</v>
      </c>
    </row>
    <row r="859" spans="1:5" hidden="1" x14ac:dyDescent="0.25">
      <c r="A859" t="s">
        <v>2486</v>
      </c>
      <c r="B859" t="s">
        <v>946</v>
      </c>
      <c r="C859" t="s">
        <v>2487</v>
      </c>
      <c r="D859" s="4" t="s">
        <v>3075</v>
      </c>
      <c r="E859" t="str">
        <f>IF(COUNTIF(Sayfa2!$A$2:$A$8,"*"&amp;D859&amp;"*")&gt;0, Sayfa2!$A$1,
 IF(COUNTIF(Sayfa2!$B$2:$B$8, "*"&amp;D859&amp;"*")&gt;0, Sayfa2!$B$1,
 IF(COUNTIF(Sayfa2!$C$2:$C$8, "*"&amp;D859&amp;"*")&gt;0, Sayfa2!$C$1,
 IF(COUNTIF(Sayfa2!$D$2:$D$8,"*"&amp;D859&amp;"*")&gt;0, Sayfa2!$D$1,
 IF(COUNTIF(Sayfa2!$E$2:$E$8, "*"&amp;D859&amp;"*")&gt;0, Sayfa2!$E$1, "Bulunamadı")))))</f>
        <v>ÇARŞAMBA</v>
      </c>
    </row>
    <row r="860" spans="1:5" hidden="1" x14ac:dyDescent="0.25">
      <c r="A860" t="s">
        <v>2488</v>
      </c>
      <c r="B860" t="s">
        <v>947</v>
      </c>
      <c r="C860" t="s">
        <v>2489</v>
      </c>
      <c r="D860" s="4" t="s">
        <v>3083</v>
      </c>
      <c r="E860" t="str">
        <f>IF(COUNTIF(Sayfa2!$A$2:$A$8,"*"&amp;D860&amp;"*")&gt;0, Sayfa2!$A$1,
 IF(COUNTIF(Sayfa2!$B$2:$B$8, "*"&amp;D860&amp;"*")&gt;0, Sayfa2!$B$1,
 IF(COUNTIF(Sayfa2!$C$2:$C$8, "*"&amp;D860&amp;"*")&gt;0, Sayfa2!$C$1,
 IF(COUNTIF(Sayfa2!$D$2:$D$8,"*"&amp;D860&amp;"*")&gt;0, Sayfa2!$D$1,
 IF(COUNTIF(Sayfa2!$E$2:$E$8, "*"&amp;D860&amp;"*")&gt;0, Sayfa2!$E$1, "Bulunamadı")))))</f>
        <v>PAZARTESİ</v>
      </c>
    </row>
    <row r="861" spans="1:5" hidden="1" x14ac:dyDescent="0.25">
      <c r="A861" t="s">
        <v>2490</v>
      </c>
      <c r="B861" t="s">
        <v>949</v>
      </c>
      <c r="C861" t="s">
        <v>2489</v>
      </c>
      <c r="D861" s="4" t="s">
        <v>3083</v>
      </c>
      <c r="E861" t="str">
        <f>IF(COUNTIF(Sayfa2!$A$2:$A$8,"*"&amp;D861&amp;"*")&gt;0, Sayfa2!$A$1,
 IF(COUNTIF(Sayfa2!$B$2:$B$8, "*"&amp;D861&amp;"*")&gt;0, Sayfa2!$B$1,
 IF(COUNTIF(Sayfa2!$C$2:$C$8, "*"&amp;D861&amp;"*")&gt;0, Sayfa2!$C$1,
 IF(COUNTIF(Sayfa2!$D$2:$D$8,"*"&amp;D861&amp;"*")&gt;0, Sayfa2!$D$1,
 IF(COUNTIF(Sayfa2!$E$2:$E$8, "*"&amp;D861&amp;"*")&gt;0, Sayfa2!$E$1, "Bulunamadı")))))</f>
        <v>PAZARTESİ</v>
      </c>
    </row>
    <row r="862" spans="1:5" hidden="1" x14ac:dyDescent="0.25">
      <c r="A862" t="s">
        <v>2491</v>
      </c>
      <c r="B862" t="s">
        <v>950</v>
      </c>
      <c r="C862" t="s">
        <v>2489</v>
      </c>
      <c r="D862" s="4" t="s">
        <v>3083</v>
      </c>
      <c r="E862" t="str">
        <f>IF(COUNTIF(Sayfa2!$A$2:$A$8,"*"&amp;D862&amp;"*")&gt;0, Sayfa2!$A$1,
 IF(COUNTIF(Sayfa2!$B$2:$B$8, "*"&amp;D862&amp;"*")&gt;0, Sayfa2!$B$1,
 IF(COUNTIF(Sayfa2!$C$2:$C$8, "*"&amp;D862&amp;"*")&gt;0, Sayfa2!$C$1,
 IF(COUNTIF(Sayfa2!$D$2:$D$8,"*"&amp;D862&amp;"*")&gt;0, Sayfa2!$D$1,
 IF(COUNTIF(Sayfa2!$E$2:$E$8, "*"&amp;D862&amp;"*")&gt;0, Sayfa2!$E$1, "Bulunamadı")))))</f>
        <v>PAZARTESİ</v>
      </c>
    </row>
    <row r="863" spans="1:5" hidden="1" x14ac:dyDescent="0.25">
      <c r="A863" t="s">
        <v>1510</v>
      </c>
      <c r="B863" t="s">
        <v>951</v>
      </c>
      <c r="C863" t="s">
        <v>2487</v>
      </c>
      <c r="D863" s="4" t="s">
        <v>3075</v>
      </c>
      <c r="E863" t="str">
        <f>IF(COUNTIF(Sayfa2!$A$2:$A$8,"*"&amp;D863&amp;"*")&gt;0, Sayfa2!$A$1,
 IF(COUNTIF(Sayfa2!$B$2:$B$8, "*"&amp;D863&amp;"*")&gt;0, Sayfa2!$B$1,
 IF(COUNTIF(Sayfa2!$C$2:$C$8, "*"&amp;D863&amp;"*")&gt;0, Sayfa2!$C$1,
 IF(COUNTIF(Sayfa2!$D$2:$D$8,"*"&amp;D863&amp;"*")&gt;0, Sayfa2!$D$1,
 IF(COUNTIF(Sayfa2!$E$2:$E$8, "*"&amp;D863&amp;"*")&gt;0, Sayfa2!$E$1, "Bulunamadı")))))</f>
        <v>ÇARŞAMBA</v>
      </c>
    </row>
    <row r="864" spans="1:5" hidden="1" x14ac:dyDescent="0.25">
      <c r="A864" t="s">
        <v>2492</v>
      </c>
      <c r="B864" t="s">
        <v>952</v>
      </c>
      <c r="C864" t="s">
        <v>2489</v>
      </c>
      <c r="D864" s="4" t="s">
        <v>3083</v>
      </c>
      <c r="E864" t="str">
        <f>IF(COUNTIF(Sayfa2!$A$2:$A$8,"*"&amp;D864&amp;"*")&gt;0, Sayfa2!$A$1,
 IF(COUNTIF(Sayfa2!$B$2:$B$8, "*"&amp;D864&amp;"*")&gt;0, Sayfa2!$B$1,
 IF(COUNTIF(Sayfa2!$C$2:$C$8, "*"&amp;D864&amp;"*")&gt;0, Sayfa2!$C$1,
 IF(COUNTIF(Sayfa2!$D$2:$D$8,"*"&amp;D864&amp;"*")&gt;0, Sayfa2!$D$1,
 IF(COUNTIF(Sayfa2!$E$2:$E$8, "*"&amp;D864&amp;"*")&gt;0, Sayfa2!$E$1, "Bulunamadı")))))</f>
        <v>PAZARTESİ</v>
      </c>
    </row>
    <row r="865" spans="1:5" hidden="1" x14ac:dyDescent="0.25">
      <c r="A865" t="s">
        <v>2493</v>
      </c>
      <c r="B865" t="s">
        <v>953</v>
      </c>
      <c r="C865" t="s">
        <v>2487</v>
      </c>
      <c r="D865" s="4" t="s">
        <v>3075</v>
      </c>
      <c r="E865" t="str">
        <f>IF(COUNTIF(Sayfa2!$A$2:$A$8,"*"&amp;D865&amp;"*")&gt;0, Sayfa2!$A$1,
 IF(COUNTIF(Sayfa2!$B$2:$B$8, "*"&amp;D865&amp;"*")&gt;0, Sayfa2!$B$1,
 IF(COUNTIF(Sayfa2!$C$2:$C$8, "*"&amp;D865&amp;"*")&gt;0, Sayfa2!$C$1,
 IF(COUNTIF(Sayfa2!$D$2:$D$8,"*"&amp;D865&amp;"*")&gt;0, Sayfa2!$D$1,
 IF(COUNTIF(Sayfa2!$E$2:$E$8, "*"&amp;D865&amp;"*")&gt;0, Sayfa2!$E$1, "Bulunamadı")))))</f>
        <v>ÇARŞAMBA</v>
      </c>
    </row>
    <row r="866" spans="1:5" hidden="1" x14ac:dyDescent="0.25">
      <c r="A866" t="s">
        <v>2494</v>
      </c>
      <c r="B866" t="s">
        <v>954</v>
      </c>
      <c r="C866" t="s">
        <v>2487</v>
      </c>
      <c r="D866" s="4" t="s">
        <v>3075</v>
      </c>
      <c r="E866" t="str">
        <f>IF(COUNTIF(Sayfa2!$A$2:$A$8,"*"&amp;D866&amp;"*")&gt;0, Sayfa2!$A$1,
 IF(COUNTIF(Sayfa2!$B$2:$B$8, "*"&amp;D866&amp;"*")&gt;0, Sayfa2!$B$1,
 IF(COUNTIF(Sayfa2!$C$2:$C$8, "*"&amp;D866&amp;"*")&gt;0, Sayfa2!$C$1,
 IF(COUNTIF(Sayfa2!$D$2:$D$8,"*"&amp;D866&amp;"*")&gt;0, Sayfa2!$D$1,
 IF(COUNTIF(Sayfa2!$E$2:$E$8, "*"&amp;D866&amp;"*")&gt;0, Sayfa2!$E$1, "Bulunamadı")))))</f>
        <v>ÇARŞAMBA</v>
      </c>
    </row>
    <row r="867" spans="1:5" hidden="1" x14ac:dyDescent="0.25">
      <c r="A867" t="s">
        <v>2495</v>
      </c>
      <c r="B867" t="s">
        <v>955</v>
      </c>
      <c r="C867" t="s">
        <v>2489</v>
      </c>
      <c r="D867" s="4" t="s">
        <v>3083</v>
      </c>
      <c r="E867" t="str">
        <f>IF(COUNTIF(Sayfa2!$A$2:$A$8,"*"&amp;D867&amp;"*")&gt;0, Sayfa2!$A$1,
 IF(COUNTIF(Sayfa2!$B$2:$B$8, "*"&amp;D867&amp;"*")&gt;0, Sayfa2!$B$1,
 IF(COUNTIF(Sayfa2!$C$2:$C$8, "*"&amp;D867&amp;"*")&gt;0, Sayfa2!$C$1,
 IF(COUNTIF(Sayfa2!$D$2:$D$8,"*"&amp;D867&amp;"*")&gt;0, Sayfa2!$D$1,
 IF(COUNTIF(Sayfa2!$E$2:$E$8, "*"&amp;D867&amp;"*")&gt;0, Sayfa2!$E$1, "Bulunamadı")))))</f>
        <v>PAZARTESİ</v>
      </c>
    </row>
    <row r="868" spans="1:5" hidden="1" x14ac:dyDescent="0.25">
      <c r="A868" t="s">
        <v>2496</v>
      </c>
      <c r="B868" t="s">
        <v>956</v>
      </c>
      <c r="C868" t="s">
        <v>2487</v>
      </c>
      <c r="D868" s="4" t="s">
        <v>3075</v>
      </c>
      <c r="E868" t="str">
        <f>IF(COUNTIF(Sayfa2!$A$2:$A$8,"*"&amp;D868&amp;"*")&gt;0, Sayfa2!$A$1,
 IF(COUNTIF(Sayfa2!$B$2:$B$8, "*"&amp;D868&amp;"*")&gt;0, Sayfa2!$B$1,
 IF(COUNTIF(Sayfa2!$C$2:$C$8, "*"&amp;D868&amp;"*")&gt;0, Sayfa2!$C$1,
 IF(COUNTIF(Sayfa2!$D$2:$D$8,"*"&amp;D868&amp;"*")&gt;0, Sayfa2!$D$1,
 IF(COUNTIF(Sayfa2!$E$2:$E$8, "*"&amp;D868&amp;"*")&gt;0, Sayfa2!$E$1, "Bulunamadı")))))</f>
        <v>ÇARŞAMBA</v>
      </c>
    </row>
    <row r="869" spans="1:5" hidden="1" x14ac:dyDescent="0.25">
      <c r="A869" t="s">
        <v>2497</v>
      </c>
      <c r="B869" t="s">
        <v>957</v>
      </c>
      <c r="C869" t="s">
        <v>2487</v>
      </c>
      <c r="D869" s="4" t="s">
        <v>3075</v>
      </c>
      <c r="E869" t="str">
        <f>IF(COUNTIF(Sayfa2!$A$2:$A$8,"*"&amp;D869&amp;"*")&gt;0, Sayfa2!$A$1,
 IF(COUNTIF(Sayfa2!$B$2:$B$8, "*"&amp;D869&amp;"*")&gt;0, Sayfa2!$B$1,
 IF(COUNTIF(Sayfa2!$C$2:$C$8, "*"&amp;D869&amp;"*")&gt;0, Sayfa2!$C$1,
 IF(COUNTIF(Sayfa2!$D$2:$D$8,"*"&amp;D869&amp;"*")&gt;0, Sayfa2!$D$1,
 IF(COUNTIF(Sayfa2!$E$2:$E$8, "*"&amp;D869&amp;"*")&gt;0, Sayfa2!$E$1, "Bulunamadı")))))</f>
        <v>ÇARŞAMBA</v>
      </c>
    </row>
    <row r="870" spans="1:5" hidden="1" x14ac:dyDescent="0.25">
      <c r="A870" t="s">
        <v>2498</v>
      </c>
      <c r="B870" t="s">
        <v>958</v>
      </c>
      <c r="C870" t="s">
        <v>2489</v>
      </c>
      <c r="D870" s="4" t="s">
        <v>3083</v>
      </c>
      <c r="E870" t="str">
        <f>IF(COUNTIF(Sayfa2!$A$2:$A$8,"*"&amp;D870&amp;"*")&gt;0, Sayfa2!$A$1,
 IF(COUNTIF(Sayfa2!$B$2:$B$8, "*"&amp;D870&amp;"*")&gt;0, Sayfa2!$B$1,
 IF(COUNTIF(Sayfa2!$C$2:$C$8, "*"&amp;D870&amp;"*")&gt;0, Sayfa2!$C$1,
 IF(COUNTIF(Sayfa2!$D$2:$D$8,"*"&amp;D870&amp;"*")&gt;0, Sayfa2!$D$1,
 IF(COUNTIF(Sayfa2!$E$2:$E$8, "*"&amp;D870&amp;"*")&gt;0, Sayfa2!$E$1, "Bulunamadı")))))</f>
        <v>PAZARTESİ</v>
      </c>
    </row>
    <row r="871" spans="1:5" hidden="1" x14ac:dyDescent="0.25">
      <c r="A871" t="s">
        <v>2499</v>
      </c>
      <c r="B871" t="s">
        <v>959</v>
      </c>
      <c r="C871" t="s">
        <v>2487</v>
      </c>
      <c r="D871" s="4" t="s">
        <v>3075</v>
      </c>
      <c r="E871" t="str">
        <f>IF(COUNTIF(Sayfa2!$A$2:$A$8,"*"&amp;D871&amp;"*")&gt;0, Sayfa2!$A$1,
 IF(COUNTIF(Sayfa2!$B$2:$B$8, "*"&amp;D871&amp;"*")&gt;0, Sayfa2!$B$1,
 IF(COUNTIF(Sayfa2!$C$2:$C$8, "*"&amp;D871&amp;"*")&gt;0, Sayfa2!$C$1,
 IF(COUNTIF(Sayfa2!$D$2:$D$8,"*"&amp;D871&amp;"*")&gt;0, Sayfa2!$D$1,
 IF(COUNTIF(Sayfa2!$E$2:$E$8, "*"&amp;D871&amp;"*")&gt;0, Sayfa2!$E$1, "Bulunamadı")))))</f>
        <v>ÇARŞAMBA</v>
      </c>
    </row>
    <row r="872" spans="1:5" hidden="1" x14ac:dyDescent="0.25">
      <c r="A872" t="s">
        <v>2500</v>
      </c>
      <c r="B872" t="s">
        <v>960</v>
      </c>
      <c r="C872" t="s">
        <v>2489</v>
      </c>
      <c r="D872" s="4" t="s">
        <v>3083</v>
      </c>
      <c r="E872" t="str">
        <f>IF(COUNTIF(Sayfa2!$A$2:$A$8,"*"&amp;D872&amp;"*")&gt;0, Sayfa2!$A$1,
 IF(COUNTIF(Sayfa2!$B$2:$B$8, "*"&amp;D872&amp;"*")&gt;0, Sayfa2!$B$1,
 IF(COUNTIF(Sayfa2!$C$2:$C$8, "*"&amp;D872&amp;"*")&gt;0, Sayfa2!$C$1,
 IF(COUNTIF(Sayfa2!$D$2:$D$8,"*"&amp;D872&amp;"*")&gt;0, Sayfa2!$D$1,
 IF(COUNTIF(Sayfa2!$E$2:$E$8, "*"&amp;D872&amp;"*")&gt;0, Sayfa2!$E$1, "Bulunamadı")))))</f>
        <v>PAZARTESİ</v>
      </c>
    </row>
    <row r="873" spans="1:5" hidden="1" x14ac:dyDescent="0.25">
      <c r="A873" t="s">
        <v>2501</v>
      </c>
      <c r="B873" t="s">
        <v>961</v>
      </c>
      <c r="C873" t="s">
        <v>2489</v>
      </c>
      <c r="D873" s="4" t="s">
        <v>3083</v>
      </c>
      <c r="E873" t="str">
        <f>IF(COUNTIF(Sayfa2!$A$2:$A$8,"*"&amp;D873&amp;"*")&gt;0, Sayfa2!$A$1,
 IF(COUNTIF(Sayfa2!$B$2:$B$8, "*"&amp;D873&amp;"*")&gt;0, Sayfa2!$B$1,
 IF(COUNTIF(Sayfa2!$C$2:$C$8, "*"&amp;D873&amp;"*")&gt;0, Sayfa2!$C$1,
 IF(COUNTIF(Sayfa2!$D$2:$D$8,"*"&amp;D873&amp;"*")&gt;0, Sayfa2!$D$1,
 IF(COUNTIF(Sayfa2!$E$2:$E$8, "*"&amp;D873&amp;"*")&gt;0, Sayfa2!$E$1, "Bulunamadı")))))</f>
        <v>PAZARTESİ</v>
      </c>
    </row>
    <row r="874" spans="1:5" hidden="1" x14ac:dyDescent="0.25">
      <c r="A874" t="s">
        <v>2502</v>
      </c>
      <c r="B874" t="s">
        <v>962</v>
      </c>
      <c r="C874" t="s">
        <v>2487</v>
      </c>
      <c r="D874" s="4" t="s">
        <v>3075</v>
      </c>
      <c r="E874" t="str">
        <f>IF(COUNTIF(Sayfa2!$A$2:$A$8,"*"&amp;D874&amp;"*")&gt;0, Sayfa2!$A$1,
 IF(COUNTIF(Sayfa2!$B$2:$B$8, "*"&amp;D874&amp;"*")&gt;0, Sayfa2!$B$1,
 IF(COUNTIF(Sayfa2!$C$2:$C$8, "*"&amp;D874&amp;"*")&gt;0, Sayfa2!$C$1,
 IF(COUNTIF(Sayfa2!$D$2:$D$8,"*"&amp;D874&amp;"*")&gt;0, Sayfa2!$D$1,
 IF(COUNTIF(Sayfa2!$E$2:$E$8, "*"&amp;D874&amp;"*")&gt;0, Sayfa2!$E$1, "Bulunamadı")))))</f>
        <v>ÇARŞAMBA</v>
      </c>
    </row>
    <row r="875" spans="1:5" hidden="1" x14ac:dyDescent="0.25">
      <c r="A875" t="s">
        <v>2503</v>
      </c>
      <c r="B875" t="s">
        <v>963</v>
      </c>
      <c r="C875" t="s">
        <v>2489</v>
      </c>
      <c r="D875" s="4" t="s">
        <v>3083</v>
      </c>
      <c r="E875" t="str">
        <f>IF(COUNTIF(Sayfa2!$A$2:$A$8,"*"&amp;D875&amp;"*")&gt;0, Sayfa2!$A$1,
 IF(COUNTIF(Sayfa2!$B$2:$B$8, "*"&amp;D875&amp;"*")&gt;0, Sayfa2!$B$1,
 IF(COUNTIF(Sayfa2!$C$2:$C$8, "*"&amp;D875&amp;"*")&gt;0, Sayfa2!$C$1,
 IF(COUNTIF(Sayfa2!$D$2:$D$8,"*"&amp;D875&amp;"*")&gt;0, Sayfa2!$D$1,
 IF(COUNTIF(Sayfa2!$E$2:$E$8, "*"&amp;D875&amp;"*")&gt;0, Sayfa2!$E$1, "Bulunamadı")))))</f>
        <v>PAZARTESİ</v>
      </c>
    </row>
    <row r="876" spans="1:5" hidden="1" x14ac:dyDescent="0.25">
      <c r="A876" t="s">
        <v>2504</v>
      </c>
      <c r="B876" t="s">
        <v>964</v>
      </c>
      <c r="C876" t="s">
        <v>2489</v>
      </c>
      <c r="D876" s="4" t="s">
        <v>3083</v>
      </c>
      <c r="E876" t="str">
        <f>IF(COUNTIF(Sayfa2!$A$2:$A$8,"*"&amp;D876&amp;"*")&gt;0, Sayfa2!$A$1,
 IF(COUNTIF(Sayfa2!$B$2:$B$8, "*"&amp;D876&amp;"*")&gt;0, Sayfa2!$B$1,
 IF(COUNTIF(Sayfa2!$C$2:$C$8, "*"&amp;D876&amp;"*")&gt;0, Sayfa2!$C$1,
 IF(COUNTIF(Sayfa2!$D$2:$D$8,"*"&amp;D876&amp;"*")&gt;0, Sayfa2!$D$1,
 IF(COUNTIF(Sayfa2!$E$2:$E$8, "*"&amp;D876&amp;"*")&gt;0, Sayfa2!$E$1, "Bulunamadı")))))</f>
        <v>PAZARTESİ</v>
      </c>
    </row>
    <row r="877" spans="1:5" hidden="1" x14ac:dyDescent="0.25">
      <c r="A877" t="s">
        <v>2505</v>
      </c>
      <c r="B877" t="s">
        <v>965</v>
      </c>
      <c r="C877" t="s">
        <v>2487</v>
      </c>
      <c r="D877" s="4" t="s">
        <v>3075</v>
      </c>
      <c r="E877" t="str">
        <f>IF(COUNTIF(Sayfa2!$A$2:$A$8,"*"&amp;D877&amp;"*")&gt;0, Sayfa2!$A$1,
 IF(COUNTIF(Sayfa2!$B$2:$B$8, "*"&amp;D877&amp;"*")&gt;0, Sayfa2!$B$1,
 IF(COUNTIF(Sayfa2!$C$2:$C$8, "*"&amp;D877&amp;"*")&gt;0, Sayfa2!$C$1,
 IF(COUNTIF(Sayfa2!$D$2:$D$8,"*"&amp;D877&amp;"*")&gt;0, Sayfa2!$D$1,
 IF(COUNTIF(Sayfa2!$E$2:$E$8, "*"&amp;D877&amp;"*")&gt;0, Sayfa2!$E$1, "Bulunamadı")))))</f>
        <v>ÇARŞAMBA</v>
      </c>
    </row>
    <row r="878" spans="1:5" hidden="1" x14ac:dyDescent="0.25">
      <c r="A878" t="s">
        <v>2506</v>
      </c>
      <c r="B878" t="s">
        <v>966</v>
      </c>
      <c r="C878" t="s">
        <v>2487</v>
      </c>
      <c r="D878" s="4" t="s">
        <v>3075</v>
      </c>
      <c r="E878" t="str">
        <f>IF(COUNTIF(Sayfa2!$A$2:$A$8,"*"&amp;D878&amp;"*")&gt;0, Sayfa2!$A$1,
 IF(COUNTIF(Sayfa2!$B$2:$B$8, "*"&amp;D878&amp;"*")&gt;0, Sayfa2!$B$1,
 IF(COUNTIF(Sayfa2!$C$2:$C$8, "*"&amp;D878&amp;"*")&gt;0, Sayfa2!$C$1,
 IF(COUNTIF(Sayfa2!$D$2:$D$8,"*"&amp;D878&amp;"*")&gt;0, Sayfa2!$D$1,
 IF(COUNTIF(Sayfa2!$E$2:$E$8, "*"&amp;D878&amp;"*")&gt;0, Sayfa2!$E$1, "Bulunamadı")))))</f>
        <v>ÇARŞAMBA</v>
      </c>
    </row>
    <row r="879" spans="1:5" hidden="1" x14ac:dyDescent="0.25">
      <c r="A879" t="s">
        <v>2507</v>
      </c>
      <c r="B879" t="s">
        <v>967</v>
      </c>
      <c r="C879" t="s">
        <v>2508</v>
      </c>
      <c r="D879" s="4" t="s">
        <v>3075</v>
      </c>
      <c r="E879" t="str">
        <f>IF(COUNTIF(Sayfa2!$A$2:$A$8,"*"&amp;D879&amp;"*")&gt;0, Sayfa2!$A$1,
 IF(COUNTIF(Sayfa2!$B$2:$B$8, "*"&amp;D879&amp;"*")&gt;0, Sayfa2!$B$1,
 IF(COUNTIF(Sayfa2!$C$2:$C$8, "*"&amp;D879&amp;"*")&gt;0, Sayfa2!$C$1,
 IF(COUNTIF(Sayfa2!$D$2:$D$8,"*"&amp;D879&amp;"*")&gt;0, Sayfa2!$D$1,
 IF(COUNTIF(Sayfa2!$E$2:$E$8, "*"&amp;D879&amp;"*")&gt;0, Sayfa2!$E$1, "Bulunamadı")))))</f>
        <v>ÇARŞAMBA</v>
      </c>
    </row>
    <row r="880" spans="1:5" hidden="1" x14ac:dyDescent="0.25">
      <c r="A880" t="s">
        <v>2509</v>
      </c>
      <c r="B880" t="s">
        <v>968</v>
      </c>
      <c r="C880" t="s">
        <v>2508</v>
      </c>
      <c r="D880" s="4" t="s">
        <v>3075</v>
      </c>
      <c r="E880" t="str">
        <f>IF(COUNTIF(Sayfa2!$A$2:$A$8,"*"&amp;D880&amp;"*")&gt;0, Sayfa2!$A$1,
 IF(COUNTIF(Sayfa2!$B$2:$B$8, "*"&amp;D880&amp;"*")&gt;0, Sayfa2!$B$1,
 IF(COUNTIF(Sayfa2!$C$2:$C$8, "*"&amp;D880&amp;"*")&gt;0, Sayfa2!$C$1,
 IF(COUNTIF(Sayfa2!$D$2:$D$8,"*"&amp;D880&amp;"*")&gt;0, Sayfa2!$D$1,
 IF(COUNTIF(Sayfa2!$E$2:$E$8, "*"&amp;D880&amp;"*")&gt;0, Sayfa2!$E$1, "Bulunamadı")))))</f>
        <v>ÇARŞAMBA</v>
      </c>
    </row>
    <row r="881" spans="1:5" hidden="1" x14ac:dyDescent="0.25">
      <c r="A881" t="s">
        <v>2510</v>
      </c>
      <c r="B881" t="s">
        <v>969</v>
      </c>
      <c r="C881" t="s">
        <v>2508</v>
      </c>
      <c r="D881" s="4" t="s">
        <v>3075</v>
      </c>
      <c r="E881" t="str">
        <f>IF(COUNTIF(Sayfa2!$A$2:$A$8,"*"&amp;D881&amp;"*")&gt;0, Sayfa2!$A$1,
 IF(COUNTIF(Sayfa2!$B$2:$B$8, "*"&amp;D881&amp;"*")&gt;0, Sayfa2!$B$1,
 IF(COUNTIF(Sayfa2!$C$2:$C$8, "*"&amp;D881&amp;"*")&gt;0, Sayfa2!$C$1,
 IF(COUNTIF(Sayfa2!$D$2:$D$8,"*"&amp;D881&amp;"*")&gt;0, Sayfa2!$D$1,
 IF(COUNTIF(Sayfa2!$E$2:$E$8, "*"&amp;D881&amp;"*")&gt;0, Sayfa2!$E$1, "Bulunamadı")))))</f>
        <v>ÇARŞAMBA</v>
      </c>
    </row>
    <row r="882" spans="1:5" hidden="1" x14ac:dyDescent="0.25">
      <c r="A882" t="s">
        <v>2511</v>
      </c>
      <c r="B882" t="s">
        <v>970</v>
      </c>
      <c r="C882" t="s">
        <v>2512</v>
      </c>
      <c r="D882" s="4" t="s">
        <v>3075</v>
      </c>
      <c r="E882" t="str">
        <f>IF(COUNTIF(Sayfa2!$A$2:$A$8,"*"&amp;D882&amp;"*")&gt;0, Sayfa2!$A$1,
 IF(COUNTIF(Sayfa2!$B$2:$B$8, "*"&amp;D882&amp;"*")&gt;0, Sayfa2!$B$1,
 IF(COUNTIF(Sayfa2!$C$2:$C$8, "*"&amp;D882&amp;"*")&gt;0, Sayfa2!$C$1,
 IF(COUNTIF(Sayfa2!$D$2:$D$8,"*"&amp;D882&amp;"*")&gt;0, Sayfa2!$D$1,
 IF(COUNTIF(Sayfa2!$E$2:$E$8, "*"&amp;D882&amp;"*")&gt;0, Sayfa2!$E$1, "Bulunamadı")))))</f>
        <v>ÇARŞAMBA</v>
      </c>
    </row>
    <row r="883" spans="1:5" hidden="1" x14ac:dyDescent="0.25">
      <c r="A883" t="s">
        <v>2513</v>
      </c>
      <c r="B883" t="s">
        <v>972</v>
      </c>
      <c r="C883" t="s">
        <v>2514</v>
      </c>
      <c r="D883" s="4" t="s">
        <v>3083</v>
      </c>
      <c r="E883" t="str">
        <f>IF(COUNTIF(Sayfa2!$A$2:$A$8,"*"&amp;D883&amp;"*")&gt;0, Sayfa2!$A$1,
 IF(COUNTIF(Sayfa2!$B$2:$B$8, "*"&amp;D883&amp;"*")&gt;0, Sayfa2!$B$1,
 IF(COUNTIF(Sayfa2!$C$2:$C$8, "*"&amp;D883&amp;"*")&gt;0, Sayfa2!$C$1,
 IF(COUNTIF(Sayfa2!$D$2:$D$8,"*"&amp;D883&amp;"*")&gt;0, Sayfa2!$D$1,
 IF(COUNTIF(Sayfa2!$E$2:$E$8, "*"&amp;D883&amp;"*")&gt;0, Sayfa2!$E$1, "Bulunamadı")))))</f>
        <v>PAZARTESİ</v>
      </c>
    </row>
    <row r="884" spans="1:5" hidden="1" x14ac:dyDescent="0.25">
      <c r="A884" t="s">
        <v>2515</v>
      </c>
      <c r="B884" t="s">
        <v>975</v>
      </c>
      <c r="C884" t="s">
        <v>2516</v>
      </c>
      <c r="D884" s="4" t="s">
        <v>3074</v>
      </c>
      <c r="E884" t="str">
        <f>IF(COUNTIF(Sayfa2!$A$2:$A$8,"*"&amp;D884&amp;"*")&gt;0, Sayfa2!$A$1,
 IF(COUNTIF(Sayfa2!$B$2:$B$8, "*"&amp;D884&amp;"*")&gt;0, Sayfa2!$B$1,
 IF(COUNTIF(Sayfa2!$C$2:$C$8, "*"&amp;D884&amp;"*")&gt;0, Sayfa2!$C$1,
 IF(COUNTIF(Sayfa2!$D$2:$D$8,"*"&amp;D884&amp;"*")&gt;0, Sayfa2!$D$1,
 IF(COUNTIF(Sayfa2!$E$2:$E$8, "*"&amp;D884&amp;"*")&gt;0, Sayfa2!$E$1, "Bulunamadı")))))</f>
        <v>SALI</v>
      </c>
    </row>
    <row r="885" spans="1:5" hidden="1" x14ac:dyDescent="0.25">
      <c r="A885" t="s">
        <v>2517</v>
      </c>
      <c r="B885" t="s">
        <v>976</v>
      </c>
      <c r="C885" t="s">
        <v>2516</v>
      </c>
      <c r="D885" s="4" t="s">
        <v>3074</v>
      </c>
      <c r="E885" t="str">
        <f>IF(COUNTIF(Sayfa2!$A$2:$A$8,"*"&amp;D885&amp;"*")&gt;0, Sayfa2!$A$1,
 IF(COUNTIF(Sayfa2!$B$2:$B$8, "*"&amp;D885&amp;"*")&gt;0, Sayfa2!$B$1,
 IF(COUNTIF(Sayfa2!$C$2:$C$8, "*"&amp;D885&amp;"*")&gt;0, Sayfa2!$C$1,
 IF(COUNTIF(Sayfa2!$D$2:$D$8,"*"&amp;D885&amp;"*")&gt;0, Sayfa2!$D$1,
 IF(COUNTIF(Sayfa2!$E$2:$E$8, "*"&amp;D885&amp;"*")&gt;0, Sayfa2!$E$1, "Bulunamadı")))))</f>
        <v>SALI</v>
      </c>
    </row>
    <row r="886" spans="1:5" hidden="1" x14ac:dyDescent="0.25">
      <c r="A886" t="s">
        <v>2518</v>
      </c>
      <c r="B886" t="s">
        <v>977</v>
      </c>
      <c r="C886" t="s">
        <v>2516</v>
      </c>
      <c r="D886" s="4" t="s">
        <v>3074</v>
      </c>
      <c r="E886" t="str">
        <f>IF(COUNTIF(Sayfa2!$A$2:$A$8,"*"&amp;D886&amp;"*")&gt;0, Sayfa2!$A$1,
 IF(COUNTIF(Sayfa2!$B$2:$B$8, "*"&amp;D886&amp;"*")&gt;0, Sayfa2!$B$1,
 IF(COUNTIF(Sayfa2!$C$2:$C$8, "*"&amp;D886&amp;"*")&gt;0, Sayfa2!$C$1,
 IF(COUNTIF(Sayfa2!$D$2:$D$8,"*"&amp;D886&amp;"*")&gt;0, Sayfa2!$D$1,
 IF(COUNTIF(Sayfa2!$E$2:$E$8, "*"&amp;D886&amp;"*")&gt;0, Sayfa2!$E$1, "Bulunamadı")))))</f>
        <v>SALI</v>
      </c>
    </row>
    <row r="887" spans="1:5" hidden="1" x14ac:dyDescent="0.25">
      <c r="A887" t="s">
        <v>2519</v>
      </c>
      <c r="B887" t="s">
        <v>978</v>
      </c>
      <c r="C887" t="s">
        <v>2516</v>
      </c>
      <c r="D887" s="4" t="s">
        <v>3074</v>
      </c>
      <c r="E887" t="str">
        <f>IF(COUNTIF(Sayfa2!$A$2:$A$8,"*"&amp;D887&amp;"*")&gt;0, Sayfa2!$A$1,
 IF(COUNTIF(Sayfa2!$B$2:$B$8, "*"&amp;D887&amp;"*")&gt;0, Sayfa2!$B$1,
 IF(COUNTIF(Sayfa2!$C$2:$C$8, "*"&amp;D887&amp;"*")&gt;0, Sayfa2!$C$1,
 IF(COUNTIF(Sayfa2!$D$2:$D$8,"*"&amp;D887&amp;"*")&gt;0, Sayfa2!$D$1,
 IF(COUNTIF(Sayfa2!$E$2:$E$8, "*"&amp;D887&amp;"*")&gt;0, Sayfa2!$E$1, "Bulunamadı")))))</f>
        <v>SALI</v>
      </c>
    </row>
    <row r="888" spans="1:5" hidden="1" x14ac:dyDescent="0.25">
      <c r="A888" t="s">
        <v>2520</v>
      </c>
      <c r="B888" t="s">
        <v>979</v>
      </c>
      <c r="C888" t="s">
        <v>2516</v>
      </c>
      <c r="D888" s="4" t="s">
        <v>3074</v>
      </c>
      <c r="E888" t="str">
        <f>IF(COUNTIF(Sayfa2!$A$2:$A$8,"*"&amp;D888&amp;"*")&gt;0, Sayfa2!$A$1,
 IF(COUNTIF(Sayfa2!$B$2:$B$8, "*"&amp;D888&amp;"*")&gt;0, Sayfa2!$B$1,
 IF(COUNTIF(Sayfa2!$C$2:$C$8, "*"&amp;D888&amp;"*")&gt;0, Sayfa2!$C$1,
 IF(COUNTIF(Sayfa2!$D$2:$D$8,"*"&amp;D888&amp;"*")&gt;0, Sayfa2!$D$1,
 IF(COUNTIF(Sayfa2!$E$2:$E$8, "*"&amp;D888&amp;"*")&gt;0, Sayfa2!$E$1, "Bulunamadı")))))</f>
        <v>SALI</v>
      </c>
    </row>
    <row r="889" spans="1:5" hidden="1" x14ac:dyDescent="0.25">
      <c r="A889" t="s">
        <v>2521</v>
      </c>
      <c r="B889" t="s">
        <v>980</v>
      </c>
      <c r="C889" t="s">
        <v>2516</v>
      </c>
      <c r="D889" s="4" t="s">
        <v>3074</v>
      </c>
      <c r="E889" t="str">
        <f>IF(COUNTIF(Sayfa2!$A$2:$A$8,"*"&amp;D889&amp;"*")&gt;0, Sayfa2!$A$1,
 IF(COUNTIF(Sayfa2!$B$2:$B$8, "*"&amp;D889&amp;"*")&gt;0, Sayfa2!$B$1,
 IF(COUNTIF(Sayfa2!$C$2:$C$8, "*"&amp;D889&amp;"*")&gt;0, Sayfa2!$C$1,
 IF(COUNTIF(Sayfa2!$D$2:$D$8,"*"&amp;D889&amp;"*")&gt;0, Sayfa2!$D$1,
 IF(COUNTIF(Sayfa2!$E$2:$E$8, "*"&amp;D889&amp;"*")&gt;0, Sayfa2!$E$1, "Bulunamadı")))))</f>
        <v>SALI</v>
      </c>
    </row>
    <row r="890" spans="1:5" hidden="1" x14ac:dyDescent="0.25">
      <c r="A890" t="s">
        <v>2522</v>
      </c>
      <c r="B890" t="s">
        <v>981</v>
      </c>
      <c r="C890" t="s">
        <v>2516</v>
      </c>
      <c r="D890" s="4" t="s">
        <v>3074</v>
      </c>
      <c r="E890" t="str">
        <f>IF(COUNTIF(Sayfa2!$A$2:$A$8,"*"&amp;D890&amp;"*")&gt;0, Sayfa2!$A$1,
 IF(COUNTIF(Sayfa2!$B$2:$B$8, "*"&amp;D890&amp;"*")&gt;0, Sayfa2!$B$1,
 IF(COUNTIF(Sayfa2!$C$2:$C$8, "*"&amp;D890&amp;"*")&gt;0, Sayfa2!$C$1,
 IF(COUNTIF(Sayfa2!$D$2:$D$8,"*"&amp;D890&amp;"*")&gt;0, Sayfa2!$D$1,
 IF(COUNTIF(Sayfa2!$E$2:$E$8, "*"&amp;D890&amp;"*")&gt;0, Sayfa2!$E$1, "Bulunamadı")))))</f>
        <v>SALI</v>
      </c>
    </row>
    <row r="891" spans="1:5" hidden="1" x14ac:dyDescent="0.25">
      <c r="A891" t="s">
        <v>2523</v>
      </c>
      <c r="B891" t="s">
        <v>982</v>
      </c>
      <c r="C891" t="s">
        <v>2516</v>
      </c>
      <c r="D891" s="4" t="s">
        <v>3074</v>
      </c>
      <c r="E891" t="str">
        <f>IF(COUNTIF(Sayfa2!$A$2:$A$8,"*"&amp;D891&amp;"*")&gt;0, Sayfa2!$A$1,
 IF(COUNTIF(Sayfa2!$B$2:$B$8, "*"&amp;D891&amp;"*")&gt;0, Sayfa2!$B$1,
 IF(COUNTIF(Sayfa2!$C$2:$C$8, "*"&amp;D891&amp;"*")&gt;0, Sayfa2!$C$1,
 IF(COUNTIF(Sayfa2!$D$2:$D$8,"*"&amp;D891&amp;"*")&gt;0, Sayfa2!$D$1,
 IF(COUNTIF(Sayfa2!$E$2:$E$8, "*"&amp;D891&amp;"*")&gt;0, Sayfa2!$E$1, "Bulunamadı")))))</f>
        <v>SALI</v>
      </c>
    </row>
    <row r="892" spans="1:5" hidden="1" x14ac:dyDescent="0.25">
      <c r="A892" t="s">
        <v>2524</v>
      </c>
      <c r="B892" t="s">
        <v>983</v>
      </c>
      <c r="C892" t="s">
        <v>2516</v>
      </c>
      <c r="D892" s="4" t="s">
        <v>3074</v>
      </c>
      <c r="E892" t="str">
        <f>IF(COUNTIF(Sayfa2!$A$2:$A$8,"*"&amp;D892&amp;"*")&gt;0, Sayfa2!$A$1,
 IF(COUNTIF(Sayfa2!$B$2:$B$8, "*"&amp;D892&amp;"*")&gt;0, Sayfa2!$B$1,
 IF(COUNTIF(Sayfa2!$C$2:$C$8, "*"&amp;D892&amp;"*")&gt;0, Sayfa2!$C$1,
 IF(COUNTIF(Sayfa2!$D$2:$D$8,"*"&amp;D892&amp;"*")&gt;0, Sayfa2!$D$1,
 IF(COUNTIF(Sayfa2!$E$2:$E$8, "*"&amp;D892&amp;"*")&gt;0, Sayfa2!$E$1, "Bulunamadı")))))</f>
        <v>SALI</v>
      </c>
    </row>
    <row r="893" spans="1:5" hidden="1" x14ac:dyDescent="0.25">
      <c r="A893" t="s">
        <v>2525</v>
      </c>
      <c r="B893" t="s">
        <v>984</v>
      </c>
      <c r="C893" t="s">
        <v>2516</v>
      </c>
      <c r="D893" s="4" t="s">
        <v>3074</v>
      </c>
      <c r="E893" t="str">
        <f>IF(COUNTIF(Sayfa2!$A$2:$A$8,"*"&amp;D893&amp;"*")&gt;0, Sayfa2!$A$1,
 IF(COUNTIF(Sayfa2!$B$2:$B$8, "*"&amp;D893&amp;"*")&gt;0, Sayfa2!$B$1,
 IF(COUNTIF(Sayfa2!$C$2:$C$8, "*"&amp;D893&amp;"*")&gt;0, Sayfa2!$C$1,
 IF(COUNTIF(Sayfa2!$D$2:$D$8,"*"&amp;D893&amp;"*")&gt;0, Sayfa2!$D$1,
 IF(COUNTIF(Sayfa2!$E$2:$E$8, "*"&amp;D893&amp;"*")&gt;0, Sayfa2!$E$1, "Bulunamadı")))))</f>
        <v>SALI</v>
      </c>
    </row>
    <row r="894" spans="1:5" hidden="1" x14ac:dyDescent="0.25">
      <c r="A894" t="s">
        <v>2526</v>
      </c>
      <c r="B894" t="s">
        <v>985</v>
      </c>
      <c r="C894" t="s">
        <v>2516</v>
      </c>
      <c r="D894" s="4" t="s">
        <v>3074</v>
      </c>
      <c r="E894" t="str">
        <f>IF(COUNTIF(Sayfa2!$A$2:$A$8,"*"&amp;D894&amp;"*")&gt;0, Sayfa2!$A$1,
 IF(COUNTIF(Sayfa2!$B$2:$B$8, "*"&amp;D894&amp;"*")&gt;0, Sayfa2!$B$1,
 IF(COUNTIF(Sayfa2!$C$2:$C$8, "*"&amp;D894&amp;"*")&gt;0, Sayfa2!$C$1,
 IF(COUNTIF(Sayfa2!$D$2:$D$8,"*"&amp;D894&amp;"*")&gt;0, Sayfa2!$D$1,
 IF(COUNTIF(Sayfa2!$E$2:$E$8, "*"&amp;D894&amp;"*")&gt;0, Sayfa2!$E$1, "Bulunamadı")))))</f>
        <v>SALI</v>
      </c>
    </row>
    <row r="895" spans="1:5" hidden="1" x14ac:dyDescent="0.25">
      <c r="A895" t="s">
        <v>2527</v>
      </c>
      <c r="B895" t="s">
        <v>986</v>
      </c>
      <c r="C895" t="s">
        <v>2516</v>
      </c>
      <c r="D895" s="4" t="s">
        <v>3074</v>
      </c>
      <c r="E895" t="str">
        <f>IF(COUNTIF(Sayfa2!$A$2:$A$8,"*"&amp;D895&amp;"*")&gt;0, Sayfa2!$A$1,
 IF(COUNTIF(Sayfa2!$B$2:$B$8, "*"&amp;D895&amp;"*")&gt;0, Sayfa2!$B$1,
 IF(COUNTIF(Sayfa2!$C$2:$C$8, "*"&amp;D895&amp;"*")&gt;0, Sayfa2!$C$1,
 IF(COUNTIF(Sayfa2!$D$2:$D$8,"*"&amp;D895&amp;"*")&gt;0, Sayfa2!$D$1,
 IF(COUNTIF(Sayfa2!$E$2:$E$8, "*"&amp;D895&amp;"*")&gt;0, Sayfa2!$E$1, "Bulunamadı")))))</f>
        <v>SALI</v>
      </c>
    </row>
    <row r="896" spans="1:5" hidden="1" x14ac:dyDescent="0.25">
      <c r="A896" t="s">
        <v>2528</v>
      </c>
      <c r="B896" t="s">
        <v>987</v>
      </c>
      <c r="C896" t="s">
        <v>2516</v>
      </c>
      <c r="D896" s="4" t="s">
        <v>3074</v>
      </c>
      <c r="E896" t="str">
        <f>IF(COUNTIF(Sayfa2!$A$2:$A$8,"*"&amp;D896&amp;"*")&gt;0, Sayfa2!$A$1,
 IF(COUNTIF(Sayfa2!$B$2:$B$8, "*"&amp;D896&amp;"*")&gt;0, Sayfa2!$B$1,
 IF(COUNTIF(Sayfa2!$C$2:$C$8, "*"&amp;D896&amp;"*")&gt;0, Sayfa2!$C$1,
 IF(COUNTIF(Sayfa2!$D$2:$D$8,"*"&amp;D896&amp;"*")&gt;0, Sayfa2!$D$1,
 IF(COUNTIF(Sayfa2!$E$2:$E$8, "*"&amp;D896&amp;"*")&gt;0, Sayfa2!$E$1, "Bulunamadı")))))</f>
        <v>SALI</v>
      </c>
    </row>
    <row r="897" spans="1:5" hidden="1" x14ac:dyDescent="0.25">
      <c r="A897" t="s">
        <v>2529</v>
      </c>
      <c r="B897" t="s">
        <v>988</v>
      </c>
      <c r="C897" t="s">
        <v>2516</v>
      </c>
      <c r="D897" s="4" t="s">
        <v>3074</v>
      </c>
      <c r="E897" t="str">
        <f>IF(COUNTIF(Sayfa2!$A$2:$A$8,"*"&amp;D897&amp;"*")&gt;0, Sayfa2!$A$1,
 IF(COUNTIF(Sayfa2!$B$2:$B$8, "*"&amp;D897&amp;"*")&gt;0, Sayfa2!$B$1,
 IF(COUNTIF(Sayfa2!$C$2:$C$8, "*"&amp;D897&amp;"*")&gt;0, Sayfa2!$C$1,
 IF(COUNTIF(Sayfa2!$D$2:$D$8,"*"&amp;D897&amp;"*")&gt;0, Sayfa2!$D$1,
 IF(COUNTIF(Sayfa2!$E$2:$E$8, "*"&amp;D897&amp;"*")&gt;0, Sayfa2!$E$1, "Bulunamadı")))))</f>
        <v>SALI</v>
      </c>
    </row>
    <row r="898" spans="1:5" hidden="1" x14ac:dyDescent="0.25">
      <c r="A898" t="s">
        <v>2530</v>
      </c>
      <c r="B898" t="s">
        <v>989</v>
      </c>
      <c r="C898" t="s">
        <v>2516</v>
      </c>
      <c r="D898" s="4" t="s">
        <v>3074</v>
      </c>
      <c r="E898" t="str">
        <f>IF(COUNTIF(Sayfa2!$A$2:$A$8,"*"&amp;D898&amp;"*")&gt;0, Sayfa2!$A$1,
 IF(COUNTIF(Sayfa2!$B$2:$B$8, "*"&amp;D898&amp;"*")&gt;0, Sayfa2!$B$1,
 IF(COUNTIF(Sayfa2!$C$2:$C$8, "*"&amp;D898&amp;"*")&gt;0, Sayfa2!$C$1,
 IF(COUNTIF(Sayfa2!$D$2:$D$8,"*"&amp;D898&amp;"*")&gt;0, Sayfa2!$D$1,
 IF(COUNTIF(Sayfa2!$E$2:$E$8, "*"&amp;D898&amp;"*")&gt;0, Sayfa2!$E$1, "Bulunamadı")))))</f>
        <v>SALI</v>
      </c>
    </row>
    <row r="899" spans="1:5" hidden="1" x14ac:dyDescent="0.25">
      <c r="A899" t="s">
        <v>2531</v>
      </c>
      <c r="B899" t="s">
        <v>990</v>
      </c>
      <c r="C899" t="s">
        <v>2516</v>
      </c>
      <c r="D899" s="4" t="s">
        <v>3074</v>
      </c>
      <c r="E899" t="str">
        <f>IF(COUNTIF(Sayfa2!$A$2:$A$8,"*"&amp;D899&amp;"*")&gt;0, Sayfa2!$A$1,
 IF(COUNTIF(Sayfa2!$B$2:$B$8, "*"&amp;D899&amp;"*")&gt;0, Sayfa2!$B$1,
 IF(COUNTIF(Sayfa2!$C$2:$C$8, "*"&amp;D899&amp;"*")&gt;0, Sayfa2!$C$1,
 IF(COUNTIF(Sayfa2!$D$2:$D$8,"*"&amp;D899&amp;"*")&gt;0, Sayfa2!$D$1,
 IF(COUNTIF(Sayfa2!$E$2:$E$8, "*"&amp;D899&amp;"*")&gt;0, Sayfa2!$E$1, "Bulunamadı")))))</f>
        <v>SALI</v>
      </c>
    </row>
    <row r="900" spans="1:5" hidden="1" x14ac:dyDescent="0.25">
      <c r="A900" t="s">
        <v>2532</v>
      </c>
      <c r="B900" t="s">
        <v>990</v>
      </c>
      <c r="C900" t="s">
        <v>2516</v>
      </c>
      <c r="D900" s="4" t="s">
        <v>3074</v>
      </c>
      <c r="E900" t="str">
        <f>IF(COUNTIF(Sayfa2!$A$2:$A$8,"*"&amp;D900&amp;"*")&gt;0, Sayfa2!$A$1,
 IF(COUNTIF(Sayfa2!$B$2:$B$8, "*"&amp;D900&amp;"*")&gt;0, Sayfa2!$B$1,
 IF(COUNTIF(Sayfa2!$C$2:$C$8, "*"&amp;D900&amp;"*")&gt;0, Sayfa2!$C$1,
 IF(COUNTIF(Sayfa2!$D$2:$D$8,"*"&amp;D900&amp;"*")&gt;0, Sayfa2!$D$1,
 IF(COUNTIF(Sayfa2!$E$2:$E$8, "*"&amp;D900&amp;"*")&gt;0, Sayfa2!$E$1, "Bulunamadı")))))</f>
        <v>SALI</v>
      </c>
    </row>
    <row r="901" spans="1:5" hidden="1" x14ac:dyDescent="0.25">
      <c r="A901" t="s">
        <v>2533</v>
      </c>
      <c r="B901" t="s">
        <v>991</v>
      </c>
      <c r="C901" t="s">
        <v>2516</v>
      </c>
      <c r="D901" s="4" t="s">
        <v>3074</v>
      </c>
      <c r="E901" t="str">
        <f>IF(COUNTIF(Sayfa2!$A$2:$A$8,"*"&amp;D901&amp;"*")&gt;0, Sayfa2!$A$1,
 IF(COUNTIF(Sayfa2!$B$2:$B$8, "*"&amp;D901&amp;"*")&gt;0, Sayfa2!$B$1,
 IF(COUNTIF(Sayfa2!$C$2:$C$8, "*"&amp;D901&amp;"*")&gt;0, Sayfa2!$C$1,
 IF(COUNTIF(Sayfa2!$D$2:$D$8,"*"&amp;D901&amp;"*")&gt;0, Sayfa2!$D$1,
 IF(COUNTIF(Sayfa2!$E$2:$E$8, "*"&amp;D901&amp;"*")&gt;0, Sayfa2!$E$1, "Bulunamadı")))))</f>
        <v>SALI</v>
      </c>
    </row>
    <row r="902" spans="1:5" hidden="1" x14ac:dyDescent="0.25">
      <c r="A902" t="s">
        <v>2534</v>
      </c>
      <c r="B902" t="s">
        <v>992</v>
      </c>
      <c r="C902" t="s">
        <v>2516</v>
      </c>
      <c r="D902" s="4" t="s">
        <v>3074</v>
      </c>
      <c r="E902" t="str">
        <f>IF(COUNTIF(Sayfa2!$A$2:$A$8,"*"&amp;D902&amp;"*")&gt;0, Sayfa2!$A$1,
 IF(COUNTIF(Sayfa2!$B$2:$B$8, "*"&amp;D902&amp;"*")&gt;0, Sayfa2!$B$1,
 IF(COUNTIF(Sayfa2!$C$2:$C$8, "*"&amp;D902&amp;"*")&gt;0, Sayfa2!$C$1,
 IF(COUNTIF(Sayfa2!$D$2:$D$8,"*"&amp;D902&amp;"*")&gt;0, Sayfa2!$D$1,
 IF(COUNTIF(Sayfa2!$E$2:$E$8, "*"&amp;D902&amp;"*")&gt;0, Sayfa2!$E$1, "Bulunamadı")))))</f>
        <v>SALI</v>
      </c>
    </row>
    <row r="903" spans="1:5" hidden="1" x14ac:dyDescent="0.25">
      <c r="A903" t="s">
        <v>2535</v>
      </c>
      <c r="B903" t="s">
        <v>993</v>
      </c>
      <c r="C903" t="s">
        <v>2516</v>
      </c>
      <c r="D903" s="4" t="s">
        <v>3074</v>
      </c>
      <c r="E903" t="str">
        <f>IF(COUNTIF(Sayfa2!$A$2:$A$8,"*"&amp;D903&amp;"*")&gt;0, Sayfa2!$A$1,
 IF(COUNTIF(Sayfa2!$B$2:$B$8, "*"&amp;D903&amp;"*")&gt;0, Sayfa2!$B$1,
 IF(COUNTIF(Sayfa2!$C$2:$C$8, "*"&amp;D903&amp;"*")&gt;0, Sayfa2!$C$1,
 IF(COUNTIF(Sayfa2!$D$2:$D$8,"*"&amp;D903&amp;"*")&gt;0, Sayfa2!$D$1,
 IF(COUNTIF(Sayfa2!$E$2:$E$8, "*"&amp;D903&amp;"*")&gt;0, Sayfa2!$E$1, "Bulunamadı")))))</f>
        <v>SALI</v>
      </c>
    </row>
    <row r="904" spans="1:5" hidden="1" x14ac:dyDescent="0.25">
      <c r="A904" t="s">
        <v>2536</v>
      </c>
      <c r="B904" t="s">
        <v>994</v>
      </c>
      <c r="C904" t="s">
        <v>2516</v>
      </c>
      <c r="D904" s="4" t="s">
        <v>3074</v>
      </c>
      <c r="E904" t="str">
        <f>IF(COUNTIF(Sayfa2!$A$2:$A$8,"*"&amp;D904&amp;"*")&gt;0, Sayfa2!$A$1,
 IF(COUNTIF(Sayfa2!$B$2:$B$8, "*"&amp;D904&amp;"*")&gt;0, Sayfa2!$B$1,
 IF(COUNTIF(Sayfa2!$C$2:$C$8, "*"&amp;D904&amp;"*")&gt;0, Sayfa2!$C$1,
 IF(COUNTIF(Sayfa2!$D$2:$D$8,"*"&amp;D904&amp;"*")&gt;0, Sayfa2!$D$1,
 IF(COUNTIF(Sayfa2!$E$2:$E$8, "*"&amp;D904&amp;"*")&gt;0, Sayfa2!$E$1, "Bulunamadı")))))</f>
        <v>SALI</v>
      </c>
    </row>
    <row r="905" spans="1:5" hidden="1" x14ac:dyDescent="0.25">
      <c r="A905" t="s">
        <v>2537</v>
      </c>
      <c r="B905" t="s">
        <v>995</v>
      </c>
      <c r="C905" t="s">
        <v>2516</v>
      </c>
      <c r="D905" s="4" t="s">
        <v>3074</v>
      </c>
      <c r="E905" t="str">
        <f>IF(COUNTIF(Sayfa2!$A$2:$A$8,"*"&amp;D905&amp;"*")&gt;0, Sayfa2!$A$1,
 IF(COUNTIF(Sayfa2!$B$2:$B$8, "*"&amp;D905&amp;"*")&gt;0, Sayfa2!$B$1,
 IF(COUNTIF(Sayfa2!$C$2:$C$8, "*"&amp;D905&amp;"*")&gt;0, Sayfa2!$C$1,
 IF(COUNTIF(Sayfa2!$D$2:$D$8,"*"&amp;D905&amp;"*")&gt;0, Sayfa2!$D$1,
 IF(COUNTIF(Sayfa2!$E$2:$E$8, "*"&amp;D905&amp;"*")&gt;0, Sayfa2!$E$1, "Bulunamadı")))))</f>
        <v>SALI</v>
      </c>
    </row>
    <row r="906" spans="1:5" hidden="1" x14ac:dyDescent="0.25">
      <c r="A906" t="s">
        <v>2538</v>
      </c>
      <c r="B906" t="s">
        <v>996</v>
      </c>
      <c r="C906" t="s">
        <v>2516</v>
      </c>
      <c r="D906" s="4" t="s">
        <v>3074</v>
      </c>
      <c r="E906" t="str">
        <f>IF(COUNTIF(Sayfa2!$A$2:$A$8,"*"&amp;D906&amp;"*")&gt;0, Sayfa2!$A$1,
 IF(COUNTIF(Sayfa2!$B$2:$B$8, "*"&amp;D906&amp;"*")&gt;0, Sayfa2!$B$1,
 IF(COUNTIF(Sayfa2!$C$2:$C$8, "*"&amp;D906&amp;"*")&gt;0, Sayfa2!$C$1,
 IF(COUNTIF(Sayfa2!$D$2:$D$8,"*"&amp;D906&amp;"*")&gt;0, Sayfa2!$D$1,
 IF(COUNTIF(Sayfa2!$E$2:$E$8, "*"&amp;D906&amp;"*")&gt;0, Sayfa2!$E$1, "Bulunamadı")))))</f>
        <v>SALI</v>
      </c>
    </row>
    <row r="907" spans="1:5" hidden="1" x14ac:dyDescent="0.25">
      <c r="A907" t="s">
        <v>2539</v>
      </c>
      <c r="B907" t="s">
        <v>997</v>
      </c>
      <c r="C907" t="s">
        <v>2516</v>
      </c>
      <c r="D907" s="4" t="s">
        <v>3074</v>
      </c>
      <c r="E907" t="str">
        <f>IF(COUNTIF(Sayfa2!$A$2:$A$8,"*"&amp;D907&amp;"*")&gt;0, Sayfa2!$A$1,
 IF(COUNTIF(Sayfa2!$B$2:$B$8, "*"&amp;D907&amp;"*")&gt;0, Sayfa2!$B$1,
 IF(COUNTIF(Sayfa2!$C$2:$C$8, "*"&amp;D907&amp;"*")&gt;0, Sayfa2!$C$1,
 IF(COUNTIF(Sayfa2!$D$2:$D$8,"*"&amp;D907&amp;"*")&gt;0, Sayfa2!$D$1,
 IF(COUNTIF(Sayfa2!$E$2:$E$8, "*"&amp;D907&amp;"*")&gt;0, Sayfa2!$E$1, "Bulunamadı")))))</f>
        <v>SALI</v>
      </c>
    </row>
    <row r="908" spans="1:5" hidden="1" x14ac:dyDescent="0.25">
      <c r="A908" t="s">
        <v>2540</v>
      </c>
      <c r="B908" t="s">
        <v>998</v>
      </c>
      <c r="C908" t="s">
        <v>2516</v>
      </c>
      <c r="D908" s="4" t="s">
        <v>3074</v>
      </c>
      <c r="E908" t="str">
        <f>IF(COUNTIF(Sayfa2!$A$2:$A$8,"*"&amp;D908&amp;"*")&gt;0, Sayfa2!$A$1,
 IF(COUNTIF(Sayfa2!$B$2:$B$8, "*"&amp;D908&amp;"*")&gt;0, Sayfa2!$B$1,
 IF(COUNTIF(Sayfa2!$C$2:$C$8, "*"&amp;D908&amp;"*")&gt;0, Sayfa2!$C$1,
 IF(COUNTIF(Sayfa2!$D$2:$D$8,"*"&amp;D908&amp;"*")&gt;0, Sayfa2!$D$1,
 IF(COUNTIF(Sayfa2!$E$2:$E$8, "*"&amp;D908&amp;"*")&gt;0, Sayfa2!$E$1, "Bulunamadı")))))</f>
        <v>SALI</v>
      </c>
    </row>
    <row r="909" spans="1:5" hidden="1" x14ac:dyDescent="0.25">
      <c r="A909" t="s">
        <v>2541</v>
      </c>
      <c r="B909" t="s">
        <v>999</v>
      </c>
      <c r="C909" t="s">
        <v>2516</v>
      </c>
      <c r="D909" s="4" t="s">
        <v>3074</v>
      </c>
      <c r="E909" t="str">
        <f>IF(COUNTIF(Sayfa2!$A$2:$A$8,"*"&amp;D909&amp;"*")&gt;0, Sayfa2!$A$1,
 IF(COUNTIF(Sayfa2!$B$2:$B$8, "*"&amp;D909&amp;"*")&gt;0, Sayfa2!$B$1,
 IF(COUNTIF(Sayfa2!$C$2:$C$8, "*"&amp;D909&amp;"*")&gt;0, Sayfa2!$C$1,
 IF(COUNTIF(Sayfa2!$D$2:$D$8,"*"&amp;D909&amp;"*")&gt;0, Sayfa2!$D$1,
 IF(COUNTIF(Sayfa2!$E$2:$E$8, "*"&amp;D909&amp;"*")&gt;0, Sayfa2!$E$1, "Bulunamadı")))))</f>
        <v>SALI</v>
      </c>
    </row>
    <row r="910" spans="1:5" hidden="1" x14ac:dyDescent="0.25">
      <c r="A910" t="s">
        <v>2542</v>
      </c>
      <c r="B910" t="s">
        <v>1000</v>
      </c>
      <c r="C910" t="s">
        <v>2516</v>
      </c>
      <c r="D910" s="4" t="s">
        <v>3074</v>
      </c>
      <c r="E910" t="str">
        <f>IF(COUNTIF(Sayfa2!$A$2:$A$8,"*"&amp;D910&amp;"*")&gt;0, Sayfa2!$A$1,
 IF(COUNTIF(Sayfa2!$B$2:$B$8, "*"&amp;D910&amp;"*")&gt;0, Sayfa2!$B$1,
 IF(COUNTIF(Sayfa2!$C$2:$C$8, "*"&amp;D910&amp;"*")&gt;0, Sayfa2!$C$1,
 IF(COUNTIF(Sayfa2!$D$2:$D$8,"*"&amp;D910&amp;"*")&gt;0, Sayfa2!$D$1,
 IF(COUNTIF(Sayfa2!$E$2:$E$8, "*"&amp;D910&amp;"*")&gt;0, Sayfa2!$E$1, "Bulunamadı")))))</f>
        <v>SALI</v>
      </c>
    </row>
    <row r="911" spans="1:5" hidden="1" x14ac:dyDescent="0.25">
      <c r="A911" t="s">
        <v>2543</v>
      </c>
      <c r="B911" t="s">
        <v>1001</v>
      </c>
      <c r="C911" t="s">
        <v>2516</v>
      </c>
      <c r="D911" s="4" t="s">
        <v>3074</v>
      </c>
      <c r="E911" t="str">
        <f>IF(COUNTIF(Sayfa2!$A$2:$A$8,"*"&amp;D911&amp;"*")&gt;0, Sayfa2!$A$1,
 IF(COUNTIF(Sayfa2!$B$2:$B$8, "*"&amp;D911&amp;"*")&gt;0, Sayfa2!$B$1,
 IF(COUNTIF(Sayfa2!$C$2:$C$8, "*"&amp;D911&amp;"*")&gt;0, Sayfa2!$C$1,
 IF(COUNTIF(Sayfa2!$D$2:$D$8,"*"&amp;D911&amp;"*")&gt;0, Sayfa2!$D$1,
 IF(COUNTIF(Sayfa2!$E$2:$E$8, "*"&amp;D911&amp;"*")&gt;0, Sayfa2!$E$1, "Bulunamadı")))))</f>
        <v>SALI</v>
      </c>
    </row>
    <row r="912" spans="1:5" hidden="1" x14ac:dyDescent="0.25">
      <c r="A912" t="s">
        <v>2544</v>
      </c>
      <c r="B912" t="s">
        <v>1002</v>
      </c>
      <c r="C912" t="s">
        <v>2516</v>
      </c>
      <c r="D912" s="4" t="s">
        <v>3074</v>
      </c>
      <c r="E912" t="str">
        <f>IF(COUNTIF(Sayfa2!$A$2:$A$8,"*"&amp;D912&amp;"*")&gt;0, Sayfa2!$A$1,
 IF(COUNTIF(Sayfa2!$B$2:$B$8, "*"&amp;D912&amp;"*")&gt;0, Sayfa2!$B$1,
 IF(COUNTIF(Sayfa2!$C$2:$C$8, "*"&amp;D912&amp;"*")&gt;0, Sayfa2!$C$1,
 IF(COUNTIF(Sayfa2!$D$2:$D$8,"*"&amp;D912&amp;"*")&gt;0, Sayfa2!$D$1,
 IF(COUNTIF(Sayfa2!$E$2:$E$8, "*"&amp;D912&amp;"*")&gt;0, Sayfa2!$E$1, "Bulunamadı")))))</f>
        <v>SALI</v>
      </c>
    </row>
    <row r="913" spans="1:5" hidden="1" x14ac:dyDescent="0.25">
      <c r="A913" t="s">
        <v>2545</v>
      </c>
      <c r="B913" t="s">
        <v>1003</v>
      </c>
      <c r="C913" t="s">
        <v>2516</v>
      </c>
      <c r="D913" s="4" t="s">
        <v>3074</v>
      </c>
      <c r="E913" t="str">
        <f>IF(COUNTIF(Sayfa2!$A$2:$A$8,"*"&amp;D913&amp;"*")&gt;0, Sayfa2!$A$1,
 IF(COUNTIF(Sayfa2!$B$2:$B$8, "*"&amp;D913&amp;"*")&gt;0, Sayfa2!$B$1,
 IF(COUNTIF(Sayfa2!$C$2:$C$8, "*"&amp;D913&amp;"*")&gt;0, Sayfa2!$C$1,
 IF(COUNTIF(Sayfa2!$D$2:$D$8,"*"&amp;D913&amp;"*")&gt;0, Sayfa2!$D$1,
 IF(COUNTIF(Sayfa2!$E$2:$E$8, "*"&amp;D913&amp;"*")&gt;0, Sayfa2!$E$1, "Bulunamadı")))))</f>
        <v>SALI</v>
      </c>
    </row>
    <row r="914" spans="1:5" hidden="1" x14ac:dyDescent="0.25">
      <c r="A914" t="s">
        <v>2546</v>
      </c>
      <c r="B914" t="s">
        <v>1004</v>
      </c>
      <c r="C914" t="s">
        <v>2516</v>
      </c>
      <c r="D914" s="4" t="s">
        <v>3074</v>
      </c>
      <c r="E914" t="str">
        <f>IF(COUNTIF(Sayfa2!$A$2:$A$8,"*"&amp;D914&amp;"*")&gt;0, Sayfa2!$A$1,
 IF(COUNTIF(Sayfa2!$B$2:$B$8, "*"&amp;D914&amp;"*")&gt;0, Sayfa2!$B$1,
 IF(COUNTIF(Sayfa2!$C$2:$C$8, "*"&amp;D914&amp;"*")&gt;0, Sayfa2!$C$1,
 IF(COUNTIF(Sayfa2!$D$2:$D$8,"*"&amp;D914&amp;"*")&gt;0, Sayfa2!$D$1,
 IF(COUNTIF(Sayfa2!$E$2:$E$8, "*"&amp;D914&amp;"*")&gt;0, Sayfa2!$E$1, "Bulunamadı")))))</f>
        <v>SALI</v>
      </c>
    </row>
    <row r="915" spans="1:5" hidden="1" x14ac:dyDescent="0.25">
      <c r="A915" t="s">
        <v>2547</v>
      </c>
      <c r="B915" t="s">
        <v>1005</v>
      </c>
      <c r="C915" t="s">
        <v>2516</v>
      </c>
      <c r="D915" s="4" t="s">
        <v>3074</v>
      </c>
      <c r="E915" t="str">
        <f>IF(COUNTIF(Sayfa2!$A$2:$A$8,"*"&amp;D915&amp;"*")&gt;0, Sayfa2!$A$1,
 IF(COUNTIF(Sayfa2!$B$2:$B$8, "*"&amp;D915&amp;"*")&gt;0, Sayfa2!$B$1,
 IF(COUNTIF(Sayfa2!$C$2:$C$8, "*"&amp;D915&amp;"*")&gt;0, Sayfa2!$C$1,
 IF(COUNTIF(Sayfa2!$D$2:$D$8,"*"&amp;D915&amp;"*")&gt;0, Sayfa2!$D$1,
 IF(COUNTIF(Sayfa2!$E$2:$E$8, "*"&amp;D915&amp;"*")&gt;0, Sayfa2!$E$1, "Bulunamadı")))))</f>
        <v>SALI</v>
      </c>
    </row>
    <row r="916" spans="1:5" hidden="1" x14ac:dyDescent="0.25">
      <c r="A916" t="s">
        <v>2548</v>
      </c>
      <c r="B916" t="s">
        <v>1006</v>
      </c>
      <c r="C916" t="s">
        <v>2516</v>
      </c>
      <c r="D916" s="4" t="s">
        <v>3074</v>
      </c>
      <c r="E916" t="str">
        <f>IF(COUNTIF(Sayfa2!$A$2:$A$8,"*"&amp;D916&amp;"*")&gt;0, Sayfa2!$A$1,
 IF(COUNTIF(Sayfa2!$B$2:$B$8, "*"&amp;D916&amp;"*")&gt;0, Sayfa2!$B$1,
 IF(COUNTIF(Sayfa2!$C$2:$C$8, "*"&amp;D916&amp;"*")&gt;0, Sayfa2!$C$1,
 IF(COUNTIF(Sayfa2!$D$2:$D$8,"*"&amp;D916&amp;"*")&gt;0, Sayfa2!$D$1,
 IF(COUNTIF(Sayfa2!$E$2:$E$8, "*"&amp;D916&amp;"*")&gt;0, Sayfa2!$E$1, "Bulunamadı")))))</f>
        <v>SALI</v>
      </c>
    </row>
    <row r="917" spans="1:5" hidden="1" x14ac:dyDescent="0.25">
      <c r="A917" t="s">
        <v>2549</v>
      </c>
      <c r="B917" t="s">
        <v>1007</v>
      </c>
      <c r="C917" t="s">
        <v>2516</v>
      </c>
      <c r="D917" s="4" t="s">
        <v>3074</v>
      </c>
      <c r="E917" t="str">
        <f>IF(COUNTIF(Sayfa2!$A$2:$A$8,"*"&amp;D917&amp;"*")&gt;0, Sayfa2!$A$1,
 IF(COUNTIF(Sayfa2!$B$2:$B$8, "*"&amp;D917&amp;"*")&gt;0, Sayfa2!$B$1,
 IF(COUNTIF(Sayfa2!$C$2:$C$8, "*"&amp;D917&amp;"*")&gt;0, Sayfa2!$C$1,
 IF(COUNTIF(Sayfa2!$D$2:$D$8,"*"&amp;D917&amp;"*")&gt;0, Sayfa2!$D$1,
 IF(COUNTIF(Sayfa2!$E$2:$E$8, "*"&amp;D917&amp;"*")&gt;0, Sayfa2!$E$1, "Bulunamadı")))))</f>
        <v>SALI</v>
      </c>
    </row>
    <row r="918" spans="1:5" hidden="1" x14ac:dyDescent="0.25">
      <c r="A918" t="s">
        <v>2550</v>
      </c>
      <c r="B918" t="s">
        <v>1008</v>
      </c>
      <c r="C918" t="s">
        <v>2516</v>
      </c>
      <c r="D918" s="4" t="s">
        <v>3074</v>
      </c>
      <c r="E918" t="str">
        <f>IF(COUNTIF(Sayfa2!$A$2:$A$8,"*"&amp;D918&amp;"*")&gt;0, Sayfa2!$A$1,
 IF(COUNTIF(Sayfa2!$B$2:$B$8, "*"&amp;D918&amp;"*")&gt;0, Sayfa2!$B$1,
 IF(COUNTIF(Sayfa2!$C$2:$C$8, "*"&amp;D918&amp;"*")&gt;0, Sayfa2!$C$1,
 IF(COUNTIF(Sayfa2!$D$2:$D$8,"*"&amp;D918&amp;"*")&gt;0, Sayfa2!$D$1,
 IF(COUNTIF(Sayfa2!$E$2:$E$8, "*"&amp;D918&amp;"*")&gt;0, Sayfa2!$E$1, "Bulunamadı")))))</f>
        <v>SALI</v>
      </c>
    </row>
    <row r="919" spans="1:5" hidden="1" x14ac:dyDescent="0.25">
      <c r="A919" t="s">
        <v>2551</v>
      </c>
      <c r="B919" t="s">
        <v>1009</v>
      </c>
      <c r="C919" t="s">
        <v>2516</v>
      </c>
      <c r="D919" s="4" t="s">
        <v>3074</v>
      </c>
      <c r="E919" t="str">
        <f>IF(COUNTIF(Sayfa2!$A$2:$A$8,"*"&amp;D919&amp;"*")&gt;0, Sayfa2!$A$1,
 IF(COUNTIF(Sayfa2!$B$2:$B$8, "*"&amp;D919&amp;"*")&gt;0, Sayfa2!$B$1,
 IF(COUNTIF(Sayfa2!$C$2:$C$8, "*"&amp;D919&amp;"*")&gt;0, Sayfa2!$C$1,
 IF(COUNTIF(Sayfa2!$D$2:$D$8,"*"&amp;D919&amp;"*")&gt;0, Sayfa2!$D$1,
 IF(COUNTIF(Sayfa2!$E$2:$E$8, "*"&amp;D919&amp;"*")&gt;0, Sayfa2!$E$1, "Bulunamadı")))))</f>
        <v>SALI</v>
      </c>
    </row>
    <row r="920" spans="1:5" hidden="1" x14ac:dyDescent="0.25">
      <c r="A920" t="s">
        <v>1927</v>
      </c>
      <c r="B920" t="s">
        <v>1010</v>
      </c>
      <c r="C920" t="s">
        <v>2516</v>
      </c>
      <c r="D920" s="4" t="s">
        <v>3074</v>
      </c>
      <c r="E920" t="str">
        <f>IF(COUNTIF(Sayfa2!$A$2:$A$8,"*"&amp;D920&amp;"*")&gt;0, Sayfa2!$A$1,
 IF(COUNTIF(Sayfa2!$B$2:$B$8, "*"&amp;D920&amp;"*")&gt;0, Sayfa2!$B$1,
 IF(COUNTIF(Sayfa2!$C$2:$C$8, "*"&amp;D920&amp;"*")&gt;0, Sayfa2!$C$1,
 IF(COUNTIF(Sayfa2!$D$2:$D$8,"*"&amp;D920&amp;"*")&gt;0, Sayfa2!$D$1,
 IF(COUNTIF(Sayfa2!$E$2:$E$8, "*"&amp;D920&amp;"*")&gt;0, Sayfa2!$E$1, "Bulunamadı")))))</f>
        <v>SALI</v>
      </c>
    </row>
    <row r="921" spans="1:5" hidden="1" x14ac:dyDescent="0.25">
      <c r="A921" t="s">
        <v>2552</v>
      </c>
      <c r="B921" t="s">
        <v>1011</v>
      </c>
      <c r="C921" t="s">
        <v>2516</v>
      </c>
      <c r="D921" s="4" t="s">
        <v>3074</v>
      </c>
      <c r="E921" t="str">
        <f>IF(COUNTIF(Sayfa2!$A$2:$A$8,"*"&amp;D921&amp;"*")&gt;0, Sayfa2!$A$1,
 IF(COUNTIF(Sayfa2!$B$2:$B$8, "*"&amp;D921&amp;"*")&gt;0, Sayfa2!$B$1,
 IF(COUNTIF(Sayfa2!$C$2:$C$8, "*"&amp;D921&amp;"*")&gt;0, Sayfa2!$C$1,
 IF(COUNTIF(Sayfa2!$D$2:$D$8,"*"&amp;D921&amp;"*")&gt;0, Sayfa2!$D$1,
 IF(COUNTIF(Sayfa2!$E$2:$E$8, "*"&amp;D921&amp;"*")&gt;0, Sayfa2!$E$1, "Bulunamadı")))))</f>
        <v>SALI</v>
      </c>
    </row>
    <row r="922" spans="1:5" hidden="1" x14ac:dyDescent="0.25">
      <c r="A922" t="s">
        <v>2553</v>
      </c>
      <c r="B922" t="s">
        <v>1012</v>
      </c>
      <c r="C922" t="s">
        <v>2554</v>
      </c>
      <c r="D922" s="4" t="s">
        <v>3081</v>
      </c>
      <c r="E922" t="str">
        <f>IF(COUNTIF(Sayfa2!$A$2:$A$8,"*"&amp;D922&amp;"*")&gt;0, Sayfa2!$A$1,
 IF(COUNTIF(Sayfa2!$B$2:$B$8, "*"&amp;D922&amp;"*")&gt;0, Sayfa2!$B$1,
 IF(COUNTIF(Sayfa2!$C$2:$C$8, "*"&amp;D922&amp;"*")&gt;0, Sayfa2!$C$1,
 IF(COUNTIF(Sayfa2!$D$2:$D$8,"*"&amp;D922&amp;"*")&gt;0, Sayfa2!$D$1,
 IF(COUNTIF(Sayfa2!$E$2:$E$8, "*"&amp;D922&amp;"*")&gt;0, Sayfa2!$E$1, "Bulunamadı")))))</f>
        <v>PERŞEMBE</v>
      </c>
    </row>
    <row r="923" spans="1:5" hidden="1" x14ac:dyDescent="0.25">
      <c r="A923" t="s">
        <v>2555</v>
      </c>
      <c r="B923" t="s">
        <v>1015</v>
      </c>
      <c r="C923" t="s">
        <v>2556</v>
      </c>
      <c r="D923" s="4" t="s">
        <v>3076</v>
      </c>
      <c r="E923" t="str">
        <f>IF(COUNTIF(Sayfa2!$A$2:$A$8,"*"&amp;D923&amp;"*")&gt;0, Sayfa2!$A$1,
 IF(COUNTIF(Sayfa2!$B$2:$B$8, "*"&amp;D923&amp;"*")&gt;0, Sayfa2!$B$1,
 IF(COUNTIF(Sayfa2!$C$2:$C$8, "*"&amp;D923&amp;"*")&gt;0, Sayfa2!$C$1,
 IF(COUNTIF(Sayfa2!$D$2:$D$8,"*"&amp;D923&amp;"*")&gt;0, Sayfa2!$D$1,
 IF(COUNTIF(Sayfa2!$E$2:$E$8, "*"&amp;D923&amp;"*")&gt;0, Sayfa2!$E$1, "Bulunamadı")))))</f>
        <v>PERŞEMBE</v>
      </c>
    </row>
    <row r="924" spans="1:5" hidden="1" x14ac:dyDescent="0.25">
      <c r="A924" t="s">
        <v>2557</v>
      </c>
      <c r="B924" t="s">
        <v>1016</v>
      </c>
      <c r="C924" t="s">
        <v>2556</v>
      </c>
      <c r="D924" s="4" t="s">
        <v>3076</v>
      </c>
      <c r="E924" t="str">
        <f>IF(COUNTIF(Sayfa2!$A$2:$A$8,"*"&amp;D924&amp;"*")&gt;0, Sayfa2!$A$1,
 IF(COUNTIF(Sayfa2!$B$2:$B$8, "*"&amp;D924&amp;"*")&gt;0, Sayfa2!$B$1,
 IF(COUNTIF(Sayfa2!$C$2:$C$8, "*"&amp;D924&amp;"*")&gt;0, Sayfa2!$C$1,
 IF(COUNTIF(Sayfa2!$D$2:$D$8,"*"&amp;D924&amp;"*")&gt;0, Sayfa2!$D$1,
 IF(COUNTIF(Sayfa2!$E$2:$E$8, "*"&amp;D924&amp;"*")&gt;0, Sayfa2!$E$1, "Bulunamadı")))))</f>
        <v>PERŞEMBE</v>
      </c>
    </row>
    <row r="925" spans="1:5" hidden="1" x14ac:dyDescent="0.25">
      <c r="A925" t="s">
        <v>2558</v>
      </c>
      <c r="B925" t="s">
        <v>1017</v>
      </c>
      <c r="C925" t="s">
        <v>2556</v>
      </c>
      <c r="D925" s="4" t="s">
        <v>3076</v>
      </c>
      <c r="E925" t="str">
        <f>IF(COUNTIF(Sayfa2!$A$2:$A$8,"*"&amp;D925&amp;"*")&gt;0, Sayfa2!$A$1,
 IF(COUNTIF(Sayfa2!$B$2:$B$8, "*"&amp;D925&amp;"*")&gt;0, Sayfa2!$B$1,
 IF(COUNTIF(Sayfa2!$C$2:$C$8, "*"&amp;D925&amp;"*")&gt;0, Sayfa2!$C$1,
 IF(COUNTIF(Sayfa2!$D$2:$D$8,"*"&amp;D925&amp;"*")&gt;0, Sayfa2!$D$1,
 IF(COUNTIF(Sayfa2!$E$2:$E$8, "*"&amp;D925&amp;"*")&gt;0, Sayfa2!$E$1, "Bulunamadı")))))</f>
        <v>PERŞEMBE</v>
      </c>
    </row>
    <row r="926" spans="1:5" hidden="1" x14ac:dyDescent="0.25">
      <c r="A926" t="s">
        <v>2559</v>
      </c>
      <c r="B926" t="s">
        <v>1018</v>
      </c>
      <c r="C926" t="s">
        <v>2560</v>
      </c>
      <c r="D926" s="4" t="s">
        <v>3082</v>
      </c>
      <c r="E926" t="str">
        <f>IF(COUNTIF(Sayfa2!$A$2:$A$8,"*"&amp;D926&amp;"*")&gt;0, Sayfa2!$A$1,
 IF(COUNTIF(Sayfa2!$B$2:$B$8, "*"&amp;D926&amp;"*")&gt;0, Sayfa2!$B$1,
 IF(COUNTIF(Sayfa2!$C$2:$C$8, "*"&amp;D926&amp;"*")&gt;0, Sayfa2!$C$1,
 IF(COUNTIF(Sayfa2!$D$2:$D$8,"*"&amp;D926&amp;"*")&gt;0, Sayfa2!$D$1,
 IF(COUNTIF(Sayfa2!$E$2:$E$8, "*"&amp;D926&amp;"*")&gt;0, Sayfa2!$E$1, "Bulunamadı")))))</f>
        <v>CUMA</v>
      </c>
    </row>
    <row r="927" spans="1:5" hidden="1" x14ac:dyDescent="0.25">
      <c r="A927" t="s">
        <v>2561</v>
      </c>
      <c r="B927" t="s">
        <v>1021</v>
      </c>
      <c r="C927" t="s">
        <v>2560</v>
      </c>
      <c r="D927" s="4" t="s">
        <v>3082</v>
      </c>
      <c r="E927" t="str">
        <f>IF(COUNTIF(Sayfa2!$A$2:$A$8,"*"&amp;D927&amp;"*")&gt;0, Sayfa2!$A$1,
 IF(COUNTIF(Sayfa2!$B$2:$B$8, "*"&amp;D927&amp;"*")&gt;0, Sayfa2!$B$1,
 IF(COUNTIF(Sayfa2!$C$2:$C$8, "*"&amp;D927&amp;"*")&gt;0, Sayfa2!$C$1,
 IF(COUNTIF(Sayfa2!$D$2:$D$8,"*"&amp;D927&amp;"*")&gt;0, Sayfa2!$D$1,
 IF(COUNTIF(Sayfa2!$E$2:$E$8, "*"&amp;D927&amp;"*")&gt;0, Sayfa2!$E$1, "Bulunamadı")))))</f>
        <v>CUMA</v>
      </c>
    </row>
    <row r="928" spans="1:5" hidden="1" x14ac:dyDescent="0.25">
      <c r="A928" t="s">
        <v>2562</v>
      </c>
      <c r="B928" t="s">
        <v>1022</v>
      </c>
      <c r="C928" t="s">
        <v>2560</v>
      </c>
      <c r="D928" s="4" t="s">
        <v>3082</v>
      </c>
      <c r="E928" t="str">
        <f>IF(COUNTIF(Sayfa2!$A$2:$A$8,"*"&amp;D928&amp;"*")&gt;0, Sayfa2!$A$1,
 IF(COUNTIF(Sayfa2!$B$2:$B$8, "*"&amp;D928&amp;"*")&gt;0, Sayfa2!$B$1,
 IF(COUNTIF(Sayfa2!$C$2:$C$8, "*"&amp;D928&amp;"*")&gt;0, Sayfa2!$C$1,
 IF(COUNTIF(Sayfa2!$D$2:$D$8,"*"&amp;D928&amp;"*")&gt;0, Sayfa2!$D$1,
 IF(COUNTIF(Sayfa2!$E$2:$E$8, "*"&amp;D928&amp;"*")&gt;0, Sayfa2!$E$1, "Bulunamadı")))))</f>
        <v>CUMA</v>
      </c>
    </row>
    <row r="929" spans="1:5" hidden="1" x14ac:dyDescent="0.25">
      <c r="A929" t="s">
        <v>2563</v>
      </c>
      <c r="B929" t="s">
        <v>1023</v>
      </c>
      <c r="C929" t="s">
        <v>2560</v>
      </c>
      <c r="D929" s="4" t="s">
        <v>3082</v>
      </c>
      <c r="E929" t="str">
        <f>IF(COUNTIF(Sayfa2!$A$2:$A$8,"*"&amp;D929&amp;"*")&gt;0, Sayfa2!$A$1,
 IF(COUNTIF(Sayfa2!$B$2:$B$8, "*"&amp;D929&amp;"*")&gt;0, Sayfa2!$B$1,
 IF(COUNTIF(Sayfa2!$C$2:$C$8, "*"&amp;D929&amp;"*")&gt;0, Sayfa2!$C$1,
 IF(COUNTIF(Sayfa2!$D$2:$D$8,"*"&amp;D929&amp;"*")&gt;0, Sayfa2!$D$1,
 IF(COUNTIF(Sayfa2!$E$2:$E$8, "*"&amp;D929&amp;"*")&gt;0, Sayfa2!$E$1, "Bulunamadı")))))</f>
        <v>CUMA</v>
      </c>
    </row>
    <row r="930" spans="1:5" hidden="1" x14ac:dyDescent="0.25">
      <c r="A930" t="s">
        <v>2564</v>
      </c>
      <c r="B930" t="s">
        <v>1024</v>
      </c>
      <c r="C930" t="s">
        <v>2565</v>
      </c>
      <c r="D930" s="4" t="s">
        <v>3083</v>
      </c>
      <c r="E930" t="str">
        <f>IF(COUNTIF(Sayfa2!$A$2:$A$8,"*"&amp;D930&amp;"*")&gt;0, Sayfa2!$A$1,
 IF(COUNTIF(Sayfa2!$B$2:$B$8, "*"&amp;D930&amp;"*")&gt;0, Sayfa2!$B$1,
 IF(COUNTIF(Sayfa2!$C$2:$C$8, "*"&amp;D930&amp;"*")&gt;0, Sayfa2!$C$1,
 IF(COUNTIF(Sayfa2!$D$2:$D$8,"*"&amp;D930&amp;"*")&gt;0, Sayfa2!$D$1,
 IF(COUNTIF(Sayfa2!$E$2:$E$8, "*"&amp;D930&amp;"*")&gt;0, Sayfa2!$E$1, "Bulunamadı")))))</f>
        <v>PAZARTESİ</v>
      </c>
    </row>
    <row r="931" spans="1:5" hidden="1" x14ac:dyDescent="0.25">
      <c r="A931" t="s">
        <v>2566</v>
      </c>
      <c r="B931" t="s">
        <v>1026</v>
      </c>
      <c r="C931" t="s">
        <v>2565</v>
      </c>
      <c r="D931" s="4" t="s">
        <v>3083</v>
      </c>
      <c r="E931" t="str">
        <f>IF(COUNTIF(Sayfa2!$A$2:$A$8,"*"&amp;D931&amp;"*")&gt;0, Sayfa2!$A$1,
 IF(COUNTIF(Sayfa2!$B$2:$B$8, "*"&amp;D931&amp;"*")&gt;0, Sayfa2!$B$1,
 IF(COUNTIF(Sayfa2!$C$2:$C$8, "*"&amp;D931&amp;"*")&gt;0, Sayfa2!$C$1,
 IF(COUNTIF(Sayfa2!$D$2:$D$8,"*"&amp;D931&amp;"*")&gt;0, Sayfa2!$D$1,
 IF(COUNTIF(Sayfa2!$E$2:$E$8, "*"&amp;D931&amp;"*")&gt;0, Sayfa2!$E$1, "Bulunamadı")))))</f>
        <v>PAZARTESİ</v>
      </c>
    </row>
    <row r="932" spans="1:5" hidden="1" x14ac:dyDescent="0.25">
      <c r="A932" t="s">
        <v>2567</v>
      </c>
      <c r="B932" t="s">
        <v>1027</v>
      </c>
      <c r="C932" t="s">
        <v>2565</v>
      </c>
      <c r="D932" s="4" t="s">
        <v>3083</v>
      </c>
      <c r="E932" t="str">
        <f>IF(COUNTIF(Sayfa2!$A$2:$A$8,"*"&amp;D932&amp;"*")&gt;0, Sayfa2!$A$1,
 IF(COUNTIF(Sayfa2!$B$2:$B$8, "*"&amp;D932&amp;"*")&gt;0, Sayfa2!$B$1,
 IF(COUNTIF(Sayfa2!$C$2:$C$8, "*"&amp;D932&amp;"*")&gt;0, Sayfa2!$C$1,
 IF(COUNTIF(Sayfa2!$D$2:$D$8,"*"&amp;D932&amp;"*")&gt;0, Sayfa2!$D$1,
 IF(COUNTIF(Sayfa2!$E$2:$E$8, "*"&amp;D932&amp;"*")&gt;0, Sayfa2!$E$1, "Bulunamadı")))))</f>
        <v>PAZARTESİ</v>
      </c>
    </row>
    <row r="933" spans="1:5" hidden="1" x14ac:dyDescent="0.25">
      <c r="A933" t="s">
        <v>2568</v>
      </c>
      <c r="B933" t="s">
        <v>1028</v>
      </c>
      <c r="C933" t="s">
        <v>2565</v>
      </c>
      <c r="D933" s="4" t="s">
        <v>3083</v>
      </c>
      <c r="E933" t="str">
        <f>IF(COUNTIF(Sayfa2!$A$2:$A$8,"*"&amp;D933&amp;"*")&gt;0, Sayfa2!$A$1,
 IF(COUNTIF(Sayfa2!$B$2:$B$8, "*"&amp;D933&amp;"*")&gt;0, Sayfa2!$B$1,
 IF(COUNTIF(Sayfa2!$C$2:$C$8, "*"&amp;D933&amp;"*")&gt;0, Sayfa2!$C$1,
 IF(COUNTIF(Sayfa2!$D$2:$D$8,"*"&amp;D933&amp;"*")&gt;0, Sayfa2!$D$1,
 IF(COUNTIF(Sayfa2!$E$2:$E$8, "*"&amp;D933&amp;"*")&gt;0, Sayfa2!$E$1, "Bulunamadı")))))</f>
        <v>PAZARTESİ</v>
      </c>
    </row>
    <row r="934" spans="1:5" hidden="1" x14ac:dyDescent="0.25">
      <c r="A934" t="s">
        <v>2569</v>
      </c>
      <c r="B934" t="s">
        <v>1029</v>
      </c>
      <c r="C934" t="s">
        <v>2570</v>
      </c>
      <c r="D934" s="4" t="s">
        <v>3075</v>
      </c>
      <c r="E934" t="str">
        <f>IF(COUNTIF(Sayfa2!$A$2:$A$8,"*"&amp;D934&amp;"*")&gt;0, Sayfa2!$A$1,
 IF(COUNTIF(Sayfa2!$B$2:$B$8, "*"&amp;D934&amp;"*")&gt;0, Sayfa2!$B$1,
 IF(COUNTIF(Sayfa2!$C$2:$C$8, "*"&amp;D934&amp;"*")&gt;0, Sayfa2!$C$1,
 IF(COUNTIF(Sayfa2!$D$2:$D$8,"*"&amp;D934&amp;"*")&gt;0, Sayfa2!$D$1,
 IF(COUNTIF(Sayfa2!$E$2:$E$8, "*"&amp;D934&amp;"*")&gt;0, Sayfa2!$E$1, "Bulunamadı")))))</f>
        <v>ÇARŞAMBA</v>
      </c>
    </row>
    <row r="935" spans="1:5" hidden="1" x14ac:dyDescent="0.25">
      <c r="A935" t="s">
        <v>2571</v>
      </c>
      <c r="B935" t="s">
        <v>1031</v>
      </c>
      <c r="C935" t="s">
        <v>2570</v>
      </c>
      <c r="D935" s="4" t="s">
        <v>3075</v>
      </c>
      <c r="E935" t="str">
        <f>IF(COUNTIF(Sayfa2!$A$2:$A$8,"*"&amp;D935&amp;"*")&gt;0, Sayfa2!$A$1,
 IF(COUNTIF(Sayfa2!$B$2:$B$8, "*"&amp;D935&amp;"*")&gt;0, Sayfa2!$B$1,
 IF(COUNTIF(Sayfa2!$C$2:$C$8, "*"&amp;D935&amp;"*")&gt;0, Sayfa2!$C$1,
 IF(COUNTIF(Sayfa2!$D$2:$D$8,"*"&amp;D935&amp;"*")&gt;0, Sayfa2!$D$1,
 IF(COUNTIF(Sayfa2!$E$2:$E$8, "*"&amp;D935&amp;"*")&gt;0, Sayfa2!$E$1, "Bulunamadı")))))</f>
        <v>ÇARŞAMBA</v>
      </c>
    </row>
    <row r="936" spans="1:5" hidden="1" x14ac:dyDescent="0.25">
      <c r="A936" t="s">
        <v>2572</v>
      </c>
      <c r="B936" t="s">
        <v>1032</v>
      </c>
      <c r="C936" t="s">
        <v>2570</v>
      </c>
      <c r="D936" s="4" t="s">
        <v>3075</v>
      </c>
      <c r="E936" t="str">
        <f>IF(COUNTIF(Sayfa2!$A$2:$A$8,"*"&amp;D936&amp;"*")&gt;0, Sayfa2!$A$1,
 IF(COUNTIF(Sayfa2!$B$2:$B$8, "*"&amp;D936&amp;"*")&gt;0, Sayfa2!$B$1,
 IF(COUNTIF(Sayfa2!$C$2:$C$8, "*"&amp;D936&amp;"*")&gt;0, Sayfa2!$C$1,
 IF(COUNTIF(Sayfa2!$D$2:$D$8,"*"&amp;D936&amp;"*")&gt;0, Sayfa2!$D$1,
 IF(COUNTIF(Sayfa2!$E$2:$E$8, "*"&amp;D936&amp;"*")&gt;0, Sayfa2!$E$1, "Bulunamadı")))))</f>
        <v>ÇARŞAMBA</v>
      </c>
    </row>
    <row r="937" spans="1:5" hidden="1" x14ac:dyDescent="0.25">
      <c r="A937" t="s">
        <v>2573</v>
      </c>
      <c r="B937" t="s">
        <v>1033</v>
      </c>
      <c r="C937" t="s">
        <v>2574</v>
      </c>
      <c r="D937" s="4" t="s">
        <v>3082</v>
      </c>
      <c r="E937" t="str">
        <f>IF(COUNTIF(Sayfa2!$A$2:$A$8,"*"&amp;D937&amp;"*")&gt;0, Sayfa2!$A$1,
 IF(COUNTIF(Sayfa2!$B$2:$B$8, "*"&amp;D937&amp;"*")&gt;0, Sayfa2!$B$1,
 IF(COUNTIF(Sayfa2!$C$2:$C$8, "*"&amp;D937&amp;"*")&gt;0, Sayfa2!$C$1,
 IF(COUNTIF(Sayfa2!$D$2:$D$8,"*"&amp;D937&amp;"*")&gt;0, Sayfa2!$D$1,
 IF(COUNTIF(Sayfa2!$E$2:$E$8, "*"&amp;D937&amp;"*")&gt;0, Sayfa2!$E$1, "Bulunamadı")))))</f>
        <v>CUMA</v>
      </c>
    </row>
    <row r="938" spans="1:5" hidden="1" x14ac:dyDescent="0.25">
      <c r="A938" t="s">
        <v>2575</v>
      </c>
      <c r="B938" t="s">
        <v>1035</v>
      </c>
      <c r="C938" t="s">
        <v>2574</v>
      </c>
      <c r="D938" s="4" t="s">
        <v>3082</v>
      </c>
      <c r="E938" t="str">
        <f>IF(COUNTIF(Sayfa2!$A$2:$A$8,"*"&amp;D938&amp;"*")&gt;0, Sayfa2!$A$1,
 IF(COUNTIF(Sayfa2!$B$2:$B$8, "*"&amp;D938&amp;"*")&gt;0, Sayfa2!$B$1,
 IF(COUNTIF(Sayfa2!$C$2:$C$8, "*"&amp;D938&amp;"*")&gt;0, Sayfa2!$C$1,
 IF(COUNTIF(Sayfa2!$D$2:$D$8,"*"&amp;D938&amp;"*")&gt;0, Sayfa2!$D$1,
 IF(COUNTIF(Sayfa2!$E$2:$E$8, "*"&amp;D938&amp;"*")&gt;0, Sayfa2!$E$1, "Bulunamadı")))))</f>
        <v>CUMA</v>
      </c>
    </row>
    <row r="939" spans="1:5" hidden="1" x14ac:dyDescent="0.25">
      <c r="A939" t="s">
        <v>2576</v>
      </c>
      <c r="B939" t="s">
        <v>1036</v>
      </c>
      <c r="C939" t="s">
        <v>2574</v>
      </c>
      <c r="D939" s="4" t="s">
        <v>3082</v>
      </c>
      <c r="E939" t="str">
        <f>IF(COUNTIF(Sayfa2!$A$2:$A$8,"*"&amp;D939&amp;"*")&gt;0, Sayfa2!$A$1,
 IF(COUNTIF(Sayfa2!$B$2:$B$8, "*"&amp;D939&amp;"*")&gt;0, Sayfa2!$B$1,
 IF(COUNTIF(Sayfa2!$C$2:$C$8, "*"&amp;D939&amp;"*")&gt;0, Sayfa2!$C$1,
 IF(COUNTIF(Sayfa2!$D$2:$D$8,"*"&amp;D939&amp;"*")&gt;0, Sayfa2!$D$1,
 IF(COUNTIF(Sayfa2!$E$2:$E$8, "*"&amp;D939&amp;"*")&gt;0, Sayfa2!$E$1, "Bulunamadı")))))</f>
        <v>CUMA</v>
      </c>
    </row>
    <row r="940" spans="1:5" hidden="1" x14ac:dyDescent="0.25">
      <c r="A940" t="s">
        <v>2577</v>
      </c>
      <c r="B940" t="s">
        <v>1037</v>
      </c>
      <c r="C940" t="s">
        <v>2574</v>
      </c>
      <c r="D940" s="4" t="s">
        <v>3082</v>
      </c>
      <c r="E940" t="str">
        <f>IF(COUNTIF(Sayfa2!$A$2:$A$8,"*"&amp;D940&amp;"*")&gt;0, Sayfa2!$A$1,
 IF(COUNTIF(Sayfa2!$B$2:$B$8, "*"&amp;D940&amp;"*")&gt;0, Sayfa2!$B$1,
 IF(COUNTIF(Sayfa2!$C$2:$C$8, "*"&amp;D940&amp;"*")&gt;0, Sayfa2!$C$1,
 IF(COUNTIF(Sayfa2!$D$2:$D$8,"*"&amp;D940&amp;"*")&gt;0, Sayfa2!$D$1,
 IF(COUNTIF(Sayfa2!$E$2:$E$8, "*"&amp;D940&amp;"*")&gt;0, Sayfa2!$E$1, "Bulunamadı")))))</f>
        <v>CUMA</v>
      </c>
    </row>
    <row r="941" spans="1:5" hidden="1" x14ac:dyDescent="0.25">
      <c r="A941" t="s">
        <v>2578</v>
      </c>
      <c r="B941" t="s">
        <v>1038</v>
      </c>
      <c r="C941" t="s">
        <v>2574</v>
      </c>
      <c r="D941" s="4" t="s">
        <v>3082</v>
      </c>
      <c r="E941" t="str">
        <f>IF(COUNTIF(Sayfa2!$A$2:$A$8,"*"&amp;D941&amp;"*")&gt;0, Sayfa2!$A$1,
 IF(COUNTIF(Sayfa2!$B$2:$B$8, "*"&amp;D941&amp;"*")&gt;0, Sayfa2!$B$1,
 IF(COUNTIF(Sayfa2!$C$2:$C$8, "*"&amp;D941&amp;"*")&gt;0, Sayfa2!$C$1,
 IF(COUNTIF(Sayfa2!$D$2:$D$8,"*"&amp;D941&amp;"*")&gt;0, Sayfa2!$D$1,
 IF(COUNTIF(Sayfa2!$E$2:$E$8, "*"&amp;D941&amp;"*")&gt;0, Sayfa2!$E$1, "Bulunamadı")))))</f>
        <v>CUMA</v>
      </c>
    </row>
    <row r="942" spans="1:5" hidden="1" x14ac:dyDescent="0.25">
      <c r="A942" t="s">
        <v>2579</v>
      </c>
      <c r="B942" t="s">
        <v>1039</v>
      </c>
      <c r="C942" t="s">
        <v>2580</v>
      </c>
      <c r="D942" s="4" t="s">
        <v>3083</v>
      </c>
      <c r="E942" t="str">
        <f>IF(COUNTIF(Sayfa2!$A$2:$A$8,"*"&amp;D942&amp;"*")&gt;0, Sayfa2!$A$1,
 IF(COUNTIF(Sayfa2!$B$2:$B$8, "*"&amp;D942&amp;"*")&gt;0, Sayfa2!$B$1,
 IF(COUNTIF(Sayfa2!$C$2:$C$8, "*"&amp;D942&amp;"*")&gt;0, Sayfa2!$C$1,
 IF(COUNTIF(Sayfa2!$D$2:$D$8,"*"&amp;D942&amp;"*")&gt;0, Sayfa2!$D$1,
 IF(COUNTIF(Sayfa2!$E$2:$E$8, "*"&amp;D942&amp;"*")&gt;0, Sayfa2!$E$1, "Bulunamadı")))))</f>
        <v>PAZARTESİ</v>
      </c>
    </row>
    <row r="943" spans="1:5" hidden="1" x14ac:dyDescent="0.25">
      <c r="A943" t="s">
        <v>2581</v>
      </c>
      <c r="B943" t="s">
        <v>1041</v>
      </c>
      <c r="C943" t="s">
        <v>2580</v>
      </c>
      <c r="D943" s="4" t="s">
        <v>3083</v>
      </c>
      <c r="E943" t="str">
        <f>IF(COUNTIF(Sayfa2!$A$2:$A$8,"*"&amp;D943&amp;"*")&gt;0, Sayfa2!$A$1,
 IF(COUNTIF(Sayfa2!$B$2:$B$8, "*"&amp;D943&amp;"*")&gt;0, Sayfa2!$B$1,
 IF(COUNTIF(Sayfa2!$C$2:$C$8, "*"&amp;D943&amp;"*")&gt;0, Sayfa2!$C$1,
 IF(COUNTIF(Sayfa2!$D$2:$D$8,"*"&amp;D943&amp;"*")&gt;0, Sayfa2!$D$1,
 IF(COUNTIF(Sayfa2!$E$2:$E$8, "*"&amp;D943&amp;"*")&gt;0, Sayfa2!$E$1, "Bulunamadı")))))</f>
        <v>PAZARTESİ</v>
      </c>
    </row>
    <row r="944" spans="1:5" hidden="1" x14ac:dyDescent="0.25">
      <c r="A944" t="s">
        <v>2582</v>
      </c>
      <c r="B944" t="s">
        <v>1042</v>
      </c>
      <c r="C944" t="s">
        <v>2580</v>
      </c>
      <c r="D944" s="4" t="s">
        <v>3083</v>
      </c>
      <c r="E944" t="str">
        <f>IF(COUNTIF(Sayfa2!$A$2:$A$8,"*"&amp;D944&amp;"*")&gt;0, Sayfa2!$A$1,
 IF(COUNTIF(Sayfa2!$B$2:$B$8, "*"&amp;D944&amp;"*")&gt;0, Sayfa2!$B$1,
 IF(COUNTIF(Sayfa2!$C$2:$C$8, "*"&amp;D944&amp;"*")&gt;0, Sayfa2!$C$1,
 IF(COUNTIF(Sayfa2!$D$2:$D$8,"*"&amp;D944&amp;"*")&gt;0, Sayfa2!$D$1,
 IF(COUNTIF(Sayfa2!$E$2:$E$8, "*"&amp;D944&amp;"*")&gt;0, Sayfa2!$E$1, "Bulunamadı")))))</f>
        <v>PAZARTESİ</v>
      </c>
    </row>
    <row r="945" spans="1:5" hidden="1" x14ac:dyDescent="0.25">
      <c r="A945" t="s">
        <v>2583</v>
      </c>
      <c r="B945" t="s">
        <v>1043</v>
      </c>
      <c r="C945" t="s">
        <v>2584</v>
      </c>
      <c r="D945" s="4" t="s">
        <v>3082</v>
      </c>
      <c r="E945" t="str">
        <f>IF(COUNTIF(Sayfa2!$A$2:$A$8,"*"&amp;D945&amp;"*")&gt;0, Sayfa2!$A$1,
 IF(COUNTIF(Sayfa2!$B$2:$B$8, "*"&amp;D945&amp;"*")&gt;0, Sayfa2!$B$1,
 IF(COUNTIF(Sayfa2!$C$2:$C$8, "*"&amp;D945&amp;"*")&gt;0, Sayfa2!$C$1,
 IF(COUNTIF(Sayfa2!$D$2:$D$8,"*"&amp;D945&amp;"*")&gt;0, Sayfa2!$D$1,
 IF(COUNTIF(Sayfa2!$E$2:$E$8, "*"&amp;D945&amp;"*")&gt;0, Sayfa2!$E$1, "Bulunamadı")))))</f>
        <v>CUMA</v>
      </c>
    </row>
    <row r="946" spans="1:5" hidden="1" x14ac:dyDescent="0.25">
      <c r="A946" t="s">
        <v>2585</v>
      </c>
      <c r="B946" t="s">
        <v>1045</v>
      </c>
      <c r="C946" t="s">
        <v>2584</v>
      </c>
      <c r="D946" s="4" t="s">
        <v>3082</v>
      </c>
      <c r="E946" t="str">
        <f>IF(COUNTIF(Sayfa2!$A$2:$A$8,"*"&amp;D946&amp;"*")&gt;0, Sayfa2!$A$1,
 IF(COUNTIF(Sayfa2!$B$2:$B$8, "*"&amp;D946&amp;"*")&gt;0, Sayfa2!$B$1,
 IF(COUNTIF(Sayfa2!$C$2:$C$8, "*"&amp;D946&amp;"*")&gt;0, Sayfa2!$C$1,
 IF(COUNTIF(Sayfa2!$D$2:$D$8,"*"&amp;D946&amp;"*")&gt;0, Sayfa2!$D$1,
 IF(COUNTIF(Sayfa2!$E$2:$E$8, "*"&amp;D946&amp;"*")&gt;0, Sayfa2!$E$1, "Bulunamadı")))))</f>
        <v>CUMA</v>
      </c>
    </row>
    <row r="947" spans="1:5" hidden="1" x14ac:dyDescent="0.25">
      <c r="A947" t="s">
        <v>2586</v>
      </c>
      <c r="B947" t="s">
        <v>1046</v>
      </c>
      <c r="C947" t="s">
        <v>2587</v>
      </c>
      <c r="D947" s="4" t="s">
        <v>3079</v>
      </c>
      <c r="E947" t="str">
        <f>IF(COUNTIF(Sayfa2!$A$2:$A$8,"*"&amp;D947&amp;"*")&gt;0, Sayfa2!$A$1,
 IF(COUNTIF(Sayfa2!$B$2:$B$8, "*"&amp;D947&amp;"*")&gt;0, Sayfa2!$B$1,
 IF(COUNTIF(Sayfa2!$C$2:$C$8, "*"&amp;D947&amp;"*")&gt;0, Sayfa2!$C$1,
 IF(COUNTIF(Sayfa2!$D$2:$D$8,"*"&amp;D947&amp;"*")&gt;0, Sayfa2!$D$1,
 IF(COUNTIF(Sayfa2!$E$2:$E$8, "*"&amp;D947&amp;"*")&gt;0, Sayfa2!$E$1, "Bulunamadı")))))</f>
        <v>SALI</v>
      </c>
    </row>
    <row r="948" spans="1:5" hidden="1" x14ac:dyDescent="0.25">
      <c r="A948" t="s">
        <v>2588</v>
      </c>
      <c r="B948" t="s">
        <v>1048</v>
      </c>
      <c r="C948" t="s">
        <v>2587</v>
      </c>
      <c r="D948" s="4" t="s">
        <v>3079</v>
      </c>
      <c r="E948" t="str">
        <f>IF(COUNTIF(Sayfa2!$A$2:$A$8,"*"&amp;D948&amp;"*")&gt;0, Sayfa2!$A$1,
 IF(COUNTIF(Sayfa2!$B$2:$B$8, "*"&amp;D948&amp;"*")&gt;0, Sayfa2!$B$1,
 IF(COUNTIF(Sayfa2!$C$2:$C$8, "*"&amp;D948&amp;"*")&gt;0, Sayfa2!$C$1,
 IF(COUNTIF(Sayfa2!$D$2:$D$8,"*"&amp;D948&amp;"*")&gt;0, Sayfa2!$D$1,
 IF(COUNTIF(Sayfa2!$E$2:$E$8, "*"&amp;D948&amp;"*")&gt;0, Sayfa2!$E$1, "Bulunamadı")))))</f>
        <v>SALI</v>
      </c>
    </row>
    <row r="949" spans="1:5" hidden="1" x14ac:dyDescent="0.25">
      <c r="A949" t="s">
        <v>2589</v>
      </c>
      <c r="B949" t="s">
        <v>1049</v>
      </c>
      <c r="C949" t="s">
        <v>2587</v>
      </c>
      <c r="D949" s="4" t="s">
        <v>3079</v>
      </c>
      <c r="E949" t="str">
        <f>IF(COUNTIF(Sayfa2!$A$2:$A$8,"*"&amp;D949&amp;"*")&gt;0, Sayfa2!$A$1,
 IF(COUNTIF(Sayfa2!$B$2:$B$8, "*"&amp;D949&amp;"*")&gt;0, Sayfa2!$B$1,
 IF(COUNTIF(Sayfa2!$C$2:$C$8, "*"&amp;D949&amp;"*")&gt;0, Sayfa2!$C$1,
 IF(COUNTIF(Sayfa2!$D$2:$D$8,"*"&amp;D949&amp;"*")&gt;0, Sayfa2!$D$1,
 IF(COUNTIF(Sayfa2!$E$2:$E$8, "*"&amp;D949&amp;"*")&gt;0, Sayfa2!$E$1, "Bulunamadı")))))</f>
        <v>SALI</v>
      </c>
    </row>
    <row r="950" spans="1:5" hidden="1" x14ac:dyDescent="0.25">
      <c r="A950" t="s">
        <v>2590</v>
      </c>
      <c r="B950" t="s">
        <v>1050</v>
      </c>
      <c r="C950" t="s">
        <v>2591</v>
      </c>
      <c r="D950" s="4" t="s">
        <v>3078</v>
      </c>
      <c r="E950" t="str">
        <f>IF(COUNTIF(Sayfa2!$A$2:$A$8,"*"&amp;D950&amp;"*")&gt;0, Sayfa2!$A$1,
 IF(COUNTIF(Sayfa2!$B$2:$B$8, "*"&amp;D950&amp;"*")&gt;0, Sayfa2!$B$1,
 IF(COUNTIF(Sayfa2!$C$2:$C$8, "*"&amp;D950&amp;"*")&gt;0, Sayfa2!$C$1,
 IF(COUNTIF(Sayfa2!$D$2:$D$8,"*"&amp;D950&amp;"*")&gt;0, Sayfa2!$D$1,
 IF(COUNTIF(Sayfa2!$E$2:$E$8, "*"&amp;D950&amp;"*")&gt;0, Sayfa2!$E$1, "Bulunamadı")))))</f>
        <v>PAZARTESİ</v>
      </c>
    </row>
    <row r="951" spans="1:5" hidden="1" x14ac:dyDescent="0.25">
      <c r="A951" t="s">
        <v>2592</v>
      </c>
      <c r="B951" t="s">
        <v>1051</v>
      </c>
      <c r="C951" t="s">
        <v>2591</v>
      </c>
      <c r="D951" s="4" t="s">
        <v>3078</v>
      </c>
      <c r="E951" t="str">
        <f>IF(COUNTIF(Sayfa2!$A$2:$A$8,"*"&amp;D951&amp;"*")&gt;0, Sayfa2!$A$1,
 IF(COUNTIF(Sayfa2!$B$2:$B$8, "*"&amp;D951&amp;"*")&gt;0, Sayfa2!$B$1,
 IF(COUNTIF(Sayfa2!$C$2:$C$8, "*"&amp;D951&amp;"*")&gt;0, Sayfa2!$C$1,
 IF(COUNTIF(Sayfa2!$D$2:$D$8,"*"&amp;D951&amp;"*")&gt;0, Sayfa2!$D$1,
 IF(COUNTIF(Sayfa2!$E$2:$E$8, "*"&amp;D951&amp;"*")&gt;0, Sayfa2!$E$1, "Bulunamadı")))))</f>
        <v>PAZARTESİ</v>
      </c>
    </row>
    <row r="952" spans="1:5" hidden="1" x14ac:dyDescent="0.25">
      <c r="A952" t="s">
        <v>2593</v>
      </c>
      <c r="B952" t="s">
        <v>1052</v>
      </c>
      <c r="C952" t="s">
        <v>2591</v>
      </c>
      <c r="D952" s="4" t="s">
        <v>3078</v>
      </c>
      <c r="E952" t="str">
        <f>IF(COUNTIF(Sayfa2!$A$2:$A$8,"*"&amp;D952&amp;"*")&gt;0, Sayfa2!$A$1,
 IF(COUNTIF(Sayfa2!$B$2:$B$8, "*"&amp;D952&amp;"*")&gt;0, Sayfa2!$B$1,
 IF(COUNTIF(Sayfa2!$C$2:$C$8, "*"&amp;D952&amp;"*")&gt;0, Sayfa2!$C$1,
 IF(COUNTIF(Sayfa2!$D$2:$D$8,"*"&amp;D952&amp;"*")&gt;0, Sayfa2!$D$1,
 IF(COUNTIF(Sayfa2!$E$2:$E$8, "*"&amp;D952&amp;"*")&gt;0, Sayfa2!$E$1, "Bulunamadı")))))</f>
        <v>PAZARTESİ</v>
      </c>
    </row>
    <row r="953" spans="1:5" hidden="1" x14ac:dyDescent="0.25">
      <c r="A953" t="s">
        <v>2594</v>
      </c>
      <c r="B953" t="s">
        <v>1053</v>
      </c>
      <c r="C953" t="s">
        <v>2591</v>
      </c>
      <c r="D953" s="4" t="s">
        <v>3078</v>
      </c>
      <c r="E953" t="str">
        <f>IF(COUNTIF(Sayfa2!$A$2:$A$8,"*"&amp;D953&amp;"*")&gt;0, Sayfa2!$A$1,
 IF(COUNTIF(Sayfa2!$B$2:$B$8, "*"&amp;D953&amp;"*")&gt;0, Sayfa2!$B$1,
 IF(COUNTIF(Sayfa2!$C$2:$C$8, "*"&amp;D953&amp;"*")&gt;0, Sayfa2!$C$1,
 IF(COUNTIF(Sayfa2!$D$2:$D$8,"*"&amp;D953&amp;"*")&gt;0, Sayfa2!$D$1,
 IF(COUNTIF(Sayfa2!$E$2:$E$8, "*"&amp;D953&amp;"*")&gt;0, Sayfa2!$E$1, "Bulunamadı")))))</f>
        <v>PAZARTESİ</v>
      </c>
    </row>
    <row r="954" spans="1:5" hidden="1" x14ac:dyDescent="0.25">
      <c r="A954" t="s">
        <v>2595</v>
      </c>
      <c r="B954" t="s">
        <v>1054</v>
      </c>
      <c r="C954" t="s">
        <v>2591</v>
      </c>
      <c r="D954" s="4" t="s">
        <v>3078</v>
      </c>
      <c r="E954" t="str">
        <f>IF(COUNTIF(Sayfa2!$A$2:$A$8,"*"&amp;D954&amp;"*")&gt;0, Sayfa2!$A$1,
 IF(COUNTIF(Sayfa2!$B$2:$B$8, "*"&amp;D954&amp;"*")&gt;0, Sayfa2!$B$1,
 IF(COUNTIF(Sayfa2!$C$2:$C$8, "*"&amp;D954&amp;"*")&gt;0, Sayfa2!$C$1,
 IF(COUNTIF(Sayfa2!$D$2:$D$8,"*"&amp;D954&amp;"*")&gt;0, Sayfa2!$D$1,
 IF(COUNTIF(Sayfa2!$E$2:$E$8, "*"&amp;D954&amp;"*")&gt;0, Sayfa2!$E$1, "Bulunamadı")))))</f>
        <v>PAZARTESİ</v>
      </c>
    </row>
    <row r="955" spans="1:5" hidden="1" x14ac:dyDescent="0.25">
      <c r="A955" t="s">
        <v>2596</v>
      </c>
      <c r="B955" t="s">
        <v>1055</v>
      </c>
      <c r="C955" t="s">
        <v>2591</v>
      </c>
      <c r="D955" s="4" t="s">
        <v>3078</v>
      </c>
      <c r="E955" t="str">
        <f>IF(COUNTIF(Sayfa2!$A$2:$A$8,"*"&amp;D955&amp;"*")&gt;0, Sayfa2!$A$1,
 IF(COUNTIF(Sayfa2!$B$2:$B$8, "*"&amp;D955&amp;"*")&gt;0, Sayfa2!$B$1,
 IF(COUNTIF(Sayfa2!$C$2:$C$8, "*"&amp;D955&amp;"*")&gt;0, Sayfa2!$C$1,
 IF(COUNTIF(Sayfa2!$D$2:$D$8,"*"&amp;D955&amp;"*")&gt;0, Sayfa2!$D$1,
 IF(COUNTIF(Sayfa2!$E$2:$E$8, "*"&amp;D955&amp;"*")&gt;0, Sayfa2!$E$1, "Bulunamadı")))))</f>
        <v>PAZARTESİ</v>
      </c>
    </row>
    <row r="956" spans="1:5" hidden="1" x14ac:dyDescent="0.25">
      <c r="A956" t="s">
        <v>2597</v>
      </c>
      <c r="B956" t="s">
        <v>1056</v>
      </c>
      <c r="C956" t="s">
        <v>2591</v>
      </c>
      <c r="D956" s="4" t="s">
        <v>3078</v>
      </c>
      <c r="E956" t="str">
        <f>IF(COUNTIF(Sayfa2!$A$2:$A$8,"*"&amp;D956&amp;"*")&gt;0, Sayfa2!$A$1,
 IF(COUNTIF(Sayfa2!$B$2:$B$8, "*"&amp;D956&amp;"*")&gt;0, Sayfa2!$B$1,
 IF(COUNTIF(Sayfa2!$C$2:$C$8, "*"&amp;D956&amp;"*")&gt;0, Sayfa2!$C$1,
 IF(COUNTIF(Sayfa2!$D$2:$D$8,"*"&amp;D956&amp;"*")&gt;0, Sayfa2!$D$1,
 IF(COUNTIF(Sayfa2!$E$2:$E$8, "*"&amp;D956&amp;"*")&gt;0, Sayfa2!$E$1, "Bulunamadı")))))</f>
        <v>PAZARTESİ</v>
      </c>
    </row>
    <row r="957" spans="1:5" hidden="1" x14ac:dyDescent="0.25">
      <c r="A957" t="s">
        <v>2598</v>
      </c>
      <c r="B957" t="s">
        <v>1057</v>
      </c>
      <c r="C957" t="s">
        <v>2591</v>
      </c>
      <c r="D957" s="4" t="s">
        <v>3078</v>
      </c>
      <c r="E957" t="str">
        <f>IF(COUNTIF(Sayfa2!$A$2:$A$8,"*"&amp;D957&amp;"*")&gt;0, Sayfa2!$A$1,
 IF(COUNTIF(Sayfa2!$B$2:$B$8, "*"&amp;D957&amp;"*")&gt;0, Sayfa2!$B$1,
 IF(COUNTIF(Sayfa2!$C$2:$C$8, "*"&amp;D957&amp;"*")&gt;0, Sayfa2!$C$1,
 IF(COUNTIF(Sayfa2!$D$2:$D$8,"*"&amp;D957&amp;"*")&gt;0, Sayfa2!$D$1,
 IF(COUNTIF(Sayfa2!$E$2:$E$8, "*"&amp;D957&amp;"*")&gt;0, Sayfa2!$E$1, "Bulunamadı")))))</f>
        <v>PAZARTESİ</v>
      </c>
    </row>
    <row r="958" spans="1:5" hidden="1" x14ac:dyDescent="0.25">
      <c r="A958" t="s">
        <v>2599</v>
      </c>
      <c r="B958" t="s">
        <v>1058</v>
      </c>
      <c r="C958" t="s">
        <v>2591</v>
      </c>
      <c r="D958" s="4" t="s">
        <v>3078</v>
      </c>
      <c r="E958" t="str">
        <f>IF(COUNTIF(Sayfa2!$A$2:$A$8,"*"&amp;D958&amp;"*")&gt;0, Sayfa2!$A$1,
 IF(COUNTIF(Sayfa2!$B$2:$B$8, "*"&amp;D958&amp;"*")&gt;0, Sayfa2!$B$1,
 IF(COUNTIF(Sayfa2!$C$2:$C$8, "*"&amp;D958&amp;"*")&gt;0, Sayfa2!$C$1,
 IF(COUNTIF(Sayfa2!$D$2:$D$8,"*"&amp;D958&amp;"*")&gt;0, Sayfa2!$D$1,
 IF(COUNTIF(Sayfa2!$E$2:$E$8, "*"&amp;D958&amp;"*")&gt;0, Sayfa2!$E$1, "Bulunamadı")))))</f>
        <v>PAZARTESİ</v>
      </c>
    </row>
    <row r="959" spans="1:5" hidden="1" x14ac:dyDescent="0.25">
      <c r="A959" t="s">
        <v>2600</v>
      </c>
      <c r="B959" t="s">
        <v>1059</v>
      </c>
      <c r="C959" t="s">
        <v>2591</v>
      </c>
      <c r="D959" s="4" t="s">
        <v>3078</v>
      </c>
      <c r="E959" t="str">
        <f>IF(COUNTIF(Sayfa2!$A$2:$A$8,"*"&amp;D959&amp;"*")&gt;0, Sayfa2!$A$1,
 IF(COUNTIF(Sayfa2!$B$2:$B$8, "*"&amp;D959&amp;"*")&gt;0, Sayfa2!$B$1,
 IF(COUNTIF(Sayfa2!$C$2:$C$8, "*"&amp;D959&amp;"*")&gt;0, Sayfa2!$C$1,
 IF(COUNTIF(Sayfa2!$D$2:$D$8,"*"&amp;D959&amp;"*")&gt;0, Sayfa2!$D$1,
 IF(COUNTIF(Sayfa2!$E$2:$E$8, "*"&amp;D959&amp;"*")&gt;0, Sayfa2!$E$1, "Bulunamadı")))))</f>
        <v>PAZARTESİ</v>
      </c>
    </row>
    <row r="960" spans="1:5" hidden="1" x14ac:dyDescent="0.25">
      <c r="A960" t="s">
        <v>2601</v>
      </c>
      <c r="B960" t="s">
        <v>1060</v>
      </c>
      <c r="C960" t="s">
        <v>2591</v>
      </c>
      <c r="D960" s="4" t="s">
        <v>3078</v>
      </c>
      <c r="E960" t="str">
        <f>IF(COUNTIF(Sayfa2!$A$2:$A$8,"*"&amp;D960&amp;"*")&gt;0, Sayfa2!$A$1,
 IF(COUNTIF(Sayfa2!$B$2:$B$8, "*"&amp;D960&amp;"*")&gt;0, Sayfa2!$B$1,
 IF(COUNTIF(Sayfa2!$C$2:$C$8, "*"&amp;D960&amp;"*")&gt;0, Sayfa2!$C$1,
 IF(COUNTIF(Sayfa2!$D$2:$D$8,"*"&amp;D960&amp;"*")&gt;0, Sayfa2!$D$1,
 IF(COUNTIF(Sayfa2!$E$2:$E$8, "*"&amp;D960&amp;"*")&gt;0, Sayfa2!$E$1, "Bulunamadı")))))</f>
        <v>PAZARTESİ</v>
      </c>
    </row>
    <row r="961" spans="1:5" hidden="1" x14ac:dyDescent="0.25">
      <c r="A961" t="s">
        <v>2602</v>
      </c>
      <c r="B961" t="s">
        <v>1061</v>
      </c>
      <c r="C961" t="s">
        <v>2591</v>
      </c>
      <c r="D961" s="4" t="s">
        <v>3078</v>
      </c>
      <c r="E961" t="str">
        <f>IF(COUNTIF(Sayfa2!$A$2:$A$8,"*"&amp;D961&amp;"*")&gt;0, Sayfa2!$A$1,
 IF(COUNTIF(Sayfa2!$B$2:$B$8, "*"&amp;D961&amp;"*")&gt;0, Sayfa2!$B$1,
 IF(COUNTIF(Sayfa2!$C$2:$C$8, "*"&amp;D961&amp;"*")&gt;0, Sayfa2!$C$1,
 IF(COUNTIF(Sayfa2!$D$2:$D$8,"*"&amp;D961&amp;"*")&gt;0, Sayfa2!$D$1,
 IF(COUNTIF(Sayfa2!$E$2:$E$8, "*"&amp;D961&amp;"*")&gt;0, Sayfa2!$E$1, "Bulunamadı")))))</f>
        <v>PAZARTESİ</v>
      </c>
    </row>
    <row r="962" spans="1:5" hidden="1" x14ac:dyDescent="0.25">
      <c r="A962" t="s">
        <v>1898</v>
      </c>
      <c r="B962" t="s">
        <v>1062</v>
      </c>
      <c r="C962" t="s">
        <v>2591</v>
      </c>
      <c r="D962" s="4" t="s">
        <v>3078</v>
      </c>
      <c r="E962" t="str">
        <f>IF(COUNTIF(Sayfa2!$A$2:$A$8,"*"&amp;D962&amp;"*")&gt;0, Sayfa2!$A$1,
 IF(COUNTIF(Sayfa2!$B$2:$B$8, "*"&amp;D962&amp;"*")&gt;0, Sayfa2!$B$1,
 IF(COUNTIF(Sayfa2!$C$2:$C$8, "*"&amp;D962&amp;"*")&gt;0, Sayfa2!$C$1,
 IF(COUNTIF(Sayfa2!$D$2:$D$8,"*"&amp;D962&amp;"*")&gt;0, Sayfa2!$D$1,
 IF(COUNTIF(Sayfa2!$E$2:$E$8, "*"&amp;D962&amp;"*")&gt;0, Sayfa2!$E$1, "Bulunamadı")))))</f>
        <v>PAZARTESİ</v>
      </c>
    </row>
    <row r="963" spans="1:5" hidden="1" x14ac:dyDescent="0.25">
      <c r="A963" t="s">
        <v>2603</v>
      </c>
      <c r="B963" t="s">
        <v>1063</v>
      </c>
      <c r="C963" t="s">
        <v>2591</v>
      </c>
      <c r="D963" s="4" t="s">
        <v>3078</v>
      </c>
      <c r="E963" t="str">
        <f>IF(COUNTIF(Sayfa2!$A$2:$A$8,"*"&amp;D963&amp;"*")&gt;0, Sayfa2!$A$1,
 IF(COUNTIF(Sayfa2!$B$2:$B$8, "*"&amp;D963&amp;"*")&gt;0, Sayfa2!$B$1,
 IF(COUNTIF(Sayfa2!$C$2:$C$8, "*"&amp;D963&amp;"*")&gt;0, Sayfa2!$C$1,
 IF(COUNTIF(Sayfa2!$D$2:$D$8,"*"&amp;D963&amp;"*")&gt;0, Sayfa2!$D$1,
 IF(COUNTIF(Sayfa2!$E$2:$E$8, "*"&amp;D963&amp;"*")&gt;0, Sayfa2!$E$1, "Bulunamadı")))))</f>
        <v>PAZARTESİ</v>
      </c>
    </row>
    <row r="964" spans="1:5" hidden="1" x14ac:dyDescent="0.25">
      <c r="A964" t="s">
        <v>2604</v>
      </c>
      <c r="B964" t="s">
        <v>1064</v>
      </c>
      <c r="C964" t="s">
        <v>2591</v>
      </c>
      <c r="D964" s="4" t="s">
        <v>3078</v>
      </c>
      <c r="E964" t="str">
        <f>IF(COUNTIF(Sayfa2!$A$2:$A$8,"*"&amp;D964&amp;"*")&gt;0, Sayfa2!$A$1,
 IF(COUNTIF(Sayfa2!$B$2:$B$8, "*"&amp;D964&amp;"*")&gt;0, Sayfa2!$B$1,
 IF(COUNTIF(Sayfa2!$C$2:$C$8, "*"&amp;D964&amp;"*")&gt;0, Sayfa2!$C$1,
 IF(COUNTIF(Sayfa2!$D$2:$D$8,"*"&amp;D964&amp;"*")&gt;0, Sayfa2!$D$1,
 IF(COUNTIF(Sayfa2!$E$2:$E$8, "*"&amp;D964&amp;"*")&gt;0, Sayfa2!$E$1, "Bulunamadı")))))</f>
        <v>PAZARTESİ</v>
      </c>
    </row>
    <row r="965" spans="1:5" hidden="1" x14ac:dyDescent="0.25">
      <c r="A965" t="s">
        <v>2605</v>
      </c>
      <c r="B965" t="s">
        <v>1065</v>
      </c>
      <c r="C965" t="s">
        <v>2591</v>
      </c>
      <c r="D965" s="4" t="s">
        <v>3078</v>
      </c>
      <c r="E965" t="str">
        <f>IF(COUNTIF(Sayfa2!$A$2:$A$8,"*"&amp;D965&amp;"*")&gt;0, Sayfa2!$A$1,
 IF(COUNTIF(Sayfa2!$B$2:$B$8, "*"&amp;D965&amp;"*")&gt;0, Sayfa2!$B$1,
 IF(COUNTIF(Sayfa2!$C$2:$C$8, "*"&amp;D965&amp;"*")&gt;0, Sayfa2!$C$1,
 IF(COUNTIF(Sayfa2!$D$2:$D$8,"*"&amp;D965&amp;"*")&gt;0, Sayfa2!$D$1,
 IF(COUNTIF(Sayfa2!$E$2:$E$8, "*"&amp;D965&amp;"*")&gt;0, Sayfa2!$E$1, "Bulunamadı")))))</f>
        <v>PAZARTESİ</v>
      </c>
    </row>
    <row r="966" spans="1:5" hidden="1" x14ac:dyDescent="0.25">
      <c r="A966" t="s">
        <v>2606</v>
      </c>
      <c r="B966" t="s">
        <v>1066</v>
      </c>
      <c r="C966" t="s">
        <v>2591</v>
      </c>
      <c r="D966" s="4" t="s">
        <v>3078</v>
      </c>
      <c r="E966" t="str">
        <f>IF(COUNTIF(Sayfa2!$A$2:$A$8,"*"&amp;D966&amp;"*")&gt;0, Sayfa2!$A$1,
 IF(COUNTIF(Sayfa2!$B$2:$B$8, "*"&amp;D966&amp;"*")&gt;0, Sayfa2!$B$1,
 IF(COUNTIF(Sayfa2!$C$2:$C$8, "*"&amp;D966&amp;"*")&gt;0, Sayfa2!$C$1,
 IF(COUNTIF(Sayfa2!$D$2:$D$8,"*"&amp;D966&amp;"*")&gt;0, Sayfa2!$D$1,
 IF(COUNTIF(Sayfa2!$E$2:$E$8, "*"&amp;D966&amp;"*")&gt;0, Sayfa2!$E$1, "Bulunamadı")))))</f>
        <v>PAZARTESİ</v>
      </c>
    </row>
    <row r="967" spans="1:5" hidden="1" x14ac:dyDescent="0.25">
      <c r="A967" t="s">
        <v>2607</v>
      </c>
      <c r="B967" t="s">
        <v>1067</v>
      </c>
      <c r="C967" t="s">
        <v>2591</v>
      </c>
      <c r="D967" s="4" t="s">
        <v>3078</v>
      </c>
      <c r="E967" t="str">
        <f>IF(COUNTIF(Sayfa2!$A$2:$A$8,"*"&amp;D967&amp;"*")&gt;0, Sayfa2!$A$1,
 IF(COUNTIF(Sayfa2!$B$2:$B$8, "*"&amp;D967&amp;"*")&gt;0, Sayfa2!$B$1,
 IF(COUNTIF(Sayfa2!$C$2:$C$8, "*"&amp;D967&amp;"*")&gt;0, Sayfa2!$C$1,
 IF(COUNTIF(Sayfa2!$D$2:$D$8,"*"&amp;D967&amp;"*")&gt;0, Sayfa2!$D$1,
 IF(COUNTIF(Sayfa2!$E$2:$E$8, "*"&amp;D967&amp;"*")&gt;0, Sayfa2!$E$1, "Bulunamadı")))))</f>
        <v>PAZARTESİ</v>
      </c>
    </row>
    <row r="968" spans="1:5" hidden="1" x14ac:dyDescent="0.25">
      <c r="A968" t="s">
        <v>2608</v>
      </c>
      <c r="B968" t="s">
        <v>1068</v>
      </c>
      <c r="C968" t="s">
        <v>2591</v>
      </c>
      <c r="D968" s="4" t="s">
        <v>3078</v>
      </c>
      <c r="E968" t="str">
        <f>IF(COUNTIF(Sayfa2!$A$2:$A$8,"*"&amp;D968&amp;"*")&gt;0, Sayfa2!$A$1,
 IF(COUNTIF(Sayfa2!$B$2:$B$8, "*"&amp;D968&amp;"*")&gt;0, Sayfa2!$B$1,
 IF(COUNTIF(Sayfa2!$C$2:$C$8, "*"&amp;D968&amp;"*")&gt;0, Sayfa2!$C$1,
 IF(COUNTIF(Sayfa2!$D$2:$D$8,"*"&amp;D968&amp;"*")&gt;0, Sayfa2!$D$1,
 IF(COUNTIF(Sayfa2!$E$2:$E$8, "*"&amp;D968&amp;"*")&gt;0, Sayfa2!$E$1, "Bulunamadı")))))</f>
        <v>PAZARTESİ</v>
      </c>
    </row>
    <row r="969" spans="1:5" hidden="1" x14ac:dyDescent="0.25">
      <c r="A969" t="s">
        <v>2609</v>
      </c>
      <c r="B969" t="s">
        <v>1069</v>
      </c>
      <c r="C969" t="s">
        <v>2591</v>
      </c>
      <c r="D969" s="4" t="s">
        <v>3078</v>
      </c>
      <c r="E969" t="str">
        <f>IF(COUNTIF(Sayfa2!$A$2:$A$8,"*"&amp;D969&amp;"*")&gt;0, Sayfa2!$A$1,
 IF(COUNTIF(Sayfa2!$B$2:$B$8, "*"&amp;D969&amp;"*")&gt;0, Sayfa2!$B$1,
 IF(COUNTIF(Sayfa2!$C$2:$C$8, "*"&amp;D969&amp;"*")&gt;0, Sayfa2!$C$1,
 IF(COUNTIF(Sayfa2!$D$2:$D$8,"*"&amp;D969&amp;"*")&gt;0, Sayfa2!$D$1,
 IF(COUNTIF(Sayfa2!$E$2:$E$8, "*"&amp;D969&amp;"*")&gt;0, Sayfa2!$E$1, "Bulunamadı")))))</f>
        <v>PAZARTESİ</v>
      </c>
    </row>
    <row r="970" spans="1:5" hidden="1" x14ac:dyDescent="0.25">
      <c r="A970" t="s">
        <v>2610</v>
      </c>
      <c r="B970" t="s">
        <v>1070</v>
      </c>
      <c r="C970" t="s">
        <v>2591</v>
      </c>
      <c r="D970" s="4" t="s">
        <v>3078</v>
      </c>
      <c r="E970" t="str">
        <f>IF(COUNTIF(Sayfa2!$A$2:$A$8,"*"&amp;D970&amp;"*")&gt;0, Sayfa2!$A$1,
 IF(COUNTIF(Sayfa2!$B$2:$B$8, "*"&amp;D970&amp;"*")&gt;0, Sayfa2!$B$1,
 IF(COUNTIF(Sayfa2!$C$2:$C$8, "*"&amp;D970&amp;"*")&gt;0, Sayfa2!$C$1,
 IF(COUNTIF(Sayfa2!$D$2:$D$8,"*"&amp;D970&amp;"*")&gt;0, Sayfa2!$D$1,
 IF(COUNTIF(Sayfa2!$E$2:$E$8, "*"&amp;D970&amp;"*")&gt;0, Sayfa2!$E$1, "Bulunamadı")))))</f>
        <v>PAZARTESİ</v>
      </c>
    </row>
    <row r="971" spans="1:5" hidden="1" x14ac:dyDescent="0.25">
      <c r="A971" t="s">
        <v>2611</v>
      </c>
      <c r="B971" t="s">
        <v>1071</v>
      </c>
      <c r="C971" t="s">
        <v>2591</v>
      </c>
      <c r="D971" s="4" t="s">
        <v>3078</v>
      </c>
      <c r="E971" t="str">
        <f>IF(COUNTIF(Sayfa2!$A$2:$A$8,"*"&amp;D971&amp;"*")&gt;0, Sayfa2!$A$1,
 IF(COUNTIF(Sayfa2!$B$2:$B$8, "*"&amp;D971&amp;"*")&gt;0, Sayfa2!$B$1,
 IF(COUNTIF(Sayfa2!$C$2:$C$8, "*"&amp;D971&amp;"*")&gt;0, Sayfa2!$C$1,
 IF(COUNTIF(Sayfa2!$D$2:$D$8,"*"&amp;D971&amp;"*")&gt;0, Sayfa2!$D$1,
 IF(COUNTIF(Sayfa2!$E$2:$E$8, "*"&amp;D971&amp;"*")&gt;0, Sayfa2!$E$1, "Bulunamadı")))))</f>
        <v>PAZARTESİ</v>
      </c>
    </row>
    <row r="972" spans="1:5" hidden="1" x14ac:dyDescent="0.25">
      <c r="A972" t="s">
        <v>2612</v>
      </c>
      <c r="B972" t="s">
        <v>1072</v>
      </c>
      <c r="C972" t="s">
        <v>2591</v>
      </c>
      <c r="D972" s="4" t="s">
        <v>3078</v>
      </c>
      <c r="E972" t="str">
        <f>IF(COUNTIF(Sayfa2!$A$2:$A$8,"*"&amp;D972&amp;"*")&gt;0, Sayfa2!$A$1,
 IF(COUNTIF(Sayfa2!$B$2:$B$8, "*"&amp;D972&amp;"*")&gt;0, Sayfa2!$B$1,
 IF(COUNTIF(Sayfa2!$C$2:$C$8, "*"&amp;D972&amp;"*")&gt;0, Sayfa2!$C$1,
 IF(COUNTIF(Sayfa2!$D$2:$D$8,"*"&amp;D972&amp;"*")&gt;0, Sayfa2!$D$1,
 IF(COUNTIF(Sayfa2!$E$2:$E$8, "*"&amp;D972&amp;"*")&gt;0, Sayfa2!$E$1, "Bulunamadı")))))</f>
        <v>PAZARTESİ</v>
      </c>
    </row>
    <row r="973" spans="1:5" hidden="1" x14ac:dyDescent="0.25">
      <c r="A973" t="s">
        <v>2613</v>
      </c>
      <c r="B973" t="s">
        <v>1073</v>
      </c>
      <c r="C973" t="s">
        <v>2591</v>
      </c>
      <c r="D973" s="4" t="s">
        <v>3078</v>
      </c>
      <c r="E973" t="str">
        <f>IF(COUNTIF(Sayfa2!$A$2:$A$8,"*"&amp;D973&amp;"*")&gt;0, Sayfa2!$A$1,
 IF(COUNTIF(Sayfa2!$B$2:$B$8, "*"&amp;D973&amp;"*")&gt;0, Sayfa2!$B$1,
 IF(COUNTIF(Sayfa2!$C$2:$C$8, "*"&amp;D973&amp;"*")&gt;0, Sayfa2!$C$1,
 IF(COUNTIF(Sayfa2!$D$2:$D$8,"*"&amp;D973&amp;"*")&gt;0, Sayfa2!$D$1,
 IF(COUNTIF(Sayfa2!$E$2:$E$8, "*"&amp;D973&amp;"*")&gt;0, Sayfa2!$E$1, "Bulunamadı")))))</f>
        <v>PAZARTESİ</v>
      </c>
    </row>
    <row r="974" spans="1:5" hidden="1" x14ac:dyDescent="0.25">
      <c r="A974" t="s">
        <v>2614</v>
      </c>
      <c r="B974" t="s">
        <v>1074</v>
      </c>
      <c r="C974" t="s">
        <v>2591</v>
      </c>
      <c r="D974" s="4" t="s">
        <v>3078</v>
      </c>
      <c r="E974" t="str">
        <f>IF(COUNTIF(Sayfa2!$A$2:$A$8,"*"&amp;D974&amp;"*")&gt;0, Sayfa2!$A$1,
 IF(COUNTIF(Sayfa2!$B$2:$B$8, "*"&amp;D974&amp;"*")&gt;0, Sayfa2!$B$1,
 IF(COUNTIF(Sayfa2!$C$2:$C$8, "*"&amp;D974&amp;"*")&gt;0, Sayfa2!$C$1,
 IF(COUNTIF(Sayfa2!$D$2:$D$8,"*"&amp;D974&amp;"*")&gt;0, Sayfa2!$D$1,
 IF(COUNTIF(Sayfa2!$E$2:$E$8, "*"&amp;D974&amp;"*")&gt;0, Sayfa2!$E$1, "Bulunamadı")))))</f>
        <v>PAZARTESİ</v>
      </c>
    </row>
    <row r="975" spans="1:5" hidden="1" x14ac:dyDescent="0.25">
      <c r="A975" t="s">
        <v>2615</v>
      </c>
      <c r="B975" t="s">
        <v>1075</v>
      </c>
      <c r="C975" t="s">
        <v>2591</v>
      </c>
      <c r="D975" s="4" t="s">
        <v>3078</v>
      </c>
      <c r="E975" t="str">
        <f>IF(COUNTIF(Sayfa2!$A$2:$A$8,"*"&amp;D975&amp;"*")&gt;0, Sayfa2!$A$1,
 IF(COUNTIF(Sayfa2!$B$2:$B$8, "*"&amp;D975&amp;"*")&gt;0, Sayfa2!$B$1,
 IF(COUNTIF(Sayfa2!$C$2:$C$8, "*"&amp;D975&amp;"*")&gt;0, Sayfa2!$C$1,
 IF(COUNTIF(Sayfa2!$D$2:$D$8,"*"&amp;D975&amp;"*")&gt;0, Sayfa2!$D$1,
 IF(COUNTIF(Sayfa2!$E$2:$E$8, "*"&amp;D975&amp;"*")&gt;0, Sayfa2!$E$1, "Bulunamadı")))))</f>
        <v>PAZARTESİ</v>
      </c>
    </row>
    <row r="976" spans="1:5" hidden="1" x14ac:dyDescent="0.25">
      <c r="A976" t="s">
        <v>2616</v>
      </c>
      <c r="B976" t="s">
        <v>1076</v>
      </c>
      <c r="C976" t="s">
        <v>2591</v>
      </c>
      <c r="D976" s="4" t="s">
        <v>3078</v>
      </c>
      <c r="E976" t="str">
        <f>IF(COUNTIF(Sayfa2!$A$2:$A$8,"*"&amp;D976&amp;"*")&gt;0, Sayfa2!$A$1,
 IF(COUNTIF(Sayfa2!$B$2:$B$8, "*"&amp;D976&amp;"*")&gt;0, Sayfa2!$B$1,
 IF(COUNTIF(Sayfa2!$C$2:$C$8, "*"&amp;D976&amp;"*")&gt;0, Sayfa2!$C$1,
 IF(COUNTIF(Sayfa2!$D$2:$D$8,"*"&amp;D976&amp;"*")&gt;0, Sayfa2!$D$1,
 IF(COUNTIF(Sayfa2!$E$2:$E$8, "*"&amp;D976&amp;"*")&gt;0, Sayfa2!$E$1, "Bulunamadı")))))</f>
        <v>PAZARTESİ</v>
      </c>
    </row>
    <row r="977" spans="1:5" hidden="1" x14ac:dyDescent="0.25">
      <c r="A977" t="s">
        <v>2617</v>
      </c>
      <c r="B977" t="s">
        <v>1077</v>
      </c>
      <c r="C977" t="s">
        <v>2591</v>
      </c>
      <c r="D977" s="4" t="s">
        <v>3078</v>
      </c>
      <c r="E977" t="str">
        <f>IF(COUNTIF(Sayfa2!$A$2:$A$8,"*"&amp;D977&amp;"*")&gt;0, Sayfa2!$A$1,
 IF(COUNTIF(Sayfa2!$B$2:$B$8, "*"&amp;D977&amp;"*")&gt;0, Sayfa2!$B$1,
 IF(COUNTIF(Sayfa2!$C$2:$C$8, "*"&amp;D977&amp;"*")&gt;0, Sayfa2!$C$1,
 IF(COUNTIF(Sayfa2!$D$2:$D$8,"*"&amp;D977&amp;"*")&gt;0, Sayfa2!$D$1,
 IF(COUNTIF(Sayfa2!$E$2:$E$8, "*"&amp;D977&amp;"*")&gt;0, Sayfa2!$E$1, "Bulunamadı")))))</f>
        <v>PAZARTESİ</v>
      </c>
    </row>
    <row r="978" spans="1:5" hidden="1" x14ac:dyDescent="0.25">
      <c r="A978" t="s">
        <v>2618</v>
      </c>
      <c r="B978" t="s">
        <v>1078</v>
      </c>
      <c r="C978" t="s">
        <v>2591</v>
      </c>
      <c r="D978" s="4" t="s">
        <v>3078</v>
      </c>
      <c r="E978" t="str">
        <f>IF(COUNTIF(Sayfa2!$A$2:$A$8,"*"&amp;D978&amp;"*")&gt;0, Sayfa2!$A$1,
 IF(COUNTIF(Sayfa2!$B$2:$B$8, "*"&amp;D978&amp;"*")&gt;0, Sayfa2!$B$1,
 IF(COUNTIF(Sayfa2!$C$2:$C$8, "*"&amp;D978&amp;"*")&gt;0, Sayfa2!$C$1,
 IF(COUNTIF(Sayfa2!$D$2:$D$8,"*"&amp;D978&amp;"*")&gt;0, Sayfa2!$D$1,
 IF(COUNTIF(Sayfa2!$E$2:$E$8, "*"&amp;D978&amp;"*")&gt;0, Sayfa2!$E$1, "Bulunamadı")))))</f>
        <v>PAZARTESİ</v>
      </c>
    </row>
    <row r="979" spans="1:5" hidden="1" x14ac:dyDescent="0.25">
      <c r="A979" t="s">
        <v>2619</v>
      </c>
      <c r="B979" t="s">
        <v>1079</v>
      </c>
      <c r="C979" t="s">
        <v>2591</v>
      </c>
      <c r="D979" s="4" t="s">
        <v>3078</v>
      </c>
      <c r="E979" t="str">
        <f>IF(COUNTIF(Sayfa2!$A$2:$A$8,"*"&amp;D979&amp;"*")&gt;0, Sayfa2!$A$1,
 IF(COUNTIF(Sayfa2!$B$2:$B$8, "*"&amp;D979&amp;"*")&gt;0, Sayfa2!$B$1,
 IF(COUNTIF(Sayfa2!$C$2:$C$8, "*"&amp;D979&amp;"*")&gt;0, Sayfa2!$C$1,
 IF(COUNTIF(Sayfa2!$D$2:$D$8,"*"&amp;D979&amp;"*")&gt;0, Sayfa2!$D$1,
 IF(COUNTIF(Sayfa2!$E$2:$E$8, "*"&amp;D979&amp;"*")&gt;0, Sayfa2!$E$1, "Bulunamadı")))))</f>
        <v>PAZARTESİ</v>
      </c>
    </row>
    <row r="980" spans="1:5" hidden="1" x14ac:dyDescent="0.25">
      <c r="A980" t="s">
        <v>2364</v>
      </c>
      <c r="B980" t="s">
        <v>1080</v>
      </c>
      <c r="C980" t="s">
        <v>2591</v>
      </c>
      <c r="D980" s="4" t="s">
        <v>3078</v>
      </c>
      <c r="E980" t="str">
        <f>IF(COUNTIF(Sayfa2!$A$2:$A$8,"*"&amp;D980&amp;"*")&gt;0, Sayfa2!$A$1,
 IF(COUNTIF(Sayfa2!$B$2:$B$8, "*"&amp;D980&amp;"*")&gt;0, Sayfa2!$B$1,
 IF(COUNTIF(Sayfa2!$C$2:$C$8, "*"&amp;D980&amp;"*")&gt;0, Sayfa2!$C$1,
 IF(COUNTIF(Sayfa2!$D$2:$D$8,"*"&amp;D980&amp;"*")&gt;0, Sayfa2!$D$1,
 IF(COUNTIF(Sayfa2!$E$2:$E$8, "*"&amp;D980&amp;"*")&gt;0, Sayfa2!$E$1, "Bulunamadı")))))</f>
        <v>PAZARTESİ</v>
      </c>
    </row>
    <row r="981" spans="1:5" hidden="1" x14ac:dyDescent="0.25">
      <c r="A981" t="s">
        <v>2620</v>
      </c>
      <c r="B981" t="s">
        <v>1081</v>
      </c>
      <c r="C981" t="s">
        <v>2591</v>
      </c>
      <c r="D981" s="4" t="s">
        <v>3078</v>
      </c>
      <c r="E981" t="str">
        <f>IF(COUNTIF(Sayfa2!$A$2:$A$8,"*"&amp;D981&amp;"*")&gt;0, Sayfa2!$A$1,
 IF(COUNTIF(Sayfa2!$B$2:$B$8, "*"&amp;D981&amp;"*")&gt;0, Sayfa2!$B$1,
 IF(COUNTIF(Sayfa2!$C$2:$C$8, "*"&amp;D981&amp;"*")&gt;0, Sayfa2!$C$1,
 IF(COUNTIF(Sayfa2!$D$2:$D$8,"*"&amp;D981&amp;"*")&gt;0, Sayfa2!$D$1,
 IF(COUNTIF(Sayfa2!$E$2:$E$8, "*"&amp;D981&amp;"*")&gt;0, Sayfa2!$E$1, "Bulunamadı")))))</f>
        <v>PAZARTESİ</v>
      </c>
    </row>
    <row r="982" spans="1:5" hidden="1" x14ac:dyDescent="0.25">
      <c r="A982" t="s">
        <v>2621</v>
      </c>
      <c r="B982" t="s">
        <v>1082</v>
      </c>
      <c r="C982" t="s">
        <v>2591</v>
      </c>
      <c r="D982" s="4" t="s">
        <v>3078</v>
      </c>
      <c r="E982" t="str">
        <f>IF(COUNTIF(Sayfa2!$A$2:$A$8,"*"&amp;D982&amp;"*")&gt;0, Sayfa2!$A$1,
 IF(COUNTIF(Sayfa2!$B$2:$B$8, "*"&amp;D982&amp;"*")&gt;0, Sayfa2!$B$1,
 IF(COUNTIF(Sayfa2!$C$2:$C$8, "*"&amp;D982&amp;"*")&gt;0, Sayfa2!$C$1,
 IF(COUNTIF(Sayfa2!$D$2:$D$8,"*"&amp;D982&amp;"*")&gt;0, Sayfa2!$D$1,
 IF(COUNTIF(Sayfa2!$E$2:$E$8, "*"&amp;D982&amp;"*")&gt;0, Sayfa2!$E$1, "Bulunamadı")))))</f>
        <v>PAZARTESİ</v>
      </c>
    </row>
    <row r="983" spans="1:5" hidden="1" x14ac:dyDescent="0.25">
      <c r="A983" t="s">
        <v>2622</v>
      </c>
      <c r="B983" t="s">
        <v>1083</v>
      </c>
      <c r="C983" t="s">
        <v>2591</v>
      </c>
      <c r="D983" s="4" t="s">
        <v>3078</v>
      </c>
      <c r="E983" t="str">
        <f>IF(COUNTIF(Sayfa2!$A$2:$A$8,"*"&amp;D983&amp;"*")&gt;0, Sayfa2!$A$1,
 IF(COUNTIF(Sayfa2!$B$2:$B$8, "*"&amp;D983&amp;"*")&gt;0, Sayfa2!$B$1,
 IF(COUNTIF(Sayfa2!$C$2:$C$8, "*"&amp;D983&amp;"*")&gt;0, Sayfa2!$C$1,
 IF(COUNTIF(Sayfa2!$D$2:$D$8,"*"&amp;D983&amp;"*")&gt;0, Sayfa2!$D$1,
 IF(COUNTIF(Sayfa2!$E$2:$E$8, "*"&amp;D983&amp;"*")&gt;0, Sayfa2!$E$1, "Bulunamadı")))))</f>
        <v>PAZARTESİ</v>
      </c>
    </row>
    <row r="984" spans="1:5" hidden="1" x14ac:dyDescent="0.25">
      <c r="A984" t="s">
        <v>2623</v>
      </c>
      <c r="B984" t="s">
        <v>1084</v>
      </c>
      <c r="C984" t="s">
        <v>2591</v>
      </c>
      <c r="D984" s="4" t="s">
        <v>3078</v>
      </c>
      <c r="E984" t="str">
        <f>IF(COUNTIF(Sayfa2!$A$2:$A$8,"*"&amp;D984&amp;"*")&gt;0, Sayfa2!$A$1,
 IF(COUNTIF(Sayfa2!$B$2:$B$8, "*"&amp;D984&amp;"*")&gt;0, Sayfa2!$B$1,
 IF(COUNTIF(Sayfa2!$C$2:$C$8, "*"&amp;D984&amp;"*")&gt;0, Sayfa2!$C$1,
 IF(COUNTIF(Sayfa2!$D$2:$D$8,"*"&amp;D984&amp;"*")&gt;0, Sayfa2!$D$1,
 IF(COUNTIF(Sayfa2!$E$2:$E$8, "*"&amp;D984&amp;"*")&gt;0, Sayfa2!$E$1, "Bulunamadı")))))</f>
        <v>PAZARTESİ</v>
      </c>
    </row>
    <row r="985" spans="1:5" hidden="1" x14ac:dyDescent="0.25">
      <c r="A985" t="s">
        <v>2624</v>
      </c>
      <c r="B985" t="s">
        <v>1085</v>
      </c>
      <c r="C985" t="s">
        <v>2591</v>
      </c>
      <c r="D985" s="4" t="s">
        <v>3078</v>
      </c>
      <c r="E985" t="str">
        <f>IF(COUNTIF(Sayfa2!$A$2:$A$8,"*"&amp;D985&amp;"*")&gt;0, Sayfa2!$A$1,
 IF(COUNTIF(Sayfa2!$B$2:$B$8, "*"&amp;D985&amp;"*")&gt;0, Sayfa2!$B$1,
 IF(COUNTIF(Sayfa2!$C$2:$C$8, "*"&amp;D985&amp;"*")&gt;0, Sayfa2!$C$1,
 IF(COUNTIF(Sayfa2!$D$2:$D$8,"*"&amp;D985&amp;"*")&gt;0, Sayfa2!$D$1,
 IF(COUNTIF(Sayfa2!$E$2:$E$8, "*"&amp;D985&amp;"*")&gt;0, Sayfa2!$E$1, "Bulunamadı")))))</f>
        <v>PAZARTESİ</v>
      </c>
    </row>
    <row r="986" spans="1:5" hidden="1" x14ac:dyDescent="0.25">
      <c r="A986" t="s">
        <v>2625</v>
      </c>
      <c r="B986" t="s">
        <v>1086</v>
      </c>
      <c r="C986" t="s">
        <v>2591</v>
      </c>
      <c r="D986" s="4" t="s">
        <v>3078</v>
      </c>
      <c r="E986" t="str">
        <f>IF(COUNTIF(Sayfa2!$A$2:$A$8,"*"&amp;D986&amp;"*")&gt;0, Sayfa2!$A$1,
 IF(COUNTIF(Sayfa2!$B$2:$B$8, "*"&amp;D986&amp;"*")&gt;0, Sayfa2!$B$1,
 IF(COUNTIF(Sayfa2!$C$2:$C$8, "*"&amp;D986&amp;"*")&gt;0, Sayfa2!$C$1,
 IF(COUNTIF(Sayfa2!$D$2:$D$8,"*"&amp;D986&amp;"*")&gt;0, Sayfa2!$D$1,
 IF(COUNTIF(Sayfa2!$E$2:$E$8, "*"&amp;D986&amp;"*")&gt;0, Sayfa2!$E$1, "Bulunamadı")))))</f>
        <v>PAZARTESİ</v>
      </c>
    </row>
    <row r="987" spans="1:5" hidden="1" x14ac:dyDescent="0.25">
      <c r="A987" t="s">
        <v>2626</v>
      </c>
      <c r="B987" t="s">
        <v>1087</v>
      </c>
      <c r="C987" t="s">
        <v>2591</v>
      </c>
      <c r="D987" s="4" t="s">
        <v>3078</v>
      </c>
      <c r="E987" t="str">
        <f>IF(COUNTIF(Sayfa2!$A$2:$A$8,"*"&amp;D987&amp;"*")&gt;0, Sayfa2!$A$1,
 IF(COUNTIF(Sayfa2!$B$2:$B$8, "*"&amp;D987&amp;"*")&gt;0, Sayfa2!$B$1,
 IF(COUNTIF(Sayfa2!$C$2:$C$8, "*"&amp;D987&amp;"*")&gt;0, Sayfa2!$C$1,
 IF(COUNTIF(Sayfa2!$D$2:$D$8,"*"&amp;D987&amp;"*")&gt;0, Sayfa2!$D$1,
 IF(COUNTIF(Sayfa2!$E$2:$E$8, "*"&amp;D987&amp;"*")&gt;0, Sayfa2!$E$1, "Bulunamadı")))))</f>
        <v>PAZARTESİ</v>
      </c>
    </row>
    <row r="988" spans="1:5" hidden="1" x14ac:dyDescent="0.25">
      <c r="A988" t="s">
        <v>2627</v>
      </c>
      <c r="B988" t="s">
        <v>1088</v>
      </c>
      <c r="C988" t="s">
        <v>2591</v>
      </c>
      <c r="D988" s="4" t="s">
        <v>3078</v>
      </c>
      <c r="E988" t="str">
        <f>IF(COUNTIF(Sayfa2!$A$2:$A$8,"*"&amp;D988&amp;"*")&gt;0, Sayfa2!$A$1,
 IF(COUNTIF(Sayfa2!$B$2:$B$8, "*"&amp;D988&amp;"*")&gt;0, Sayfa2!$B$1,
 IF(COUNTIF(Sayfa2!$C$2:$C$8, "*"&amp;D988&amp;"*")&gt;0, Sayfa2!$C$1,
 IF(COUNTIF(Sayfa2!$D$2:$D$8,"*"&amp;D988&amp;"*")&gt;0, Sayfa2!$D$1,
 IF(COUNTIF(Sayfa2!$E$2:$E$8, "*"&amp;D988&amp;"*")&gt;0, Sayfa2!$E$1, "Bulunamadı")))))</f>
        <v>PAZARTESİ</v>
      </c>
    </row>
    <row r="989" spans="1:5" hidden="1" x14ac:dyDescent="0.25">
      <c r="A989" t="s">
        <v>2628</v>
      </c>
      <c r="B989" t="s">
        <v>1089</v>
      </c>
      <c r="C989" t="s">
        <v>2591</v>
      </c>
      <c r="D989" s="4" t="s">
        <v>3078</v>
      </c>
      <c r="E989" t="str">
        <f>IF(COUNTIF(Sayfa2!$A$2:$A$8,"*"&amp;D989&amp;"*")&gt;0, Sayfa2!$A$1,
 IF(COUNTIF(Sayfa2!$B$2:$B$8, "*"&amp;D989&amp;"*")&gt;0, Sayfa2!$B$1,
 IF(COUNTIF(Sayfa2!$C$2:$C$8, "*"&amp;D989&amp;"*")&gt;0, Sayfa2!$C$1,
 IF(COUNTIF(Sayfa2!$D$2:$D$8,"*"&amp;D989&amp;"*")&gt;0, Sayfa2!$D$1,
 IF(COUNTIF(Sayfa2!$E$2:$E$8, "*"&amp;D989&amp;"*")&gt;0, Sayfa2!$E$1, "Bulunamadı")))))</f>
        <v>PAZARTESİ</v>
      </c>
    </row>
    <row r="990" spans="1:5" hidden="1" x14ac:dyDescent="0.25">
      <c r="A990" t="s">
        <v>2629</v>
      </c>
      <c r="B990" t="s">
        <v>1090</v>
      </c>
      <c r="C990" t="s">
        <v>2591</v>
      </c>
      <c r="D990" s="4" t="s">
        <v>3078</v>
      </c>
      <c r="E990" t="str">
        <f>IF(COUNTIF(Sayfa2!$A$2:$A$8,"*"&amp;D990&amp;"*")&gt;0, Sayfa2!$A$1,
 IF(COUNTIF(Sayfa2!$B$2:$B$8, "*"&amp;D990&amp;"*")&gt;0, Sayfa2!$B$1,
 IF(COUNTIF(Sayfa2!$C$2:$C$8, "*"&amp;D990&amp;"*")&gt;0, Sayfa2!$C$1,
 IF(COUNTIF(Sayfa2!$D$2:$D$8,"*"&amp;D990&amp;"*")&gt;0, Sayfa2!$D$1,
 IF(COUNTIF(Sayfa2!$E$2:$E$8, "*"&amp;D990&amp;"*")&gt;0, Sayfa2!$E$1, "Bulunamadı")))))</f>
        <v>PAZARTESİ</v>
      </c>
    </row>
    <row r="991" spans="1:5" hidden="1" x14ac:dyDescent="0.25">
      <c r="A991" t="s">
        <v>2630</v>
      </c>
      <c r="B991" t="s">
        <v>1091</v>
      </c>
      <c r="C991" t="s">
        <v>2631</v>
      </c>
      <c r="D991" s="4" t="s">
        <v>3083</v>
      </c>
      <c r="E991" t="str">
        <f>IF(COUNTIF(Sayfa2!$A$2:$A$8,"*"&amp;D991&amp;"*")&gt;0, Sayfa2!$A$1,
 IF(COUNTIF(Sayfa2!$B$2:$B$8, "*"&amp;D991&amp;"*")&gt;0, Sayfa2!$B$1,
 IF(COUNTIF(Sayfa2!$C$2:$C$8, "*"&amp;D991&amp;"*")&gt;0, Sayfa2!$C$1,
 IF(COUNTIF(Sayfa2!$D$2:$D$8,"*"&amp;D991&amp;"*")&gt;0, Sayfa2!$D$1,
 IF(COUNTIF(Sayfa2!$E$2:$E$8, "*"&amp;D991&amp;"*")&gt;0, Sayfa2!$E$1, "Bulunamadı")))))</f>
        <v>PAZARTESİ</v>
      </c>
    </row>
    <row r="992" spans="1:5" hidden="1" x14ac:dyDescent="0.25">
      <c r="A992" t="s">
        <v>2632</v>
      </c>
      <c r="B992" t="s">
        <v>1092</v>
      </c>
      <c r="C992" t="s">
        <v>2631</v>
      </c>
      <c r="D992" s="4" t="s">
        <v>3083</v>
      </c>
      <c r="E992" t="str">
        <f>IF(COUNTIF(Sayfa2!$A$2:$A$8,"*"&amp;D992&amp;"*")&gt;0, Sayfa2!$A$1,
 IF(COUNTIF(Sayfa2!$B$2:$B$8, "*"&amp;D992&amp;"*")&gt;0, Sayfa2!$B$1,
 IF(COUNTIF(Sayfa2!$C$2:$C$8, "*"&amp;D992&amp;"*")&gt;0, Sayfa2!$C$1,
 IF(COUNTIF(Sayfa2!$D$2:$D$8,"*"&amp;D992&amp;"*")&gt;0, Sayfa2!$D$1,
 IF(COUNTIF(Sayfa2!$E$2:$E$8, "*"&amp;D992&amp;"*")&gt;0, Sayfa2!$E$1, "Bulunamadı")))))</f>
        <v>PAZARTESİ</v>
      </c>
    </row>
    <row r="993" spans="1:5" hidden="1" x14ac:dyDescent="0.25">
      <c r="A993" t="s">
        <v>2633</v>
      </c>
      <c r="B993" t="s">
        <v>1093</v>
      </c>
      <c r="C993" t="s">
        <v>2631</v>
      </c>
      <c r="D993" s="4" t="s">
        <v>3083</v>
      </c>
      <c r="E993" t="str">
        <f>IF(COUNTIF(Sayfa2!$A$2:$A$8,"*"&amp;D993&amp;"*")&gt;0, Sayfa2!$A$1,
 IF(COUNTIF(Sayfa2!$B$2:$B$8, "*"&amp;D993&amp;"*")&gt;0, Sayfa2!$B$1,
 IF(COUNTIF(Sayfa2!$C$2:$C$8, "*"&amp;D993&amp;"*")&gt;0, Sayfa2!$C$1,
 IF(COUNTIF(Sayfa2!$D$2:$D$8,"*"&amp;D993&amp;"*")&gt;0, Sayfa2!$D$1,
 IF(COUNTIF(Sayfa2!$E$2:$E$8, "*"&amp;D993&amp;"*")&gt;0, Sayfa2!$E$1, "Bulunamadı")))))</f>
        <v>PAZARTESİ</v>
      </c>
    </row>
    <row r="994" spans="1:5" hidden="1" x14ac:dyDescent="0.25">
      <c r="A994" t="s">
        <v>2634</v>
      </c>
      <c r="B994" t="s">
        <v>1094</v>
      </c>
      <c r="C994" t="s">
        <v>2631</v>
      </c>
      <c r="D994" s="4" t="s">
        <v>3083</v>
      </c>
      <c r="E994" t="str">
        <f>IF(COUNTIF(Sayfa2!$A$2:$A$8,"*"&amp;D994&amp;"*")&gt;0, Sayfa2!$A$1,
 IF(COUNTIF(Sayfa2!$B$2:$B$8, "*"&amp;D994&amp;"*")&gt;0, Sayfa2!$B$1,
 IF(COUNTIF(Sayfa2!$C$2:$C$8, "*"&amp;D994&amp;"*")&gt;0, Sayfa2!$C$1,
 IF(COUNTIF(Sayfa2!$D$2:$D$8,"*"&amp;D994&amp;"*")&gt;0, Sayfa2!$D$1,
 IF(COUNTIF(Sayfa2!$E$2:$E$8, "*"&amp;D994&amp;"*")&gt;0, Sayfa2!$E$1, "Bulunamadı")))))</f>
        <v>PAZARTESİ</v>
      </c>
    </row>
    <row r="995" spans="1:5" hidden="1" x14ac:dyDescent="0.25">
      <c r="A995" t="s">
        <v>2635</v>
      </c>
      <c r="B995" t="s">
        <v>1095</v>
      </c>
      <c r="C995" t="s">
        <v>2631</v>
      </c>
      <c r="D995" s="4" t="s">
        <v>3083</v>
      </c>
      <c r="E995" t="str">
        <f>IF(COUNTIF(Sayfa2!$A$2:$A$8,"*"&amp;D995&amp;"*")&gt;0, Sayfa2!$A$1,
 IF(COUNTIF(Sayfa2!$B$2:$B$8, "*"&amp;D995&amp;"*")&gt;0, Sayfa2!$B$1,
 IF(COUNTIF(Sayfa2!$C$2:$C$8, "*"&amp;D995&amp;"*")&gt;0, Sayfa2!$C$1,
 IF(COUNTIF(Sayfa2!$D$2:$D$8,"*"&amp;D995&amp;"*")&gt;0, Sayfa2!$D$1,
 IF(COUNTIF(Sayfa2!$E$2:$E$8, "*"&amp;D995&amp;"*")&gt;0, Sayfa2!$E$1, "Bulunamadı")))))</f>
        <v>PAZARTESİ</v>
      </c>
    </row>
    <row r="996" spans="1:5" hidden="1" x14ac:dyDescent="0.25">
      <c r="A996" t="s">
        <v>2636</v>
      </c>
      <c r="B996" t="s">
        <v>1096</v>
      </c>
      <c r="C996" t="s">
        <v>2631</v>
      </c>
      <c r="D996" s="4" t="s">
        <v>3083</v>
      </c>
      <c r="E996" t="str">
        <f>IF(COUNTIF(Sayfa2!$A$2:$A$8,"*"&amp;D996&amp;"*")&gt;0, Sayfa2!$A$1,
 IF(COUNTIF(Sayfa2!$B$2:$B$8, "*"&amp;D996&amp;"*")&gt;0, Sayfa2!$B$1,
 IF(COUNTIF(Sayfa2!$C$2:$C$8, "*"&amp;D996&amp;"*")&gt;0, Sayfa2!$C$1,
 IF(COUNTIF(Sayfa2!$D$2:$D$8,"*"&amp;D996&amp;"*")&gt;0, Sayfa2!$D$1,
 IF(COUNTIF(Sayfa2!$E$2:$E$8, "*"&amp;D996&amp;"*")&gt;0, Sayfa2!$E$1, "Bulunamadı")))))</f>
        <v>PAZARTESİ</v>
      </c>
    </row>
    <row r="997" spans="1:5" hidden="1" x14ac:dyDescent="0.25">
      <c r="A997" t="s">
        <v>2637</v>
      </c>
      <c r="B997" t="s">
        <v>1097</v>
      </c>
      <c r="C997" t="s">
        <v>2638</v>
      </c>
      <c r="D997" s="4" t="s">
        <v>3082</v>
      </c>
      <c r="E997" t="str">
        <f>IF(COUNTIF(Sayfa2!$A$2:$A$8,"*"&amp;D997&amp;"*")&gt;0, Sayfa2!$A$1,
 IF(COUNTIF(Sayfa2!$B$2:$B$8, "*"&amp;D997&amp;"*")&gt;0, Sayfa2!$B$1,
 IF(COUNTIF(Sayfa2!$C$2:$C$8, "*"&amp;D997&amp;"*")&gt;0, Sayfa2!$C$1,
 IF(COUNTIF(Sayfa2!$D$2:$D$8,"*"&amp;D997&amp;"*")&gt;0, Sayfa2!$D$1,
 IF(COUNTIF(Sayfa2!$E$2:$E$8, "*"&amp;D997&amp;"*")&gt;0, Sayfa2!$E$1, "Bulunamadı")))))</f>
        <v>CUMA</v>
      </c>
    </row>
    <row r="998" spans="1:5" hidden="1" x14ac:dyDescent="0.25">
      <c r="A998" t="s">
        <v>2639</v>
      </c>
      <c r="B998" t="s">
        <v>1099</v>
      </c>
      <c r="C998" t="s">
        <v>2638</v>
      </c>
      <c r="D998" s="4" t="s">
        <v>3082</v>
      </c>
      <c r="E998" t="str">
        <f>IF(COUNTIF(Sayfa2!$A$2:$A$8,"*"&amp;D998&amp;"*")&gt;0, Sayfa2!$A$1,
 IF(COUNTIF(Sayfa2!$B$2:$B$8, "*"&amp;D998&amp;"*")&gt;0, Sayfa2!$B$1,
 IF(COUNTIF(Sayfa2!$C$2:$C$8, "*"&amp;D998&amp;"*")&gt;0, Sayfa2!$C$1,
 IF(COUNTIF(Sayfa2!$D$2:$D$8,"*"&amp;D998&amp;"*")&gt;0, Sayfa2!$D$1,
 IF(COUNTIF(Sayfa2!$E$2:$E$8, "*"&amp;D998&amp;"*")&gt;0, Sayfa2!$E$1, "Bulunamadı")))))</f>
        <v>CUMA</v>
      </c>
    </row>
    <row r="999" spans="1:5" hidden="1" x14ac:dyDescent="0.25">
      <c r="A999" t="s">
        <v>2640</v>
      </c>
      <c r="B999" t="s">
        <v>1100</v>
      </c>
      <c r="C999" t="s">
        <v>2638</v>
      </c>
      <c r="D999" s="4" t="s">
        <v>3082</v>
      </c>
      <c r="E999" t="str">
        <f>IF(COUNTIF(Sayfa2!$A$2:$A$8,"*"&amp;D999&amp;"*")&gt;0, Sayfa2!$A$1,
 IF(COUNTIF(Sayfa2!$B$2:$B$8, "*"&amp;D999&amp;"*")&gt;0, Sayfa2!$B$1,
 IF(COUNTIF(Sayfa2!$C$2:$C$8, "*"&amp;D999&amp;"*")&gt;0, Sayfa2!$C$1,
 IF(COUNTIF(Sayfa2!$D$2:$D$8,"*"&amp;D999&amp;"*")&gt;0, Sayfa2!$D$1,
 IF(COUNTIF(Sayfa2!$E$2:$E$8, "*"&amp;D999&amp;"*")&gt;0, Sayfa2!$E$1, "Bulunamadı")))))</f>
        <v>CUMA</v>
      </c>
    </row>
    <row r="1000" spans="1:5" hidden="1" x14ac:dyDescent="0.25">
      <c r="A1000" t="s">
        <v>2641</v>
      </c>
      <c r="B1000" t="s">
        <v>1101</v>
      </c>
      <c r="C1000" t="s">
        <v>2642</v>
      </c>
      <c r="D1000" s="4" t="s">
        <v>3082</v>
      </c>
      <c r="E1000" t="str">
        <f>IF(COUNTIF(Sayfa2!$A$2:$A$8,"*"&amp;D1000&amp;"*")&gt;0, Sayfa2!$A$1,
 IF(COUNTIF(Sayfa2!$B$2:$B$8, "*"&amp;D1000&amp;"*")&gt;0, Sayfa2!$B$1,
 IF(COUNTIF(Sayfa2!$C$2:$C$8, "*"&amp;D1000&amp;"*")&gt;0, Sayfa2!$C$1,
 IF(COUNTIF(Sayfa2!$D$2:$D$8,"*"&amp;D1000&amp;"*")&gt;0, Sayfa2!$D$1,
 IF(COUNTIF(Sayfa2!$E$2:$E$8, "*"&amp;D1000&amp;"*")&gt;0, Sayfa2!$E$1, "Bulunamadı")))))</f>
        <v>CUMA</v>
      </c>
    </row>
    <row r="1001" spans="1:5" hidden="1" x14ac:dyDescent="0.25">
      <c r="A1001" t="s">
        <v>2643</v>
      </c>
      <c r="B1001" t="s">
        <v>1104</v>
      </c>
      <c r="C1001" t="s">
        <v>2644</v>
      </c>
      <c r="D1001" s="4" t="s">
        <v>3083</v>
      </c>
      <c r="E1001" t="str">
        <f>IF(COUNTIF(Sayfa2!$A$2:$A$8,"*"&amp;D1001&amp;"*")&gt;0, Sayfa2!$A$1,
 IF(COUNTIF(Sayfa2!$B$2:$B$8, "*"&amp;D1001&amp;"*")&gt;0, Sayfa2!$B$1,
 IF(COUNTIF(Sayfa2!$C$2:$C$8, "*"&amp;D1001&amp;"*")&gt;0, Sayfa2!$C$1,
 IF(COUNTIF(Sayfa2!$D$2:$D$8,"*"&amp;D1001&amp;"*")&gt;0, Sayfa2!$D$1,
 IF(COUNTIF(Sayfa2!$E$2:$E$8, "*"&amp;D1001&amp;"*")&gt;0, Sayfa2!$E$1, "Bulunamadı")))))</f>
        <v>PAZARTESİ</v>
      </c>
    </row>
    <row r="1002" spans="1:5" hidden="1" x14ac:dyDescent="0.25">
      <c r="A1002" t="s">
        <v>2645</v>
      </c>
      <c r="B1002" t="s">
        <v>1106</v>
      </c>
      <c r="C1002" t="s">
        <v>2646</v>
      </c>
      <c r="D1002" s="4" t="s">
        <v>3083</v>
      </c>
      <c r="E1002" t="str">
        <f>IF(COUNTIF(Sayfa2!$A$2:$A$8,"*"&amp;D1002&amp;"*")&gt;0, Sayfa2!$A$1,
 IF(COUNTIF(Sayfa2!$B$2:$B$8, "*"&amp;D1002&amp;"*")&gt;0, Sayfa2!$B$1,
 IF(COUNTIF(Sayfa2!$C$2:$C$8, "*"&amp;D1002&amp;"*")&gt;0, Sayfa2!$C$1,
 IF(COUNTIF(Sayfa2!$D$2:$D$8,"*"&amp;D1002&amp;"*")&gt;0, Sayfa2!$D$1,
 IF(COUNTIF(Sayfa2!$E$2:$E$8, "*"&amp;D1002&amp;"*")&gt;0, Sayfa2!$E$1, "Bulunamadı")))))</f>
        <v>PAZARTESİ</v>
      </c>
    </row>
    <row r="1003" spans="1:5" hidden="1" x14ac:dyDescent="0.25">
      <c r="A1003" t="s">
        <v>2647</v>
      </c>
      <c r="B1003" t="s">
        <v>1108</v>
      </c>
      <c r="C1003" t="s">
        <v>2646</v>
      </c>
      <c r="D1003" s="4" t="s">
        <v>3083</v>
      </c>
      <c r="E1003" t="str">
        <f>IF(COUNTIF(Sayfa2!$A$2:$A$8,"*"&amp;D1003&amp;"*")&gt;0, Sayfa2!$A$1,
 IF(COUNTIF(Sayfa2!$B$2:$B$8, "*"&amp;D1003&amp;"*")&gt;0, Sayfa2!$B$1,
 IF(COUNTIF(Sayfa2!$C$2:$C$8, "*"&amp;D1003&amp;"*")&gt;0, Sayfa2!$C$1,
 IF(COUNTIF(Sayfa2!$D$2:$D$8,"*"&amp;D1003&amp;"*")&gt;0, Sayfa2!$D$1,
 IF(COUNTIF(Sayfa2!$E$2:$E$8, "*"&amp;D1003&amp;"*")&gt;0, Sayfa2!$E$1, "Bulunamadı")))))</f>
        <v>PAZARTESİ</v>
      </c>
    </row>
    <row r="1004" spans="1:5" hidden="1" x14ac:dyDescent="0.25">
      <c r="A1004" t="s">
        <v>2648</v>
      </c>
      <c r="B1004" t="s">
        <v>1109</v>
      </c>
      <c r="C1004" t="s">
        <v>2646</v>
      </c>
      <c r="D1004" s="4" t="s">
        <v>3083</v>
      </c>
      <c r="E1004" t="str">
        <f>IF(COUNTIF(Sayfa2!$A$2:$A$8,"*"&amp;D1004&amp;"*")&gt;0, Sayfa2!$A$1,
 IF(COUNTIF(Sayfa2!$B$2:$B$8, "*"&amp;D1004&amp;"*")&gt;0, Sayfa2!$B$1,
 IF(COUNTIF(Sayfa2!$C$2:$C$8, "*"&amp;D1004&amp;"*")&gt;0, Sayfa2!$C$1,
 IF(COUNTIF(Sayfa2!$D$2:$D$8,"*"&amp;D1004&amp;"*")&gt;0, Sayfa2!$D$1,
 IF(COUNTIF(Sayfa2!$E$2:$E$8, "*"&amp;D1004&amp;"*")&gt;0, Sayfa2!$E$1, "Bulunamadı")))))</f>
        <v>PAZARTESİ</v>
      </c>
    </row>
    <row r="1005" spans="1:5" hidden="1" x14ac:dyDescent="0.25">
      <c r="A1005" t="s">
        <v>2649</v>
      </c>
      <c r="B1005" t="s">
        <v>1110</v>
      </c>
      <c r="C1005" t="s">
        <v>2650</v>
      </c>
      <c r="D1005" s="4" t="s">
        <v>3077</v>
      </c>
      <c r="E1005" t="str">
        <f>IF(COUNTIF(Sayfa2!$A$2:$A$8,"*"&amp;D1005&amp;"*")&gt;0, Sayfa2!$A$1,
 IF(COUNTIF(Sayfa2!$B$2:$B$8, "*"&amp;D1005&amp;"*")&gt;0, Sayfa2!$B$1,
 IF(COUNTIF(Sayfa2!$C$2:$C$8, "*"&amp;D1005&amp;"*")&gt;0, Sayfa2!$C$1,
 IF(COUNTIF(Sayfa2!$D$2:$D$8,"*"&amp;D1005&amp;"*")&gt;0, Sayfa2!$D$1,
 IF(COUNTIF(Sayfa2!$E$2:$E$8, "*"&amp;D1005&amp;"*")&gt;0, Sayfa2!$E$1, "Bulunamadı")))))</f>
        <v>CUMA</v>
      </c>
    </row>
    <row r="1006" spans="1:5" hidden="1" x14ac:dyDescent="0.25">
      <c r="A1006" t="s">
        <v>2651</v>
      </c>
      <c r="B1006" t="s">
        <v>1111</v>
      </c>
      <c r="C1006" t="s">
        <v>2650</v>
      </c>
      <c r="D1006" s="4" t="s">
        <v>3077</v>
      </c>
      <c r="E1006" t="str">
        <f>IF(COUNTIF(Sayfa2!$A$2:$A$8,"*"&amp;D1006&amp;"*")&gt;0, Sayfa2!$A$1,
 IF(COUNTIF(Sayfa2!$B$2:$B$8, "*"&amp;D1006&amp;"*")&gt;0, Sayfa2!$B$1,
 IF(COUNTIF(Sayfa2!$C$2:$C$8, "*"&amp;D1006&amp;"*")&gt;0, Sayfa2!$C$1,
 IF(COUNTIF(Sayfa2!$D$2:$D$8,"*"&amp;D1006&amp;"*")&gt;0, Sayfa2!$D$1,
 IF(COUNTIF(Sayfa2!$E$2:$E$8, "*"&amp;D1006&amp;"*")&gt;0, Sayfa2!$E$1, "Bulunamadı")))))</f>
        <v>CUMA</v>
      </c>
    </row>
    <row r="1007" spans="1:5" hidden="1" x14ac:dyDescent="0.25">
      <c r="A1007" t="s">
        <v>2652</v>
      </c>
      <c r="B1007" t="s">
        <v>1033</v>
      </c>
      <c r="C1007" t="s">
        <v>2650</v>
      </c>
      <c r="D1007" s="4" t="s">
        <v>3077</v>
      </c>
      <c r="E1007" t="str">
        <f>IF(COUNTIF(Sayfa2!$A$2:$A$8,"*"&amp;D1007&amp;"*")&gt;0, Sayfa2!$A$1,
 IF(COUNTIF(Sayfa2!$B$2:$B$8, "*"&amp;D1007&amp;"*")&gt;0, Sayfa2!$B$1,
 IF(COUNTIF(Sayfa2!$C$2:$C$8, "*"&amp;D1007&amp;"*")&gt;0, Sayfa2!$C$1,
 IF(COUNTIF(Sayfa2!$D$2:$D$8,"*"&amp;D1007&amp;"*")&gt;0, Sayfa2!$D$1,
 IF(COUNTIF(Sayfa2!$E$2:$E$8, "*"&amp;D1007&amp;"*")&gt;0, Sayfa2!$E$1, "Bulunamadı")))))</f>
        <v>CUMA</v>
      </c>
    </row>
    <row r="1008" spans="1:5" hidden="1" x14ac:dyDescent="0.25">
      <c r="A1008" t="s">
        <v>2653</v>
      </c>
      <c r="B1008" t="s">
        <v>1112</v>
      </c>
      <c r="C1008" t="s">
        <v>2650</v>
      </c>
      <c r="D1008" s="4" t="s">
        <v>3077</v>
      </c>
      <c r="E1008" t="str">
        <f>IF(COUNTIF(Sayfa2!$A$2:$A$8,"*"&amp;D1008&amp;"*")&gt;0, Sayfa2!$A$1,
 IF(COUNTIF(Sayfa2!$B$2:$B$8, "*"&amp;D1008&amp;"*")&gt;0, Sayfa2!$B$1,
 IF(COUNTIF(Sayfa2!$C$2:$C$8, "*"&amp;D1008&amp;"*")&gt;0, Sayfa2!$C$1,
 IF(COUNTIF(Sayfa2!$D$2:$D$8,"*"&amp;D1008&amp;"*")&gt;0, Sayfa2!$D$1,
 IF(COUNTIF(Sayfa2!$E$2:$E$8, "*"&amp;D1008&amp;"*")&gt;0, Sayfa2!$E$1, "Bulunamadı")))))</f>
        <v>CUMA</v>
      </c>
    </row>
    <row r="1009" spans="1:5" hidden="1" x14ac:dyDescent="0.25">
      <c r="A1009" t="s">
        <v>2654</v>
      </c>
      <c r="B1009" t="s">
        <v>1113</v>
      </c>
      <c r="C1009" t="s">
        <v>2650</v>
      </c>
      <c r="D1009" s="4" t="s">
        <v>3077</v>
      </c>
      <c r="E1009" t="str">
        <f>IF(COUNTIF(Sayfa2!$A$2:$A$8,"*"&amp;D1009&amp;"*")&gt;0, Sayfa2!$A$1,
 IF(COUNTIF(Sayfa2!$B$2:$B$8, "*"&amp;D1009&amp;"*")&gt;0, Sayfa2!$B$1,
 IF(COUNTIF(Sayfa2!$C$2:$C$8, "*"&amp;D1009&amp;"*")&gt;0, Sayfa2!$C$1,
 IF(COUNTIF(Sayfa2!$D$2:$D$8,"*"&amp;D1009&amp;"*")&gt;0, Sayfa2!$D$1,
 IF(COUNTIF(Sayfa2!$E$2:$E$8, "*"&amp;D1009&amp;"*")&gt;0, Sayfa2!$E$1, "Bulunamadı")))))</f>
        <v>CUMA</v>
      </c>
    </row>
    <row r="1010" spans="1:5" hidden="1" x14ac:dyDescent="0.25">
      <c r="A1010" t="s">
        <v>2655</v>
      </c>
      <c r="B1010" t="s">
        <v>1114</v>
      </c>
      <c r="C1010" t="s">
        <v>2650</v>
      </c>
      <c r="D1010" s="4" t="s">
        <v>3077</v>
      </c>
      <c r="E1010" t="str">
        <f>IF(COUNTIF(Sayfa2!$A$2:$A$8,"*"&amp;D1010&amp;"*")&gt;0, Sayfa2!$A$1,
 IF(COUNTIF(Sayfa2!$B$2:$B$8, "*"&amp;D1010&amp;"*")&gt;0, Sayfa2!$B$1,
 IF(COUNTIF(Sayfa2!$C$2:$C$8, "*"&amp;D1010&amp;"*")&gt;0, Sayfa2!$C$1,
 IF(COUNTIF(Sayfa2!$D$2:$D$8,"*"&amp;D1010&amp;"*")&gt;0, Sayfa2!$D$1,
 IF(COUNTIF(Sayfa2!$E$2:$E$8, "*"&amp;D1010&amp;"*")&gt;0, Sayfa2!$E$1, "Bulunamadı")))))</f>
        <v>CUMA</v>
      </c>
    </row>
    <row r="1011" spans="1:5" hidden="1" x14ac:dyDescent="0.25">
      <c r="A1011" t="s">
        <v>2656</v>
      </c>
      <c r="B1011" t="s">
        <v>1115</v>
      </c>
      <c r="C1011" t="s">
        <v>2657</v>
      </c>
      <c r="D1011" s="4" t="s">
        <v>3080</v>
      </c>
      <c r="E1011" t="str">
        <f>IF(COUNTIF(Sayfa2!$A$2:$A$8,"*"&amp;D1011&amp;"*")&gt;0, Sayfa2!$A$1,
 IF(COUNTIF(Sayfa2!$B$2:$B$8, "*"&amp;D1011&amp;"*")&gt;0, Sayfa2!$B$1,
 IF(COUNTIF(Sayfa2!$C$2:$C$8, "*"&amp;D1011&amp;"*")&gt;0, Sayfa2!$C$1,
 IF(COUNTIF(Sayfa2!$D$2:$D$8,"*"&amp;D1011&amp;"*")&gt;0, Sayfa2!$D$1,
 IF(COUNTIF(Sayfa2!$E$2:$E$8, "*"&amp;D1011&amp;"*")&gt;0, Sayfa2!$E$1, "Bulunamadı")))))</f>
        <v>ÇARŞAMBA</v>
      </c>
    </row>
    <row r="1012" spans="1:5" hidden="1" x14ac:dyDescent="0.25">
      <c r="A1012" t="s">
        <v>2658</v>
      </c>
      <c r="B1012" t="s">
        <v>1116</v>
      </c>
      <c r="C1012" t="s">
        <v>2657</v>
      </c>
      <c r="D1012" s="4" t="s">
        <v>3080</v>
      </c>
      <c r="E1012" t="str">
        <f>IF(COUNTIF(Sayfa2!$A$2:$A$8,"*"&amp;D1012&amp;"*")&gt;0, Sayfa2!$A$1,
 IF(COUNTIF(Sayfa2!$B$2:$B$8, "*"&amp;D1012&amp;"*")&gt;0, Sayfa2!$B$1,
 IF(COUNTIF(Sayfa2!$C$2:$C$8, "*"&amp;D1012&amp;"*")&gt;0, Sayfa2!$C$1,
 IF(COUNTIF(Sayfa2!$D$2:$D$8,"*"&amp;D1012&amp;"*")&gt;0, Sayfa2!$D$1,
 IF(COUNTIF(Sayfa2!$E$2:$E$8, "*"&amp;D1012&amp;"*")&gt;0, Sayfa2!$E$1, "Bulunamadı")))))</f>
        <v>ÇARŞAMBA</v>
      </c>
    </row>
    <row r="1013" spans="1:5" hidden="1" x14ac:dyDescent="0.25">
      <c r="A1013" t="s">
        <v>2659</v>
      </c>
      <c r="B1013" t="s">
        <v>1117</v>
      </c>
      <c r="C1013" t="s">
        <v>2657</v>
      </c>
      <c r="D1013" s="4" t="s">
        <v>3080</v>
      </c>
      <c r="E1013" t="str">
        <f>IF(COUNTIF(Sayfa2!$A$2:$A$8,"*"&amp;D1013&amp;"*")&gt;0, Sayfa2!$A$1,
 IF(COUNTIF(Sayfa2!$B$2:$B$8, "*"&amp;D1013&amp;"*")&gt;0, Sayfa2!$B$1,
 IF(COUNTIF(Sayfa2!$C$2:$C$8, "*"&amp;D1013&amp;"*")&gt;0, Sayfa2!$C$1,
 IF(COUNTIF(Sayfa2!$D$2:$D$8,"*"&amp;D1013&amp;"*")&gt;0, Sayfa2!$D$1,
 IF(COUNTIF(Sayfa2!$E$2:$E$8, "*"&amp;D1013&amp;"*")&gt;0, Sayfa2!$E$1, "Bulunamadı")))))</f>
        <v>ÇARŞAMBA</v>
      </c>
    </row>
    <row r="1014" spans="1:5" hidden="1" x14ac:dyDescent="0.25">
      <c r="A1014" t="s">
        <v>2660</v>
      </c>
      <c r="B1014" t="s">
        <v>1118</v>
      </c>
      <c r="C1014" t="s">
        <v>2657</v>
      </c>
      <c r="D1014" s="4" t="s">
        <v>3080</v>
      </c>
      <c r="E1014" t="str">
        <f>IF(COUNTIF(Sayfa2!$A$2:$A$8,"*"&amp;D1014&amp;"*")&gt;0, Sayfa2!$A$1,
 IF(COUNTIF(Sayfa2!$B$2:$B$8, "*"&amp;D1014&amp;"*")&gt;0, Sayfa2!$B$1,
 IF(COUNTIF(Sayfa2!$C$2:$C$8, "*"&amp;D1014&amp;"*")&gt;0, Sayfa2!$C$1,
 IF(COUNTIF(Sayfa2!$D$2:$D$8,"*"&amp;D1014&amp;"*")&gt;0, Sayfa2!$D$1,
 IF(COUNTIF(Sayfa2!$E$2:$E$8, "*"&amp;D1014&amp;"*")&gt;0, Sayfa2!$E$1, "Bulunamadı")))))</f>
        <v>ÇARŞAMBA</v>
      </c>
    </row>
    <row r="1015" spans="1:5" hidden="1" x14ac:dyDescent="0.25">
      <c r="A1015" t="s">
        <v>2661</v>
      </c>
      <c r="B1015" t="s">
        <v>1119</v>
      </c>
      <c r="C1015" t="s">
        <v>2657</v>
      </c>
      <c r="D1015" s="4" t="s">
        <v>3080</v>
      </c>
      <c r="E1015" t="str">
        <f>IF(COUNTIF(Sayfa2!$A$2:$A$8,"*"&amp;D1015&amp;"*")&gt;0, Sayfa2!$A$1,
 IF(COUNTIF(Sayfa2!$B$2:$B$8, "*"&amp;D1015&amp;"*")&gt;0, Sayfa2!$B$1,
 IF(COUNTIF(Sayfa2!$C$2:$C$8, "*"&amp;D1015&amp;"*")&gt;0, Sayfa2!$C$1,
 IF(COUNTIF(Sayfa2!$D$2:$D$8,"*"&amp;D1015&amp;"*")&gt;0, Sayfa2!$D$1,
 IF(COUNTIF(Sayfa2!$E$2:$E$8, "*"&amp;D1015&amp;"*")&gt;0, Sayfa2!$E$1, "Bulunamadı")))))</f>
        <v>ÇARŞAMBA</v>
      </c>
    </row>
    <row r="1016" spans="1:5" hidden="1" x14ac:dyDescent="0.25">
      <c r="A1016" t="s">
        <v>2662</v>
      </c>
      <c r="B1016" t="s">
        <v>1120</v>
      </c>
      <c r="C1016" t="s">
        <v>2657</v>
      </c>
      <c r="D1016" s="4" t="s">
        <v>3080</v>
      </c>
      <c r="E1016" t="str">
        <f>IF(COUNTIF(Sayfa2!$A$2:$A$8,"*"&amp;D1016&amp;"*")&gt;0, Sayfa2!$A$1,
 IF(COUNTIF(Sayfa2!$B$2:$B$8, "*"&amp;D1016&amp;"*")&gt;0, Sayfa2!$B$1,
 IF(COUNTIF(Sayfa2!$C$2:$C$8, "*"&amp;D1016&amp;"*")&gt;0, Sayfa2!$C$1,
 IF(COUNTIF(Sayfa2!$D$2:$D$8,"*"&amp;D1016&amp;"*")&gt;0, Sayfa2!$D$1,
 IF(COUNTIF(Sayfa2!$E$2:$E$8, "*"&amp;D1016&amp;"*")&gt;0, Sayfa2!$E$1, "Bulunamadı")))))</f>
        <v>ÇARŞAMBA</v>
      </c>
    </row>
    <row r="1017" spans="1:5" hidden="1" x14ac:dyDescent="0.25">
      <c r="A1017" t="s">
        <v>2663</v>
      </c>
      <c r="B1017" t="s">
        <v>1121</v>
      </c>
      <c r="C1017" t="s">
        <v>2664</v>
      </c>
      <c r="D1017" s="4" t="s">
        <v>3077</v>
      </c>
      <c r="E1017" t="str">
        <f>IF(COUNTIF(Sayfa2!$A$2:$A$8,"*"&amp;D1017&amp;"*")&gt;0, Sayfa2!$A$1,
 IF(COUNTIF(Sayfa2!$B$2:$B$8, "*"&amp;D1017&amp;"*")&gt;0, Sayfa2!$B$1,
 IF(COUNTIF(Sayfa2!$C$2:$C$8, "*"&amp;D1017&amp;"*")&gt;0, Sayfa2!$C$1,
 IF(COUNTIF(Sayfa2!$D$2:$D$8,"*"&amp;D1017&amp;"*")&gt;0, Sayfa2!$D$1,
 IF(COUNTIF(Sayfa2!$E$2:$E$8, "*"&amp;D1017&amp;"*")&gt;0, Sayfa2!$E$1, "Bulunamadı")))))</f>
        <v>CUMA</v>
      </c>
    </row>
    <row r="1018" spans="1:5" hidden="1" x14ac:dyDescent="0.25">
      <c r="A1018" t="s">
        <v>2665</v>
      </c>
      <c r="B1018" t="s">
        <v>1122</v>
      </c>
      <c r="C1018" t="s">
        <v>2664</v>
      </c>
      <c r="D1018" s="4" t="s">
        <v>3077</v>
      </c>
      <c r="E1018" t="str">
        <f>IF(COUNTIF(Sayfa2!$A$2:$A$8,"*"&amp;D1018&amp;"*")&gt;0, Sayfa2!$A$1,
 IF(COUNTIF(Sayfa2!$B$2:$B$8, "*"&amp;D1018&amp;"*")&gt;0, Sayfa2!$B$1,
 IF(COUNTIF(Sayfa2!$C$2:$C$8, "*"&amp;D1018&amp;"*")&gt;0, Sayfa2!$C$1,
 IF(COUNTIF(Sayfa2!$D$2:$D$8,"*"&amp;D1018&amp;"*")&gt;0, Sayfa2!$D$1,
 IF(COUNTIF(Sayfa2!$E$2:$E$8, "*"&amp;D1018&amp;"*")&gt;0, Sayfa2!$E$1, "Bulunamadı")))))</f>
        <v>CUMA</v>
      </c>
    </row>
    <row r="1019" spans="1:5" hidden="1" x14ac:dyDescent="0.25">
      <c r="A1019" t="s">
        <v>2666</v>
      </c>
      <c r="B1019" t="s">
        <v>1123</v>
      </c>
      <c r="C1019" t="s">
        <v>2664</v>
      </c>
      <c r="D1019" s="4" t="s">
        <v>3077</v>
      </c>
      <c r="E1019" t="str">
        <f>IF(COUNTIF(Sayfa2!$A$2:$A$8,"*"&amp;D1019&amp;"*")&gt;0, Sayfa2!$A$1,
 IF(COUNTIF(Sayfa2!$B$2:$B$8, "*"&amp;D1019&amp;"*")&gt;0, Sayfa2!$B$1,
 IF(COUNTIF(Sayfa2!$C$2:$C$8, "*"&amp;D1019&amp;"*")&gt;0, Sayfa2!$C$1,
 IF(COUNTIF(Sayfa2!$D$2:$D$8,"*"&amp;D1019&amp;"*")&gt;0, Sayfa2!$D$1,
 IF(COUNTIF(Sayfa2!$E$2:$E$8, "*"&amp;D1019&amp;"*")&gt;0, Sayfa2!$E$1, "Bulunamadı")))))</f>
        <v>CUMA</v>
      </c>
    </row>
    <row r="1020" spans="1:5" hidden="1" x14ac:dyDescent="0.25">
      <c r="A1020" t="s">
        <v>2667</v>
      </c>
      <c r="B1020" t="s">
        <v>1124</v>
      </c>
      <c r="C1020" t="s">
        <v>2668</v>
      </c>
      <c r="D1020" s="4" t="s">
        <v>3079</v>
      </c>
      <c r="E1020" t="str">
        <f>IF(COUNTIF(Sayfa2!$A$2:$A$8,"*"&amp;D1020&amp;"*")&gt;0, Sayfa2!$A$1,
 IF(COUNTIF(Sayfa2!$B$2:$B$8, "*"&amp;D1020&amp;"*")&gt;0, Sayfa2!$B$1,
 IF(COUNTIF(Sayfa2!$C$2:$C$8, "*"&amp;D1020&amp;"*")&gt;0, Sayfa2!$C$1,
 IF(COUNTIF(Sayfa2!$D$2:$D$8,"*"&amp;D1020&amp;"*")&gt;0, Sayfa2!$D$1,
 IF(COUNTIF(Sayfa2!$E$2:$E$8, "*"&amp;D1020&amp;"*")&gt;0, Sayfa2!$E$1, "Bulunamadı")))))</f>
        <v>SALI</v>
      </c>
    </row>
    <row r="1021" spans="1:5" hidden="1" x14ac:dyDescent="0.25">
      <c r="A1021" t="s">
        <v>2669</v>
      </c>
      <c r="B1021" t="s">
        <v>1125</v>
      </c>
      <c r="C1021" t="s">
        <v>2668</v>
      </c>
      <c r="D1021" s="4" t="s">
        <v>3079</v>
      </c>
      <c r="E1021" t="str">
        <f>IF(COUNTIF(Sayfa2!$A$2:$A$8,"*"&amp;D1021&amp;"*")&gt;0, Sayfa2!$A$1,
 IF(COUNTIF(Sayfa2!$B$2:$B$8, "*"&amp;D1021&amp;"*")&gt;0, Sayfa2!$B$1,
 IF(COUNTIF(Sayfa2!$C$2:$C$8, "*"&amp;D1021&amp;"*")&gt;0, Sayfa2!$C$1,
 IF(COUNTIF(Sayfa2!$D$2:$D$8,"*"&amp;D1021&amp;"*")&gt;0, Sayfa2!$D$1,
 IF(COUNTIF(Sayfa2!$E$2:$E$8, "*"&amp;D1021&amp;"*")&gt;0, Sayfa2!$E$1, "Bulunamadı")))))</f>
        <v>SALI</v>
      </c>
    </row>
    <row r="1022" spans="1:5" hidden="1" x14ac:dyDescent="0.25">
      <c r="A1022" t="s">
        <v>2670</v>
      </c>
      <c r="B1022" t="s">
        <v>1126</v>
      </c>
      <c r="C1022" t="s">
        <v>2664</v>
      </c>
      <c r="D1022" s="4" t="s">
        <v>3077</v>
      </c>
      <c r="E1022" t="str">
        <f>IF(COUNTIF(Sayfa2!$A$2:$A$8,"*"&amp;D1022&amp;"*")&gt;0, Sayfa2!$A$1,
 IF(COUNTIF(Sayfa2!$B$2:$B$8, "*"&amp;D1022&amp;"*")&gt;0, Sayfa2!$B$1,
 IF(COUNTIF(Sayfa2!$C$2:$C$8, "*"&amp;D1022&amp;"*")&gt;0, Sayfa2!$C$1,
 IF(COUNTIF(Sayfa2!$D$2:$D$8,"*"&amp;D1022&amp;"*")&gt;0, Sayfa2!$D$1,
 IF(COUNTIF(Sayfa2!$E$2:$E$8, "*"&amp;D1022&amp;"*")&gt;0, Sayfa2!$E$1, "Bulunamadı")))))</f>
        <v>CUMA</v>
      </c>
    </row>
    <row r="1023" spans="1:5" hidden="1" x14ac:dyDescent="0.25">
      <c r="A1023" t="s">
        <v>2671</v>
      </c>
      <c r="B1023" t="s">
        <v>1127</v>
      </c>
      <c r="C1023" t="s">
        <v>2664</v>
      </c>
      <c r="D1023" s="4" t="s">
        <v>3077</v>
      </c>
      <c r="E1023" t="str">
        <f>IF(COUNTIF(Sayfa2!$A$2:$A$8,"*"&amp;D1023&amp;"*")&gt;0, Sayfa2!$A$1,
 IF(COUNTIF(Sayfa2!$B$2:$B$8, "*"&amp;D1023&amp;"*")&gt;0, Sayfa2!$B$1,
 IF(COUNTIF(Sayfa2!$C$2:$C$8, "*"&amp;D1023&amp;"*")&gt;0, Sayfa2!$C$1,
 IF(COUNTIF(Sayfa2!$D$2:$D$8,"*"&amp;D1023&amp;"*")&gt;0, Sayfa2!$D$1,
 IF(COUNTIF(Sayfa2!$E$2:$E$8, "*"&amp;D1023&amp;"*")&gt;0, Sayfa2!$E$1, "Bulunamadı")))))</f>
        <v>CUMA</v>
      </c>
    </row>
    <row r="1024" spans="1:5" hidden="1" x14ac:dyDescent="0.25">
      <c r="A1024" t="s">
        <v>2672</v>
      </c>
      <c r="B1024" t="s">
        <v>1128</v>
      </c>
      <c r="C1024" t="s">
        <v>2664</v>
      </c>
      <c r="D1024" s="4" t="s">
        <v>3077</v>
      </c>
      <c r="E1024" t="str">
        <f>IF(COUNTIF(Sayfa2!$A$2:$A$8,"*"&amp;D1024&amp;"*")&gt;0, Sayfa2!$A$1,
 IF(COUNTIF(Sayfa2!$B$2:$B$8, "*"&amp;D1024&amp;"*")&gt;0, Sayfa2!$B$1,
 IF(COUNTIF(Sayfa2!$C$2:$C$8, "*"&amp;D1024&amp;"*")&gt;0, Sayfa2!$C$1,
 IF(COUNTIF(Sayfa2!$D$2:$D$8,"*"&amp;D1024&amp;"*")&gt;0, Sayfa2!$D$1,
 IF(COUNTIF(Sayfa2!$E$2:$E$8, "*"&amp;D1024&amp;"*")&gt;0, Sayfa2!$E$1, "Bulunamadı")))))</f>
        <v>CUMA</v>
      </c>
    </row>
    <row r="1025" spans="1:5" hidden="1" x14ac:dyDescent="0.25">
      <c r="A1025" t="s">
        <v>2673</v>
      </c>
      <c r="B1025" t="s">
        <v>1129</v>
      </c>
      <c r="C1025" t="s">
        <v>2668</v>
      </c>
      <c r="D1025" s="4" t="s">
        <v>3079</v>
      </c>
      <c r="E1025" t="str">
        <f>IF(COUNTIF(Sayfa2!$A$2:$A$8,"*"&amp;D1025&amp;"*")&gt;0, Sayfa2!$A$1,
 IF(COUNTIF(Sayfa2!$B$2:$B$8, "*"&amp;D1025&amp;"*")&gt;0, Sayfa2!$B$1,
 IF(COUNTIF(Sayfa2!$C$2:$C$8, "*"&amp;D1025&amp;"*")&gt;0, Sayfa2!$C$1,
 IF(COUNTIF(Sayfa2!$D$2:$D$8,"*"&amp;D1025&amp;"*")&gt;0, Sayfa2!$D$1,
 IF(COUNTIF(Sayfa2!$E$2:$E$8, "*"&amp;D1025&amp;"*")&gt;0, Sayfa2!$E$1, "Bulunamadı")))))</f>
        <v>SALI</v>
      </c>
    </row>
    <row r="1026" spans="1:5" hidden="1" x14ac:dyDescent="0.25">
      <c r="A1026" t="s">
        <v>2674</v>
      </c>
      <c r="B1026" t="s">
        <v>97</v>
      </c>
      <c r="C1026" t="s">
        <v>2668</v>
      </c>
      <c r="D1026" s="4" t="s">
        <v>3079</v>
      </c>
      <c r="E1026" t="str">
        <f>IF(COUNTIF(Sayfa2!$A$2:$A$8,"*"&amp;D1026&amp;"*")&gt;0, Sayfa2!$A$1,
 IF(COUNTIF(Sayfa2!$B$2:$B$8, "*"&amp;D1026&amp;"*")&gt;0, Sayfa2!$B$1,
 IF(COUNTIF(Sayfa2!$C$2:$C$8, "*"&amp;D1026&amp;"*")&gt;0, Sayfa2!$C$1,
 IF(COUNTIF(Sayfa2!$D$2:$D$8,"*"&amp;D1026&amp;"*")&gt;0, Sayfa2!$D$1,
 IF(COUNTIF(Sayfa2!$E$2:$E$8, "*"&amp;D1026&amp;"*")&gt;0, Sayfa2!$E$1, "Bulunamadı")))))</f>
        <v>SALI</v>
      </c>
    </row>
    <row r="1027" spans="1:5" hidden="1" x14ac:dyDescent="0.25">
      <c r="A1027" t="s">
        <v>2675</v>
      </c>
      <c r="B1027" t="s">
        <v>1130</v>
      </c>
      <c r="C1027" t="s">
        <v>2668</v>
      </c>
      <c r="D1027" s="4" t="s">
        <v>3079</v>
      </c>
      <c r="E1027" t="str">
        <f>IF(COUNTIF(Sayfa2!$A$2:$A$8,"*"&amp;D1027&amp;"*")&gt;0, Sayfa2!$A$1,
 IF(COUNTIF(Sayfa2!$B$2:$B$8, "*"&amp;D1027&amp;"*")&gt;0, Sayfa2!$B$1,
 IF(COUNTIF(Sayfa2!$C$2:$C$8, "*"&amp;D1027&amp;"*")&gt;0, Sayfa2!$C$1,
 IF(COUNTIF(Sayfa2!$D$2:$D$8,"*"&amp;D1027&amp;"*")&gt;0, Sayfa2!$D$1,
 IF(COUNTIF(Sayfa2!$E$2:$E$8, "*"&amp;D1027&amp;"*")&gt;0, Sayfa2!$E$1, "Bulunamadı")))))</f>
        <v>SALI</v>
      </c>
    </row>
    <row r="1028" spans="1:5" hidden="1" x14ac:dyDescent="0.25">
      <c r="A1028" t="s">
        <v>2676</v>
      </c>
      <c r="B1028" t="s">
        <v>1131</v>
      </c>
      <c r="C1028" t="s">
        <v>2664</v>
      </c>
      <c r="D1028" s="4" t="s">
        <v>3077</v>
      </c>
      <c r="E1028" t="str">
        <f>IF(COUNTIF(Sayfa2!$A$2:$A$8,"*"&amp;D1028&amp;"*")&gt;0, Sayfa2!$A$1,
 IF(COUNTIF(Sayfa2!$B$2:$B$8, "*"&amp;D1028&amp;"*")&gt;0, Sayfa2!$B$1,
 IF(COUNTIF(Sayfa2!$C$2:$C$8, "*"&amp;D1028&amp;"*")&gt;0, Sayfa2!$C$1,
 IF(COUNTIF(Sayfa2!$D$2:$D$8,"*"&amp;D1028&amp;"*")&gt;0, Sayfa2!$D$1,
 IF(COUNTIF(Sayfa2!$E$2:$E$8, "*"&amp;D1028&amp;"*")&gt;0, Sayfa2!$E$1, "Bulunamadı")))))</f>
        <v>CUMA</v>
      </c>
    </row>
    <row r="1029" spans="1:5" hidden="1" x14ac:dyDescent="0.25">
      <c r="A1029" t="s">
        <v>2677</v>
      </c>
      <c r="B1029" t="s">
        <v>1132</v>
      </c>
      <c r="C1029" t="s">
        <v>2668</v>
      </c>
      <c r="D1029" s="4" t="s">
        <v>3079</v>
      </c>
      <c r="E1029" t="str">
        <f>IF(COUNTIF(Sayfa2!$A$2:$A$8,"*"&amp;D1029&amp;"*")&gt;0, Sayfa2!$A$1,
 IF(COUNTIF(Sayfa2!$B$2:$B$8, "*"&amp;D1029&amp;"*")&gt;0, Sayfa2!$B$1,
 IF(COUNTIF(Sayfa2!$C$2:$C$8, "*"&amp;D1029&amp;"*")&gt;0, Sayfa2!$C$1,
 IF(COUNTIF(Sayfa2!$D$2:$D$8,"*"&amp;D1029&amp;"*")&gt;0, Sayfa2!$D$1,
 IF(COUNTIF(Sayfa2!$E$2:$E$8, "*"&amp;D1029&amp;"*")&gt;0, Sayfa2!$E$1, "Bulunamadı")))))</f>
        <v>SALI</v>
      </c>
    </row>
    <row r="1030" spans="1:5" hidden="1" x14ac:dyDescent="0.25">
      <c r="A1030" t="s">
        <v>2678</v>
      </c>
      <c r="B1030" t="s">
        <v>1133</v>
      </c>
      <c r="C1030" t="s">
        <v>2668</v>
      </c>
      <c r="D1030" s="4" t="s">
        <v>3079</v>
      </c>
      <c r="E1030" t="str">
        <f>IF(COUNTIF(Sayfa2!$A$2:$A$8,"*"&amp;D1030&amp;"*")&gt;0, Sayfa2!$A$1,
 IF(COUNTIF(Sayfa2!$B$2:$B$8, "*"&amp;D1030&amp;"*")&gt;0, Sayfa2!$B$1,
 IF(COUNTIF(Sayfa2!$C$2:$C$8, "*"&amp;D1030&amp;"*")&gt;0, Sayfa2!$C$1,
 IF(COUNTIF(Sayfa2!$D$2:$D$8,"*"&amp;D1030&amp;"*")&gt;0, Sayfa2!$D$1,
 IF(COUNTIF(Sayfa2!$E$2:$E$8, "*"&amp;D1030&amp;"*")&gt;0, Sayfa2!$E$1, "Bulunamadı")))))</f>
        <v>SALI</v>
      </c>
    </row>
    <row r="1031" spans="1:5" hidden="1" x14ac:dyDescent="0.25">
      <c r="A1031" t="s">
        <v>2679</v>
      </c>
      <c r="B1031" t="s">
        <v>1134</v>
      </c>
      <c r="C1031" t="s">
        <v>2668</v>
      </c>
      <c r="D1031" s="4" t="s">
        <v>3079</v>
      </c>
      <c r="E1031" t="str">
        <f>IF(COUNTIF(Sayfa2!$A$2:$A$8,"*"&amp;D1031&amp;"*")&gt;0, Sayfa2!$A$1,
 IF(COUNTIF(Sayfa2!$B$2:$B$8, "*"&amp;D1031&amp;"*")&gt;0, Sayfa2!$B$1,
 IF(COUNTIF(Sayfa2!$C$2:$C$8, "*"&amp;D1031&amp;"*")&gt;0, Sayfa2!$C$1,
 IF(COUNTIF(Sayfa2!$D$2:$D$8,"*"&amp;D1031&amp;"*")&gt;0, Sayfa2!$D$1,
 IF(COUNTIF(Sayfa2!$E$2:$E$8, "*"&amp;D1031&amp;"*")&gt;0, Sayfa2!$E$1, "Bulunamadı")))))</f>
        <v>SALI</v>
      </c>
    </row>
    <row r="1032" spans="1:5" hidden="1" x14ac:dyDescent="0.25">
      <c r="A1032" t="s">
        <v>2680</v>
      </c>
      <c r="B1032" t="s">
        <v>1135</v>
      </c>
      <c r="C1032" t="s">
        <v>2664</v>
      </c>
      <c r="D1032" s="4" t="s">
        <v>3077</v>
      </c>
      <c r="E1032" t="str">
        <f>IF(COUNTIF(Sayfa2!$A$2:$A$8,"*"&amp;D1032&amp;"*")&gt;0, Sayfa2!$A$1,
 IF(COUNTIF(Sayfa2!$B$2:$B$8, "*"&amp;D1032&amp;"*")&gt;0, Sayfa2!$B$1,
 IF(COUNTIF(Sayfa2!$C$2:$C$8, "*"&amp;D1032&amp;"*")&gt;0, Sayfa2!$C$1,
 IF(COUNTIF(Sayfa2!$D$2:$D$8,"*"&amp;D1032&amp;"*")&gt;0, Sayfa2!$D$1,
 IF(COUNTIF(Sayfa2!$E$2:$E$8, "*"&amp;D1032&amp;"*")&gt;0, Sayfa2!$E$1, "Bulunamadı")))))</f>
        <v>CUMA</v>
      </c>
    </row>
    <row r="1033" spans="1:5" hidden="1" x14ac:dyDescent="0.25">
      <c r="A1033" t="s">
        <v>2681</v>
      </c>
      <c r="B1033" t="s">
        <v>1136</v>
      </c>
      <c r="C1033" t="s">
        <v>2668</v>
      </c>
      <c r="D1033" s="4" t="s">
        <v>3079</v>
      </c>
      <c r="E1033" t="str">
        <f>IF(COUNTIF(Sayfa2!$A$2:$A$8,"*"&amp;D1033&amp;"*")&gt;0, Sayfa2!$A$1,
 IF(COUNTIF(Sayfa2!$B$2:$B$8, "*"&amp;D1033&amp;"*")&gt;0, Sayfa2!$B$1,
 IF(COUNTIF(Sayfa2!$C$2:$C$8, "*"&amp;D1033&amp;"*")&gt;0, Sayfa2!$C$1,
 IF(COUNTIF(Sayfa2!$D$2:$D$8,"*"&amp;D1033&amp;"*")&gt;0, Sayfa2!$D$1,
 IF(COUNTIF(Sayfa2!$E$2:$E$8, "*"&amp;D1033&amp;"*")&gt;0, Sayfa2!$E$1, "Bulunamadı")))))</f>
        <v>SALI</v>
      </c>
    </row>
    <row r="1034" spans="1:5" hidden="1" x14ac:dyDescent="0.25">
      <c r="A1034" t="s">
        <v>2682</v>
      </c>
      <c r="B1034" t="s">
        <v>1137</v>
      </c>
      <c r="C1034" t="s">
        <v>2664</v>
      </c>
      <c r="D1034" s="4" t="s">
        <v>3077</v>
      </c>
      <c r="E1034" t="str">
        <f>IF(COUNTIF(Sayfa2!$A$2:$A$8,"*"&amp;D1034&amp;"*")&gt;0, Sayfa2!$A$1,
 IF(COUNTIF(Sayfa2!$B$2:$B$8, "*"&amp;D1034&amp;"*")&gt;0, Sayfa2!$B$1,
 IF(COUNTIF(Sayfa2!$C$2:$C$8, "*"&amp;D1034&amp;"*")&gt;0, Sayfa2!$C$1,
 IF(COUNTIF(Sayfa2!$D$2:$D$8,"*"&amp;D1034&amp;"*")&gt;0, Sayfa2!$D$1,
 IF(COUNTIF(Sayfa2!$E$2:$E$8, "*"&amp;D1034&amp;"*")&gt;0, Sayfa2!$E$1, "Bulunamadı")))))</f>
        <v>CUMA</v>
      </c>
    </row>
    <row r="1035" spans="1:5" hidden="1" x14ac:dyDescent="0.25">
      <c r="A1035" t="s">
        <v>2683</v>
      </c>
      <c r="B1035" t="s">
        <v>1138</v>
      </c>
      <c r="C1035" t="s">
        <v>2668</v>
      </c>
      <c r="D1035" s="4" t="s">
        <v>3079</v>
      </c>
      <c r="E1035" t="str">
        <f>IF(COUNTIF(Sayfa2!$A$2:$A$8,"*"&amp;D1035&amp;"*")&gt;0, Sayfa2!$A$1,
 IF(COUNTIF(Sayfa2!$B$2:$B$8, "*"&amp;D1035&amp;"*")&gt;0, Sayfa2!$B$1,
 IF(COUNTIF(Sayfa2!$C$2:$C$8, "*"&amp;D1035&amp;"*")&gt;0, Sayfa2!$C$1,
 IF(COUNTIF(Sayfa2!$D$2:$D$8,"*"&amp;D1035&amp;"*")&gt;0, Sayfa2!$D$1,
 IF(COUNTIF(Sayfa2!$E$2:$E$8, "*"&amp;D1035&amp;"*")&gt;0, Sayfa2!$E$1, "Bulunamadı")))))</f>
        <v>SALI</v>
      </c>
    </row>
    <row r="1036" spans="1:5" hidden="1" x14ac:dyDescent="0.25">
      <c r="A1036" t="s">
        <v>2684</v>
      </c>
      <c r="B1036" t="s">
        <v>1139</v>
      </c>
      <c r="C1036" t="s">
        <v>2664</v>
      </c>
      <c r="D1036" s="4" t="s">
        <v>3077</v>
      </c>
      <c r="E1036" t="str">
        <f>IF(COUNTIF(Sayfa2!$A$2:$A$8,"*"&amp;D1036&amp;"*")&gt;0, Sayfa2!$A$1,
 IF(COUNTIF(Sayfa2!$B$2:$B$8, "*"&amp;D1036&amp;"*")&gt;0, Sayfa2!$B$1,
 IF(COUNTIF(Sayfa2!$C$2:$C$8, "*"&amp;D1036&amp;"*")&gt;0, Sayfa2!$C$1,
 IF(COUNTIF(Sayfa2!$D$2:$D$8,"*"&amp;D1036&amp;"*")&gt;0, Sayfa2!$D$1,
 IF(COUNTIF(Sayfa2!$E$2:$E$8, "*"&amp;D1036&amp;"*")&gt;0, Sayfa2!$E$1, "Bulunamadı")))))</f>
        <v>CUMA</v>
      </c>
    </row>
    <row r="1037" spans="1:5" hidden="1" x14ac:dyDescent="0.25">
      <c r="A1037" t="s">
        <v>1827</v>
      </c>
      <c r="B1037" t="s">
        <v>1140</v>
      </c>
      <c r="C1037" t="s">
        <v>2664</v>
      </c>
      <c r="D1037" s="4" t="s">
        <v>3077</v>
      </c>
      <c r="E1037" t="str">
        <f>IF(COUNTIF(Sayfa2!$A$2:$A$8,"*"&amp;D1037&amp;"*")&gt;0, Sayfa2!$A$1,
 IF(COUNTIF(Sayfa2!$B$2:$B$8, "*"&amp;D1037&amp;"*")&gt;0, Sayfa2!$B$1,
 IF(COUNTIF(Sayfa2!$C$2:$C$8, "*"&amp;D1037&amp;"*")&gt;0, Sayfa2!$C$1,
 IF(COUNTIF(Sayfa2!$D$2:$D$8,"*"&amp;D1037&amp;"*")&gt;0, Sayfa2!$D$1,
 IF(COUNTIF(Sayfa2!$E$2:$E$8, "*"&amp;D1037&amp;"*")&gt;0, Sayfa2!$E$1, "Bulunamadı")))))</f>
        <v>CUMA</v>
      </c>
    </row>
    <row r="1038" spans="1:5" hidden="1" x14ac:dyDescent="0.25">
      <c r="A1038" t="s">
        <v>2685</v>
      </c>
      <c r="B1038" t="s">
        <v>1141</v>
      </c>
      <c r="C1038" t="s">
        <v>2668</v>
      </c>
      <c r="D1038" s="4" t="s">
        <v>3079</v>
      </c>
      <c r="E1038" t="str">
        <f>IF(COUNTIF(Sayfa2!$A$2:$A$8,"*"&amp;D1038&amp;"*")&gt;0, Sayfa2!$A$1,
 IF(COUNTIF(Sayfa2!$B$2:$B$8, "*"&amp;D1038&amp;"*")&gt;0, Sayfa2!$B$1,
 IF(COUNTIF(Sayfa2!$C$2:$C$8, "*"&amp;D1038&amp;"*")&gt;0, Sayfa2!$C$1,
 IF(COUNTIF(Sayfa2!$D$2:$D$8,"*"&amp;D1038&amp;"*")&gt;0, Sayfa2!$D$1,
 IF(COUNTIF(Sayfa2!$E$2:$E$8, "*"&amp;D1038&amp;"*")&gt;0, Sayfa2!$E$1, "Bulunamadı")))))</f>
        <v>SALI</v>
      </c>
    </row>
    <row r="1039" spans="1:5" hidden="1" x14ac:dyDescent="0.25">
      <c r="A1039" t="s">
        <v>2048</v>
      </c>
      <c r="B1039" t="s">
        <v>1142</v>
      </c>
      <c r="C1039" t="s">
        <v>2668</v>
      </c>
      <c r="D1039" s="4" t="s">
        <v>3079</v>
      </c>
      <c r="E1039" t="str">
        <f>IF(COUNTIF(Sayfa2!$A$2:$A$8,"*"&amp;D1039&amp;"*")&gt;0, Sayfa2!$A$1,
 IF(COUNTIF(Sayfa2!$B$2:$B$8, "*"&amp;D1039&amp;"*")&gt;0, Sayfa2!$B$1,
 IF(COUNTIF(Sayfa2!$C$2:$C$8, "*"&amp;D1039&amp;"*")&gt;0, Sayfa2!$C$1,
 IF(COUNTIF(Sayfa2!$D$2:$D$8,"*"&amp;D1039&amp;"*")&gt;0, Sayfa2!$D$1,
 IF(COUNTIF(Sayfa2!$E$2:$E$8, "*"&amp;D1039&amp;"*")&gt;0, Sayfa2!$E$1, "Bulunamadı")))))</f>
        <v>SALI</v>
      </c>
    </row>
    <row r="1040" spans="1:5" hidden="1" x14ac:dyDescent="0.25">
      <c r="A1040" t="s">
        <v>2686</v>
      </c>
      <c r="B1040" t="s">
        <v>1143</v>
      </c>
      <c r="C1040" t="s">
        <v>2664</v>
      </c>
      <c r="D1040" s="4" t="s">
        <v>3077</v>
      </c>
      <c r="E1040" t="str">
        <f>IF(COUNTIF(Sayfa2!$A$2:$A$8,"*"&amp;D1040&amp;"*")&gt;0, Sayfa2!$A$1,
 IF(COUNTIF(Sayfa2!$B$2:$B$8, "*"&amp;D1040&amp;"*")&gt;0, Sayfa2!$B$1,
 IF(COUNTIF(Sayfa2!$C$2:$C$8, "*"&amp;D1040&amp;"*")&gt;0, Sayfa2!$C$1,
 IF(COUNTIF(Sayfa2!$D$2:$D$8,"*"&amp;D1040&amp;"*")&gt;0, Sayfa2!$D$1,
 IF(COUNTIF(Sayfa2!$E$2:$E$8, "*"&amp;D1040&amp;"*")&gt;0, Sayfa2!$E$1, "Bulunamadı")))))</f>
        <v>CUMA</v>
      </c>
    </row>
    <row r="1041" spans="1:5" hidden="1" x14ac:dyDescent="0.25">
      <c r="A1041" t="s">
        <v>2687</v>
      </c>
      <c r="B1041" t="s">
        <v>1144</v>
      </c>
      <c r="C1041" t="s">
        <v>2664</v>
      </c>
      <c r="D1041" s="4" t="s">
        <v>3077</v>
      </c>
      <c r="E1041" t="str">
        <f>IF(COUNTIF(Sayfa2!$A$2:$A$8,"*"&amp;D1041&amp;"*")&gt;0, Sayfa2!$A$1,
 IF(COUNTIF(Sayfa2!$B$2:$B$8, "*"&amp;D1041&amp;"*")&gt;0, Sayfa2!$B$1,
 IF(COUNTIF(Sayfa2!$C$2:$C$8, "*"&amp;D1041&amp;"*")&gt;0, Sayfa2!$C$1,
 IF(COUNTIF(Sayfa2!$D$2:$D$8,"*"&amp;D1041&amp;"*")&gt;0, Sayfa2!$D$1,
 IF(COUNTIF(Sayfa2!$E$2:$E$8, "*"&amp;D1041&amp;"*")&gt;0, Sayfa2!$E$1, "Bulunamadı")))))</f>
        <v>CUMA</v>
      </c>
    </row>
    <row r="1042" spans="1:5" hidden="1" x14ac:dyDescent="0.25">
      <c r="A1042" t="s">
        <v>2688</v>
      </c>
      <c r="B1042" t="s">
        <v>1145</v>
      </c>
      <c r="C1042" t="s">
        <v>2664</v>
      </c>
      <c r="D1042" s="4" t="s">
        <v>3077</v>
      </c>
      <c r="E1042" t="str">
        <f>IF(COUNTIF(Sayfa2!$A$2:$A$8,"*"&amp;D1042&amp;"*")&gt;0, Sayfa2!$A$1,
 IF(COUNTIF(Sayfa2!$B$2:$B$8, "*"&amp;D1042&amp;"*")&gt;0, Sayfa2!$B$1,
 IF(COUNTIF(Sayfa2!$C$2:$C$8, "*"&amp;D1042&amp;"*")&gt;0, Sayfa2!$C$1,
 IF(COUNTIF(Sayfa2!$D$2:$D$8,"*"&amp;D1042&amp;"*")&gt;0, Sayfa2!$D$1,
 IF(COUNTIF(Sayfa2!$E$2:$E$8, "*"&amp;D1042&amp;"*")&gt;0, Sayfa2!$E$1, "Bulunamadı")))))</f>
        <v>CUMA</v>
      </c>
    </row>
    <row r="1043" spans="1:5" hidden="1" x14ac:dyDescent="0.25">
      <c r="A1043" t="s">
        <v>2689</v>
      </c>
      <c r="B1043" t="s">
        <v>1146</v>
      </c>
      <c r="C1043" t="s">
        <v>2664</v>
      </c>
      <c r="D1043" s="4" t="s">
        <v>3077</v>
      </c>
      <c r="E1043" t="str">
        <f>IF(COUNTIF(Sayfa2!$A$2:$A$8,"*"&amp;D1043&amp;"*")&gt;0, Sayfa2!$A$1,
 IF(COUNTIF(Sayfa2!$B$2:$B$8, "*"&amp;D1043&amp;"*")&gt;0, Sayfa2!$B$1,
 IF(COUNTIF(Sayfa2!$C$2:$C$8, "*"&amp;D1043&amp;"*")&gt;0, Sayfa2!$C$1,
 IF(COUNTIF(Sayfa2!$D$2:$D$8,"*"&amp;D1043&amp;"*")&gt;0, Sayfa2!$D$1,
 IF(COUNTIF(Sayfa2!$E$2:$E$8, "*"&amp;D1043&amp;"*")&gt;0, Sayfa2!$E$1, "Bulunamadı")))))</f>
        <v>CUMA</v>
      </c>
    </row>
    <row r="1044" spans="1:5" hidden="1" x14ac:dyDescent="0.25">
      <c r="A1044" t="s">
        <v>2690</v>
      </c>
      <c r="B1044" t="s">
        <v>1147</v>
      </c>
      <c r="C1044" t="s">
        <v>2668</v>
      </c>
      <c r="D1044" s="4" t="s">
        <v>3079</v>
      </c>
      <c r="E1044" t="str">
        <f>IF(COUNTIF(Sayfa2!$A$2:$A$8,"*"&amp;D1044&amp;"*")&gt;0, Sayfa2!$A$1,
 IF(COUNTIF(Sayfa2!$B$2:$B$8, "*"&amp;D1044&amp;"*")&gt;0, Sayfa2!$B$1,
 IF(COUNTIF(Sayfa2!$C$2:$C$8, "*"&amp;D1044&amp;"*")&gt;0, Sayfa2!$C$1,
 IF(COUNTIF(Sayfa2!$D$2:$D$8,"*"&amp;D1044&amp;"*")&gt;0, Sayfa2!$D$1,
 IF(COUNTIF(Sayfa2!$E$2:$E$8, "*"&amp;D1044&amp;"*")&gt;0, Sayfa2!$E$1, "Bulunamadı")))))</f>
        <v>SALI</v>
      </c>
    </row>
    <row r="1045" spans="1:5" hidden="1" x14ac:dyDescent="0.25">
      <c r="A1045" t="s">
        <v>2691</v>
      </c>
      <c r="B1045" t="s">
        <v>1148</v>
      </c>
      <c r="C1045" t="s">
        <v>2664</v>
      </c>
      <c r="D1045" s="4" t="s">
        <v>3077</v>
      </c>
      <c r="E1045" t="str">
        <f>IF(COUNTIF(Sayfa2!$A$2:$A$8,"*"&amp;D1045&amp;"*")&gt;0, Sayfa2!$A$1,
 IF(COUNTIF(Sayfa2!$B$2:$B$8, "*"&amp;D1045&amp;"*")&gt;0, Sayfa2!$B$1,
 IF(COUNTIF(Sayfa2!$C$2:$C$8, "*"&amp;D1045&amp;"*")&gt;0, Sayfa2!$C$1,
 IF(COUNTIF(Sayfa2!$D$2:$D$8,"*"&amp;D1045&amp;"*")&gt;0, Sayfa2!$D$1,
 IF(COUNTIF(Sayfa2!$E$2:$E$8, "*"&amp;D1045&amp;"*")&gt;0, Sayfa2!$E$1, "Bulunamadı")))))</f>
        <v>CUMA</v>
      </c>
    </row>
    <row r="1046" spans="1:5" hidden="1" x14ac:dyDescent="0.25">
      <c r="A1046" t="s">
        <v>2692</v>
      </c>
      <c r="B1046" t="s">
        <v>1149</v>
      </c>
      <c r="C1046" t="s">
        <v>2664</v>
      </c>
      <c r="D1046" s="4" t="s">
        <v>3077</v>
      </c>
      <c r="E1046" t="str">
        <f>IF(COUNTIF(Sayfa2!$A$2:$A$8,"*"&amp;D1046&amp;"*")&gt;0, Sayfa2!$A$1,
 IF(COUNTIF(Sayfa2!$B$2:$B$8, "*"&amp;D1046&amp;"*")&gt;0, Sayfa2!$B$1,
 IF(COUNTIF(Sayfa2!$C$2:$C$8, "*"&amp;D1046&amp;"*")&gt;0, Sayfa2!$C$1,
 IF(COUNTIF(Sayfa2!$D$2:$D$8,"*"&amp;D1046&amp;"*")&gt;0, Sayfa2!$D$1,
 IF(COUNTIF(Sayfa2!$E$2:$E$8, "*"&amp;D1046&amp;"*")&gt;0, Sayfa2!$E$1, "Bulunamadı")))))</f>
        <v>CUMA</v>
      </c>
    </row>
    <row r="1047" spans="1:5" hidden="1" x14ac:dyDescent="0.25">
      <c r="A1047" t="s">
        <v>2693</v>
      </c>
      <c r="B1047" t="s">
        <v>1150</v>
      </c>
      <c r="C1047" t="s">
        <v>2668</v>
      </c>
      <c r="D1047" s="4" t="s">
        <v>3079</v>
      </c>
      <c r="E1047" t="str">
        <f>IF(COUNTIF(Sayfa2!$A$2:$A$8,"*"&amp;D1047&amp;"*")&gt;0, Sayfa2!$A$1,
 IF(COUNTIF(Sayfa2!$B$2:$B$8, "*"&amp;D1047&amp;"*")&gt;0, Sayfa2!$B$1,
 IF(COUNTIF(Sayfa2!$C$2:$C$8, "*"&amp;D1047&amp;"*")&gt;0, Sayfa2!$C$1,
 IF(COUNTIF(Sayfa2!$D$2:$D$8,"*"&amp;D1047&amp;"*")&gt;0, Sayfa2!$D$1,
 IF(COUNTIF(Sayfa2!$E$2:$E$8, "*"&amp;D1047&amp;"*")&gt;0, Sayfa2!$E$1, "Bulunamadı")))))</f>
        <v>SALI</v>
      </c>
    </row>
    <row r="1048" spans="1:5" hidden="1" x14ac:dyDescent="0.25">
      <c r="A1048" t="s">
        <v>2694</v>
      </c>
      <c r="B1048" t="s">
        <v>1151</v>
      </c>
      <c r="C1048" t="s">
        <v>2668</v>
      </c>
      <c r="D1048" s="4" t="s">
        <v>3079</v>
      </c>
      <c r="E1048" t="str">
        <f>IF(COUNTIF(Sayfa2!$A$2:$A$8,"*"&amp;D1048&amp;"*")&gt;0, Sayfa2!$A$1,
 IF(COUNTIF(Sayfa2!$B$2:$B$8, "*"&amp;D1048&amp;"*")&gt;0, Sayfa2!$B$1,
 IF(COUNTIF(Sayfa2!$C$2:$C$8, "*"&amp;D1048&amp;"*")&gt;0, Sayfa2!$C$1,
 IF(COUNTIF(Sayfa2!$D$2:$D$8,"*"&amp;D1048&amp;"*")&gt;0, Sayfa2!$D$1,
 IF(COUNTIF(Sayfa2!$E$2:$E$8, "*"&amp;D1048&amp;"*")&gt;0, Sayfa2!$E$1, "Bulunamadı")))))</f>
        <v>SALI</v>
      </c>
    </row>
    <row r="1049" spans="1:5" hidden="1" x14ac:dyDescent="0.25">
      <c r="A1049" t="s">
        <v>2695</v>
      </c>
      <c r="B1049" t="s">
        <v>1152</v>
      </c>
      <c r="C1049" t="s">
        <v>2664</v>
      </c>
      <c r="D1049" s="4" t="s">
        <v>3077</v>
      </c>
      <c r="E1049" t="str">
        <f>IF(COUNTIF(Sayfa2!$A$2:$A$8,"*"&amp;D1049&amp;"*")&gt;0, Sayfa2!$A$1,
 IF(COUNTIF(Sayfa2!$B$2:$B$8, "*"&amp;D1049&amp;"*")&gt;0, Sayfa2!$B$1,
 IF(COUNTIF(Sayfa2!$C$2:$C$8, "*"&amp;D1049&amp;"*")&gt;0, Sayfa2!$C$1,
 IF(COUNTIF(Sayfa2!$D$2:$D$8,"*"&amp;D1049&amp;"*")&gt;0, Sayfa2!$D$1,
 IF(COUNTIF(Sayfa2!$E$2:$E$8, "*"&amp;D1049&amp;"*")&gt;0, Sayfa2!$E$1, "Bulunamadı")))))</f>
        <v>CUMA</v>
      </c>
    </row>
    <row r="1050" spans="1:5" hidden="1" x14ac:dyDescent="0.25">
      <c r="A1050" t="s">
        <v>2696</v>
      </c>
      <c r="B1050" t="s">
        <v>1153</v>
      </c>
      <c r="C1050" t="s">
        <v>2664</v>
      </c>
      <c r="D1050" s="4" t="s">
        <v>3077</v>
      </c>
      <c r="E1050" t="str">
        <f>IF(COUNTIF(Sayfa2!$A$2:$A$8,"*"&amp;D1050&amp;"*")&gt;0, Sayfa2!$A$1,
 IF(COUNTIF(Sayfa2!$B$2:$B$8, "*"&amp;D1050&amp;"*")&gt;0, Sayfa2!$B$1,
 IF(COUNTIF(Sayfa2!$C$2:$C$8, "*"&amp;D1050&amp;"*")&gt;0, Sayfa2!$C$1,
 IF(COUNTIF(Sayfa2!$D$2:$D$8,"*"&amp;D1050&amp;"*")&gt;0, Sayfa2!$D$1,
 IF(COUNTIF(Sayfa2!$E$2:$E$8, "*"&amp;D1050&amp;"*")&gt;0, Sayfa2!$E$1, "Bulunamadı")))))</f>
        <v>CUMA</v>
      </c>
    </row>
    <row r="1051" spans="1:5" hidden="1" x14ac:dyDescent="0.25">
      <c r="A1051" t="s">
        <v>2697</v>
      </c>
      <c r="B1051" t="s">
        <v>1154</v>
      </c>
      <c r="C1051" t="s">
        <v>2664</v>
      </c>
      <c r="D1051" s="4" t="s">
        <v>3077</v>
      </c>
      <c r="E1051" t="str">
        <f>IF(COUNTIF(Sayfa2!$A$2:$A$8,"*"&amp;D1051&amp;"*")&gt;0, Sayfa2!$A$1,
 IF(COUNTIF(Sayfa2!$B$2:$B$8, "*"&amp;D1051&amp;"*")&gt;0, Sayfa2!$B$1,
 IF(COUNTIF(Sayfa2!$C$2:$C$8, "*"&amp;D1051&amp;"*")&gt;0, Sayfa2!$C$1,
 IF(COUNTIF(Sayfa2!$D$2:$D$8,"*"&amp;D1051&amp;"*")&gt;0, Sayfa2!$D$1,
 IF(COUNTIF(Sayfa2!$E$2:$E$8, "*"&amp;D1051&amp;"*")&gt;0, Sayfa2!$E$1, "Bulunamadı")))))</f>
        <v>CUMA</v>
      </c>
    </row>
    <row r="1052" spans="1:5" hidden="1" x14ac:dyDescent="0.25">
      <c r="A1052" t="s">
        <v>2698</v>
      </c>
      <c r="B1052" t="s">
        <v>1155</v>
      </c>
      <c r="C1052" t="s">
        <v>2664</v>
      </c>
      <c r="D1052" s="4" t="s">
        <v>3077</v>
      </c>
      <c r="E1052" t="str">
        <f>IF(COUNTIF(Sayfa2!$A$2:$A$8,"*"&amp;D1052&amp;"*")&gt;0, Sayfa2!$A$1,
 IF(COUNTIF(Sayfa2!$B$2:$B$8, "*"&amp;D1052&amp;"*")&gt;0, Sayfa2!$B$1,
 IF(COUNTIF(Sayfa2!$C$2:$C$8, "*"&amp;D1052&amp;"*")&gt;0, Sayfa2!$C$1,
 IF(COUNTIF(Sayfa2!$D$2:$D$8,"*"&amp;D1052&amp;"*")&gt;0, Sayfa2!$D$1,
 IF(COUNTIF(Sayfa2!$E$2:$E$8, "*"&amp;D1052&amp;"*")&gt;0, Sayfa2!$E$1, "Bulunamadı")))))</f>
        <v>CUMA</v>
      </c>
    </row>
    <row r="1053" spans="1:5" hidden="1" x14ac:dyDescent="0.25">
      <c r="A1053" t="s">
        <v>2699</v>
      </c>
      <c r="B1053" t="s">
        <v>1156</v>
      </c>
      <c r="C1053" t="s">
        <v>2668</v>
      </c>
      <c r="D1053" s="4" t="s">
        <v>3079</v>
      </c>
      <c r="E1053" t="str">
        <f>IF(COUNTIF(Sayfa2!$A$2:$A$8,"*"&amp;D1053&amp;"*")&gt;0, Sayfa2!$A$1,
 IF(COUNTIF(Sayfa2!$B$2:$B$8, "*"&amp;D1053&amp;"*")&gt;0, Sayfa2!$B$1,
 IF(COUNTIF(Sayfa2!$C$2:$C$8, "*"&amp;D1053&amp;"*")&gt;0, Sayfa2!$C$1,
 IF(COUNTIF(Sayfa2!$D$2:$D$8,"*"&amp;D1053&amp;"*")&gt;0, Sayfa2!$D$1,
 IF(COUNTIF(Sayfa2!$E$2:$E$8, "*"&amp;D1053&amp;"*")&gt;0, Sayfa2!$E$1, "Bulunamadı")))))</f>
        <v>SALI</v>
      </c>
    </row>
    <row r="1054" spans="1:5" hidden="1" x14ac:dyDescent="0.25">
      <c r="A1054" t="s">
        <v>2700</v>
      </c>
      <c r="B1054" t="s">
        <v>1157</v>
      </c>
      <c r="C1054" t="s">
        <v>2668</v>
      </c>
      <c r="D1054" s="4" t="s">
        <v>3079</v>
      </c>
      <c r="E1054" t="str">
        <f>IF(COUNTIF(Sayfa2!$A$2:$A$8,"*"&amp;D1054&amp;"*")&gt;0, Sayfa2!$A$1,
 IF(COUNTIF(Sayfa2!$B$2:$B$8, "*"&amp;D1054&amp;"*")&gt;0, Sayfa2!$B$1,
 IF(COUNTIF(Sayfa2!$C$2:$C$8, "*"&amp;D1054&amp;"*")&gt;0, Sayfa2!$C$1,
 IF(COUNTIF(Sayfa2!$D$2:$D$8,"*"&amp;D1054&amp;"*")&gt;0, Sayfa2!$D$1,
 IF(COUNTIF(Sayfa2!$E$2:$E$8, "*"&amp;D1054&amp;"*")&gt;0, Sayfa2!$E$1, "Bulunamadı")))))</f>
        <v>SALI</v>
      </c>
    </row>
    <row r="1055" spans="1:5" hidden="1" x14ac:dyDescent="0.25">
      <c r="A1055" t="s">
        <v>2701</v>
      </c>
      <c r="B1055" t="s">
        <v>1158</v>
      </c>
      <c r="C1055" t="s">
        <v>2668</v>
      </c>
      <c r="D1055" s="4" t="s">
        <v>3079</v>
      </c>
      <c r="E1055" t="str">
        <f>IF(COUNTIF(Sayfa2!$A$2:$A$8,"*"&amp;D1055&amp;"*")&gt;0, Sayfa2!$A$1,
 IF(COUNTIF(Sayfa2!$B$2:$B$8, "*"&amp;D1055&amp;"*")&gt;0, Sayfa2!$B$1,
 IF(COUNTIF(Sayfa2!$C$2:$C$8, "*"&amp;D1055&amp;"*")&gt;0, Sayfa2!$C$1,
 IF(COUNTIF(Sayfa2!$D$2:$D$8,"*"&amp;D1055&amp;"*")&gt;0, Sayfa2!$D$1,
 IF(COUNTIF(Sayfa2!$E$2:$E$8, "*"&amp;D1055&amp;"*")&gt;0, Sayfa2!$E$1, "Bulunamadı")))))</f>
        <v>SALI</v>
      </c>
    </row>
    <row r="1056" spans="1:5" hidden="1" x14ac:dyDescent="0.25">
      <c r="A1056" t="s">
        <v>2702</v>
      </c>
      <c r="B1056" t="s">
        <v>1159</v>
      </c>
      <c r="C1056" t="s">
        <v>2664</v>
      </c>
      <c r="D1056" s="4" t="s">
        <v>3077</v>
      </c>
      <c r="E1056" t="str">
        <f>IF(COUNTIF(Sayfa2!$A$2:$A$8,"*"&amp;D1056&amp;"*")&gt;0, Sayfa2!$A$1,
 IF(COUNTIF(Sayfa2!$B$2:$B$8, "*"&amp;D1056&amp;"*")&gt;0, Sayfa2!$B$1,
 IF(COUNTIF(Sayfa2!$C$2:$C$8, "*"&amp;D1056&amp;"*")&gt;0, Sayfa2!$C$1,
 IF(COUNTIF(Sayfa2!$D$2:$D$8,"*"&amp;D1056&amp;"*")&gt;0, Sayfa2!$D$1,
 IF(COUNTIF(Sayfa2!$E$2:$E$8, "*"&amp;D1056&amp;"*")&gt;0, Sayfa2!$E$1, "Bulunamadı")))))</f>
        <v>CUMA</v>
      </c>
    </row>
    <row r="1057" spans="1:5" hidden="1" x14ac:dyDescent="0.25">
      <c r="A1057" t="s">
        <v>2703</v>
      </c>
      <c r="B1057" t="s">
        <v>1160</v>
      </c>
      <c r="C1057" t="s">
        <v>2664</v>
      </c>
      <c r="D1057" s="4" t="s">
        <v>3077</v>
      </c>
      <c r="E1057" t="str">
        <f>IF(COUNTIF(Sayfa2!$A$2:$A$8,"*"&amp;D1057&amp;"*")&gt;0, Sayfa2!$A$1,
 IF(COUNTIF(Sayfa2!$B$2:$B$8, "*"&amp;D1057&amp;"*")&gt;0, Sayfa2!$B$1,
 IF(COUNTIF(Sayfa2!$C$2:$C$8, "*"&amp;D1057&amp;"*")&gt;0, Sayfa2!$C$1,
 IF(COUNTIF(Sayfa2!$D$2:$D$8,"*"&amp;D1057&amp;"*")&gt;0, Sayfa2!$D$1,
 IF(COUNTIF(Sayfa2!$E$2:$E$8, "*"&amp;D1057&amp;"*")&gt;0, Sayfa2!$E$1, "Bulunamadı")))))</f>
        <v>CUMA</v>
      </c>
    </row>
    <row r="1058" spans="1:5" hidden="1" x14ac:dyDescent="0.25">
      <c r="A1058" t="s">
        <v>2704</v>
      </c>
      <c r="B1058" t="s">
        <v>1161</v>
      </c>
      <c r="C1058" t="s">
        <v>2664</v>
      </c>
      <c r="D1058" s="4" t="s">
        <v>3077</v>
      </c>
      <c r="E1058" t="str">
        <f>IF(COUNTIF(Sayfa2!$A$2:$A$8,"*"&amp;D1058&amp;"*")&gt;0, Sayfa2!$A$1,
 IF(COUNTIF(Sayfa2!$B$2:$B$8, "*"&amp;D1058&amp;"*")&gt;0, Sayfa2!$B$1,
 IF(COUNTIF(Sayfa2!$C$2:$C$8, "*"&amp;D1058&amp;"*")&gt;0, Sayfa2!$C$1,
 IF(COUNTIF(Sayfa2!$D$2:$D$8,"*"&amp;D1058&amp;"*")&gt;0, Sayfa2!$D$1,
 IF(COUNTIF(Sayfa2!$E$2:$E$8, "*"&amp;D1058&amp;"*")&gt;0, Sayfa2!$E$1, "Bulunamadı")))))</f>
        <v>CUMA</v>
      </c>
    </row>
    <row r="1059" spans="1:5" hidden="1" x14ac:dyDescent="0.25">
      <c r="A1059" t="s">
        <v>2705</v>
      </c>
      <c r="B1059" t="s">
        <v>1162</v>
      </c>
      <c r="C1059" t="s">
        <v>2664</v>
      </c>
      <c r="D1059" s="4" t="s">
        <v>3077</v>
      </c>
      <c r="E1059" t="str">
        <f>IF(COUNTIF(Sayfa2!$A$2:$A$8,"*"&amp;D1059&amp;"*")&gt;0, Sayfa2!$A$1,
 IF(COUNTIF(Sayfa2!$B$2:$B$8, "*"&amp;D1059&amp;"*")&gt;0, Sayfa2!$B$1,
 IF(COUNTIF(Sayfa2!$C$2:$C$8, "*"&amp;D1059&amp;"*")&gt;0, Sayfa2!$C$1,
 IF(COUNTIF(Sayfa2!$D$2:$D$8,"*"&amp;D1059&amp;"*")&gt;0, Sayfa2!$D$1,
 IF(COUNTIF(Sayfa2!$E$2:$E$8, "*"&amp;D1059&amp;"*")&gt;0, Sayfa2!$E$1, "Bulunamadı")))))</f>
        <v>CUMA</v>
      </c>
    </row>
    <row r="1060" spans="1:5" hidden="1" x14ac:dyDescent="0.25">
      <c r="A1060" t="s">
        <v>2706</v>
      </c>
      <c r="B1060" t="s">
        <v>1163</v>
      </c>
      <c r="C1060" t="s">
        <v>2668</v>
      </c>
      <c r="D1060" s="4" t="s">
        <v>3079</v>
      </c>
      <c r="E1060" t="str">
        <f>IF(COUNTIF(Sayfa2!$A$2:$A$8,"*"&amp;D1060&amp;"*")&gt;0, Sayfa2!$A$1,
 IF(COUNTIF(Sayfa2!$B$2:$B$8, "*"&amp;D1060&amp;"*")&gt;0, Sayfa2!$B$1,
 IF(COUNTIF(Sayfa2!$C$2:$C$8, "*"&amp;D1060&amp;"*")&gt;0, Sayfa2!$C$1,
 IF(COUNTIF(Sayfa2!$D$2:$D$8,"*"&amp;D1060&amp;"*")&gt;0, Sayfa2!$D$1,
 IF(COUNTIF(Sayfa2!$E$2:$E$8, "*"&amp;D1060&amp;"*")&gt;0, Sayfa2!$E$1, "Bulunamadı")))))</f>
        <v>SALI</v>
      </c>
    </row>
    <row r="1061" spans="1:5" hidden="1" x14ac:dyDescent="0.25">
      <c r="A1061" t="s">
        <v>2707</v>
      </c>
      <c r="B1061" t="s">
        <v>1164</v>
      </c>
      <c r="C1061" t="s">
        <v>2668</v>
      </c>
      <c r="D1061" s="4" t="s">
        <v>3079</v>
      </c>
      <c r="E1061" t="str">
        <f>IF(COUNTIF(Sayfa2!$A$2:$A$8,"*"&amp;D1061&amp;"*")&gt;0, Sayfa2!$A$1,
 IF(COUNTIF(Sayfa2!$B$2:$B$8, "*"&amp;D1061&amp;"*")&gt;0, Sayfa2!$B$1,
 IF(COUNTIF(Sayfa2!$C$2:$C$8, "*"&amp;D1061&amp;"*")&gt;0, Sayfa2!$C$1,
 IF(COUNTIF(Sayfa2!$D$2:$D$8,"*"&amp;D1061&amp;"*")&gt;0, Sayfa2!$D$1,
 IF(COUNTIF(Sayfa2!$E$2:$E$8, "*"&amp;D1061&amp;"*")&gt;0, Sayfa2!$E$1, "Bulunamadı")))))</f>
        <v>SALI</v>
      </c>
    </row>
    <row r="1062" spans="1:5" hidden="1" x14ac:dyDescent="0.25">
      <c r="A1062" t="s">
        <v>2708</v>
      </c>
      <c r="B1062" t="s">
        <v>1165</v>
      </c>
      <c r="C1062" t="s">
        <v>2668</v>
      </c>
      <c r="D1062" s="4" t="s">
        <v>3079</v>
      </c>
      <c r="E1062" t="str">
        <f>IF(COUNTIF(Sayfa2!$A$2:$A$8,"*"&amp;D1062&amp;"*")&gt;0, Sayfa2!$A$1,
 IF(COUNTIF(Sayfa2!$B$2:$B$8, "*"&amp;D1062&amp;"*")&gt;0, Sayfa2!$B$1,
 IF(COUNTIF(Sayfa2!$C$2:$C$8, "*"&amp;D1062&amp;"*")&gt;0, Sayfa2!$C$1,
 IF(COUNTIF(Sayfa2!$D$2:$D$8,"*"&amp;D1062&amp;"*")&gt;0, Sayfa2!$D$1,
 IF(COUNTIF(Sayfa2!$E$2:$E$8, "*"&amp;D1062&amp;"*")&gt;0, Sayfa2!$E$1, "Bulunamadı")))))</f>
        <v>SALI</v>
      </c>
    </row>
    <row r="1063" spans="1:5" hidden="1" x14ac:dyDescent="0.25">
      <c r="A1063" t="s">
        <v>2709</v>
      </c>
      <c r="B1063" t="s">
        <v>1166</v>
      </c>
      <c r="C1063" t="s">
        <v>2664</v>
      </c>
      <c r="D1063" s="4" t="s">
        <v>3077</v>
      </c>
      <c r="E1063" t="str">
        <f>IF(COUNTIF(Sayfa2!$A$2:$A$8,"*"&amp;D1063&amp;"*")&gt;0, Sayfa2!$A$1,
 IF(COUNTIF(Sayfa2!$B$2:$B$8, "*"&amp;D1063&amp;"*")&gt;0, Sayfa2!$B$1,
 IF(COUNTIF(Sayfa2!$C$2:$C$8, "*"&amp;D1063&amp;"*")&gt;0, Sayfa2!$C$1,
 IF(COUNTIF(Sayfa2!$D$2:$D$8,"*"&amp;D1063&amp;"*")&gt;0, Sayfa2!$D$1,
 IF(COUNTIF(Sayfa2!$E$2:$E$8, "*"&amp;D1063&amp;"*")&gt;0, Sayfa2!$E$1, "Bulunamadı")))))</f>
        <v>CUMA</v>
      </c>
    </row>
    <row r="1064" spans="1:5" hidden="1" x14ac:dyDescent="0.25">
      <c r="A1064" t="s">
        <v>2710</v>
      </c>
      <c r="B1064" t="s">
        <v>1167</v>
      </c>
      <c r="C1064" t="s">
        <v>2664</v>
      </c>
      <c r="D1064" s="4" t="s">
        <v>3077</v>
      </c>
      <c r="E1064" t="str">
        <f>IF(COUNTIF(Sayfa2!$A$2:$A$8,"*"&amp;D1064&amp;"*")&gt;0, Sayfa2!$A$1,
 IF(COUNTIF(Sayfa2!$B$2:$B$8, "*"&amp;D1064&amp;"*")&gt;0, Sayfa2!$B$1,
 IF(COUNTIF(Sayfa2!$C$2:$C$8, "*"&amp;D1064&amp;"*")&gt;0, Sayfa2!$C$1,
 IF(COUNTIF(Sayfa2!$D$2:$D$8,"*"&amp;D1064&amp;"*")&gt;0, Sayfa2!$D$1,
 IF(COUNTIF(Sayfa2!$E$2:$E$8, "*"&amp;D1064&amp;"*")&gt;0, Sayfa2!$E$1, "Bulunamadı")))))</f>
        <v>CUMA</v>
      </c>
    </row>
    <row r="1065" spans="1:5" hidden="1" x14ac:dyDescent="0.25">
      <c r="A1065" t="s">
        <v>2711</v>
      </c>
      <c r="B1065" t="s">
        <v>1168</v>
      </c>
      <c r="C1065" t="s">
        <v>2664</v>
      </c>
      <c r="D1065" s="4" t="s">
        <v>3077</v>
      </c>
      <c r="E1065" t="str">
        <f>IF(COUNTIF(Sayfa2!$A$2:$A$8,"*"&amp;D1065&amp;"*")&gt;0, Sayfa2!$A$1,
 IF(COUNTIF(Sayfa2!$B$2:$B$8, "*"&amp;D1065&amp;"*")&gt;0, Sayfa2!$B$1,
 IF(COUNTIF(Sayfa2!$C$2:$C$8, "*"&amp;D1065&amp;"*")&gt;0, Sayfa2!$C$1,
 IF(COUNTIF(Sayfa2!$D$2:$D$8,"*"&amp;D1065&amp;"*")&gt;0, Sayfa2!$D$1,
 IF(COUNTIF(Sayfa2!$E$2:$E$8, "*"&amp;D1065&amp;"*")&gt;0, Sayfa2!$E$1, "Bulunamadı")))))</f>
        <v>CUMA</v>
      </c>
    </row>
    <row r="1066" spans="1:5" hidden="1" x14ac:dyDescent="0.25">
      <c r="A1066" t="s">
        <v>2712</v>
      </c>
      <c r="B1066" t="s">
        <v>1169</v>
      </c>
      <c r="C1066" t="s">
        <v>2668</v>
      </c>
      <c r="D1066" s="4" t="s">
        <v>3079</v>
      </c>
      <c r="E1066" t="str">
        <f>IF(COUNTIF(Sayfa2!$A$2:$A$8,"*"&amp;D1066&amp;"*")&gt;0, Sayfa2!$A$1,
 IF(COUNTIF(Sayfa2!$B$2:$B$8, "*"&amp;D1066&amp;"*")&gt;0, Sayfa2!$B$1,
 IF(COUNTIF(Sayfa2!$C$2:$C$8, "*"&amp;D1066&amp;"*")&gt;0, Sayfa2!$C$1,
 IF(COUNTIF(Sayfa2!$D$2:$D$8,"*"&amp;D1066&amp;"*")&gt;0, Sayfa2!$D$1,
 IF(COUNTIF(Sayfa2!$E$2:$E$8, "*"&amp;D1066&amp;"*")&gt;0, Sayfa2!$E$1, "Bulunamadı")))))</f>
        <v>SALI</v>
      </c>
    </row>
    <row r="1067" spans="1:5" hidden="1" x14ac:dyDescent="0.25">
      <c r="A1067" t="s">
        <v>2713</v>
      </c>
      <c r="B1067" t="s">
        <v>1170</v>
      </c>
      <c r="C1067" t="s">
        <v>2668</v>
      </c>
      <c r="D1067" s="4" t="s">
        <v>3079</v>
      </c>
      <c r="E1067" t="str">
        <f>IF(COUNTIF(Sayfa2!$A$2:$A$8,"*"&amp;D1067&amp;"*")&gt;0, Sayfa2!$A$1,
 IF(COUNTIF(Sayfa2!$B$2:$B$8, "*"&amp;D1067&amp;"*")&gt;0, Sayfa2!$B$1,
 IF(COUNTIF(Sayfa2!$C$2:$C$8, "*"&amp;D1067&amp;"*")&gt;0, Sayfa2!$C$1,
 IF(COUNTIF(Sayfa2!$D$2:$D$8,"*"&amp;D1067&amp;"*")&gt;0, Sayfa2!$D$1,
 IF(COUNTIF(Sayfa2!$E$2:$E$8, "*"&amp;D1067&amp;"*")&gt;0, Sayfa2!$E$1, "Bulunamadı")))))</f>
        <v>SALI</v>
      </c>
    </row>
    <row r="1068" spans="1:5" hidden="1" x14ac:dyDescent="0.25">
      <c r="A1068" t="s">
        <v>2714</v>
      </c>
      <c r="B1068" t="s">
        <v>1171</v>
      </c>
      <c r="C1068" t="s">
        <v>2664</v>
      </c>
      <c r="D1068" s="4" t="s">
        <v>3077</v>
      </c>
      <c r="E1068" t="str">
        <f>IF(COUNTIF(Sayfa2!$A$2:$A$8,"*"&amp;D1068&amp;"*")&gt;0, Sayfa2!$A$1,
 IF(COUNTIF(Sayfa2!$B$2:$B$8, "*"&amp;D1068&amp;"*")&gt;0, Sayfa2!$B$1,
 IF(COUNTIF(Sayfa2!$C$2:$C$8, "*"&amp;D1068&amp;"*")&gt;0, Sayfa2!$C$1,
 IF(COUNTIF(Sayfa2!$D$2:$D$8,"*"&amp;D1068&amp;"*")&gt;0, Sayfa2!$D$1,
 IF(COUNTIF(Sayfa2!$E$2:$E$8, "*"&amp;D1068&amp;"*")&gt;0, Sayfa2!$E$1, "Bulunamadı")))))</f>
        <v>CUMA</v>
      </c>
    </row>
    <row r="1069" spans="1:5" hidden="1" x14ac:dyDescent="0.25">
      <c r="A1069" t="s">
        <v>2715</v>
      </c>
      <c r="B1069" t="s">
        <v>1172</v>
      </c>
      <c r="C1069" t="s">
        <v>2664</v>
      </c>
      <c r="D1069" s="4" t="s">
        <v>3077</v>
      </c>
      <c r="E1069" t="str">
        <f>IF(COUNTIF(Sayfa2!$A$2:$A$8,"*"&amp;D1069&amp;"*")&gt;0, Sayfa2!$A$1,
 IF(COUNTIF(Sayfa2!$B$2:$B$8, "*"&amp;D1069&amp;"*")&gt;0, Sayfa2!$B$1,
 IF(COUNTIF(Sayfa2!$C$2:$C$8, "*"&amp;D1069&amp;"*")&gt;0, Sayfa2!$C$1,
 IF(COUNTIF(Sayfa2!$D$2:$D$8,"*"&amp;D1069&amp;"*")&gt;0, Sayfa2!$D$1,
 IF(COUNTIF(Sayfa2!$E$2:$E$8, "*"&amp;D1069&amp;"*")&gt;0, Sayfa2!$E$1, "Bulunamadı")))))</f>
        <v>CUMA</v>
      </c>
    </row>
    <row r="1070" spans="1:5" hidden="1" x14ac:dyDescent="0.25">
      <c r="A1070" t="s">
        <v>2716</v>
      </c>
      <c r="B1070" t="s">
        <v>1173</v>
      </c>
      <c r="C1070" t="s">
        <v>2664</v>
      </c>
      <c r="D1070" s="4" t="s">
        <v>3077</v>
      </c>
      <c r="E1070" t="str">
        <f>IF(COUNTIF(Sayfa2!$A$2:$A$8,"*"&amp;D1070&amp;"*")&gt;0, Sayfa2!$A$1,
 IF(COUNTIF(Sayfa2!$B$2:$B$8, "*"&amp;D1070&amp;"*")&gt;0, Sayfa2!$B$1,
 IF(COUNTIF(Sayfa2!$C$2:$C$8, "*"&amp;D1070&amp;"*")&gt;0, Sayfa2!$C$1,
 IF(COUNTIF(Sayfa2!$D$2:$D$8,"*"&amp;D1070&amp;"*")&gt;0, Sayfa2!$D$1,
 IF(COUNTIF(Sayfa2!$E$2:$E$8, "*"&amp;D1070&amp;"*")&gt;0, Sayfa2!$E$1, "Bulunamadı")))))</f>
        <v>CUMA</v>
      </c>
    </row>
    <row r="1071" spans="1:5" hidden="1" x14ac:dyDescent="0.25">
      <c r="A1071" t="s">
        <v>2717</v>
      </c>
      <c r="B1071" t="s">
        <v>1174</v>
      </c>
      <c r="C1071" t="s">
        <v>2668</v>
      </c>
      <c r="D1071" s="4" t="s">
        <v>3079</v>
      </c>
      <c r="E1071" t="str">
        <f>IF(COUNTIF(Sayfa2!$A$2:$A$8,"*"&amp;D1071&amp;"*")&gt;0, Sayfa2!$A$1,
 IF(COUNTIF(Sayfa2!$B$2:$B$8, "*"&amp;D1071&amp;"*")&gt;0, Sayfa2!$B$1,
 IF(COUNTIF(Sayfa2!$C$2:$C$8, "*"&amp;D1071&amp;"*")&gt;0, Sayfa2!$C$1,
 IF(COUNTIF(Sayfa2!$D$2:$D$8,"*"&amp;D1071&amp;"*")&gt;0, Sayfa2!$D$1,
 IF(COUNTIF(Sayfa2!$E$2:$E$8, "*"&amp;D1071&amp;"*")&gt;0, Sayfa2!$E$1, "Bulunamadı")))))</f>
        <v>SALI</v>
      </c>
    </row>
    <row r="1072" spans="1:5" hidden="1" x14ac:dyDescent="0.25">
      <c r="A1072" t="s">
        <v>2718</v>
      </c>
      <c r="B1072" t="s">
        <v>768</v>
      </c>
      <c r="C1072" t="s">
        <v>2668</v>
      </c>
      <c r="D1072" s="4" t="s">
        <v>3079</v>
      </c>
      <c r="E1072" t="str">
        <f>IF(COUNTIF(Sayfa2!$A$2:$A$8,"*"&amp;D1072&amp;"*")&gt;0, Sayfa2!$A$1,
 IF(COUNTIF(Sayfa2!$B$2:$B$8, "*"&amp;D1072&amp;"*")&gt;0, Sayfa2!$B$1,
 IF(COUNTIF(Sayfa2!$C$2:$C$8, "*"&amp;D1072&amp;"*")&gt;0, Sayfa2!$C$1,
 IF(COUNTIF(Sayfa2!$D$2:$D$8,"*"&amp;D1072&amp;"*")&gt;0, Sayfa2!$D$1,
 IF(COUNTIF(Sayfa2!$E$2:$E$8, "*"&amp;D1072&amp;"*")&gt;0, Sayfa2!$E$1, "Bulunamadı")))))</f>
        <v>SALI</v>
      </c>
    </row>
    <row r="1073" spans="1:5" hidden="1" x14ac:dyDescent="0.25">
      <c r="A1073" t="s">
        <v>2719</v>
      </c>
      <c r="B1073" t="s">
        <v>1175</v>
      </c>
      <c r="C1073" t="s">
        <v>2668</v>
      </c>
      <c r="D1073" s="4" t="s">
        <v>3079</v>
      </c>
      <c r="E1073" t="str">
        <f>IF(COUNTIF(Sayfa2!$A$2:$A$8,"*"&amp;D1073&amp;"*")&gt;0, Sayfa2!$A$1,
 IF(COUNTIF(Sayfa2!$B$2:$B$8, "*"&amp;D1073&amp;"*")&gt;0, Sayfa2!$B$1,
 IF(COUNTIF(Sayfa2!$C$2:$C$8, "*"&amp;D1073&amp;"*")&gt;0, Sayfa2!$C$1,
 IF(COUNTIF(Sayfa2!$D$2:$D$8,"*"&amp;D1073&amp;"*")&gt;0, Sayfa2!$D$1,
 IF(COUNTIF(Sayfa2!$E$2:$E$8, "*"&amp;D1073&amp;"*")&gt;0, Sayfa2!$E$1, "Bulunamadı")))))</f>
        <v>SALI</v>
      </c>
    </row>
    <row r="1074" spans="1:5" hidden="1" x14ac:dyDescent="0.25">
      <c r="A1074" t="s">
        <v>2720</v>
      </c>
      <c r="B1074" t="s">
        <v>1176</v>
      </c>
      <c r="C1074" t="s">
        <v>2668</v>
      </c>
      <c r="D1074" s="4" t="s">
        <v>3079</v>
      </c>
      <c r="E1074" t="str">
        <f>IF(COUNTIF(Sayfa2!$A$2:$A$8,"*"&amp;D1074&amp;"*")&gt;0, Sayfa2!$A$1,
 IF(COUNTIF(Sayfa2!$B$2:$B$8, "*"&amp;D1074&amp;"*")&gt;0, Sayfa2!$B$1,
 IF(COUNTIF(Sayfa2!$C$2:$C$8, "*"&amp;D1074&amp;"*")&gt;0, Sayfa2!$C$1,
 IF(COUNTIF(Sayfa2!$D$2:$D$8,"*"&amp;D1074&amp;"*")&gt;0, Sayfa2!$D$1,
 IF(COUNTIF(Sayfa2!$E$2:$E$8, "*"&amp;D1074&amp;"*")&gt;0, Sayfa2!$E$1, "Bulunamadı")))))</f>
        <v>SALI</v>
      </c>
    </row>
    <row r="1075" spans="1:5" hidden="1" x14ac:dyDescent="0.25">
      <c r="A1075" t="s">
        <v>2721</v>
      </c>
      <c r="B1075" t="s">
        <v>1177</v>
      </c>
      <c r="C1075" t="s">
        <v>2668</v>
      </c>
      <c r="D1075" s="4" t="s">
        <v>3079</v>
      </c>
      <c r="E1075" t="str">
        <f>IF(COUNTIF(Sayfa2!$A$2:$A$8,"*"&amp;D1075&amp;"*")&gt;0, Sayfa2!$A$1,
 IF(COUNTIF(Sayfa2!$B$2:$B$8, "*"&amp;D1075&amp;"*")&gt;0, Sayfa2!$B$1,
 IF(COUNTIF(Sayfa2!$C$2:$C$8, "*"&amp;D1075&amp;"*")&gt;0, Sayfa2!$C$1,
 IF(COUNTIF(Sayfa2!$D$2:$D$8,"*"&amp;D1075&amp;"*")&gt;0, Sayfa2!$D$1,
 IF(COUNTIF(Sayfa2!$E$2:$E$8, "*"&amp;D1075&amp;"*")&gt;0, Sayfa2!$E$1, "Bulunamadı")))))</f>
        <v>SALI</v>
      </c>
    </row>
    <row r="1076" spans="1:5" hidden="1" x14ac:dyDescent="0.25">
      <c r="A1076" t="s">
        <v>2722</v>
      </c>
      <c r="B1076" t="s">
        <v>1178</v>
      </c>
      <c r="C1076" t="s">
        <v>2664</v>
      </c>
      <c r="D1076" s="4" t="s">
        <v>3077</v>
      </c>
      <c r="E1076" t="str">
        <f>IF(COUNTIF(Sayfa2!$A$2:$A$8,"*"&amp;D1076&amp;"*")&gt;0, Sayfa2!$A$1,
 IF(COUNTIF(Sayfa2!$B$2:$B$8, "*"&amp;D1076&amp;"*")&gt;0, Sayfa2!$B$1,
 IF(COUNTIF(Sayfa2!$C$2:$C$8, "*"&amp;D1076&amp;"*")&gt;0, Sayfa2!$C$1,
 IF(COUNTIF(Sayfa2!$D$2:$D$8,"*"&amp;D1076&amp;"*")&gt;0, Sayfa2!$D$1,
 IF(COUNTIF(Sayfa2!$E$2:$E$8, "*"&amp;D1076&amp;"*")&gt;0, Sayfa2!$E$1, "Bulunamadı")))))</f>
        <v>CUMA</v>
      </c>
    </row>
    <row r="1077" spans="1:5" hidden="1" x14ac:dyDescent="0.25">
      <c r="A1077" t="s">
        <v>2723</v>
      </c>
      <c r="B1077" t="s">
        <v>1179</v>
      </c>
      <c r="C1077" t="s">
        <v>2668</v>
      </c>
      <c r="D1077" s="4" t="s">
        <v>3079</v>
      </c>
      <c r="E1077" t="str">
        <f>IF(COUNTIF(Sayfa2!$A$2:$A$8,"*"&amp;D1077&amp;"*")&gt;0, Sayfa2!$A$1,
 IF(COUNTIF(Sayfa2!$B$2:$B$8, "*"&amp;D1077&amp;"*")&gt;0, Sayfa2!$B$1,
 IF(COUNTIF(Sayfa2!$C$2:$C$8, "*"&amp;D1077&amp;"*")&gt;0, Sayfa2!$C$1,
 IF(COUNTIF(Sayfa2!$D$2:$D$8,"*"&amp;D1077&amp;"*")&gt;0, Sayfa2!$D$1,
 IF(COUNTIF(Sayfa2!$E$2:$E$8, "*"&amp;D1077&amp;"*")&gt;0, Sayfa2!$E$1, "Bulunamadı")))))</f>
        <v>SALI</v>
      </c>
    </row>
    <row r="1078" spans="1:5" hidden="1" x14ac:dyDescent="0.25">
      <c r="A1078" t="s">
        <v>1794</v>
      </c>
      <c r="B1078" t="s">
        <v>1180</v>
      </c>
      <c r="C1078" t="s">
        <v>2664</v>
      </c>
      <c r="D1078" s="4" t="s">
        <v>3077</v>
      </c>
      <c r="E1078" t="str">
        <f>IF(COUNTIF(Sayfa2!$A$2:$A$8,"*"&amp;D1078&amp;"*")&gt;0, Sayfa2!$A$1,
 IF(COUNTIF(Sayfa2!$B$2:$B$8, "*"&amp;D1078&amp;"*")&gt;0, Sayfa2!$B$1,
 IF(COUNTIF(Sayfa2!$C$2:$C$8, "*"&amp;D1078&amp;"*")&gt;0, Sayfa2!$C$1,
 IF(COUNTIF(Sayfa2!$D$2:$D$8,"*"&amp;D1078&amp;"*")&gt;0, Sayfa2!$D$1,
 IF(COUNTIF(Sayfa2!$E$2:$E$8, "*"&amp;D1078&amp;"*")&gt;0, Sayfa2!$E$1, "Bulunamadı")))))</f>
        <v>CUMA</v>
      </c>
    </row>
    <row r="1079" spans="1:5" hidden="1" x14ac:dyDescent="0.25">
      <c r="A1079" t="s">
        <v>2724</v>
      </c>
      <c r="B1079" t="s">
        <v>1181</v>
      </c>
      <c r="C1079" t="s">
        <v>2668</v>
      </c>
      <c r="D1079" s="4" t="s">
        <v>3079</v>
      </c>
      <c r="E1079" t="str">
        <f>IF(COUNTIF(Sayfa2!$A$2:$A$8,"*"&amp;D1079&amp;"*")&gt;0, Sayfa2!$A$1,
 IF(COUNTIF(Sayfa2!$B$2:$B$8, "*"&amp;D1079&amp;"*")&gt;0, Sayfa2!$B$1,
 IF(COUNTIF(Sayfa2!$C$2:$C$8, "*"&amp;D1079&amp;"*")&gt;0, Sayfa2!$C$1,
 IF(COUNTIF(Sayfa2!$D$2:$D$8,"*"&amp;D1079&amp;"*")&gt;0, Sayfa2!$D$1,
 IF(COUNTIF(Sayfa2!$E$2:$E$8, "*"&amp;D1079&amp;"*")&gt;0, Sayfa2!$E$1, "Bulunamadı")))))</f>
        <v>SALI</v>
      </c>
    </row>
    <row r="1080" spans="1:5" hidden="1" x14ac:dyDescent="0.25">
      <c r="A1080" t="s">
        <v>2725</v>
      </c>
      <c r="B1080" t="s">
        <v>1182</v>
      </c>
      <c r="C1080" t="s">
        <v>2664</v>
      </c>
      <c r="D1080" s="4" t="s">
        <v>3077</v>
      </c>
      <c r="E1080" t="str">
        <f>IF(COUNTIF(Sayfa2!$A$2:$A$8,"*"&amp;D1080&amp;"*")&gt;0, Sayfa2!$A$1,
 IF(COUNTIF(Sayfa2!$B$2:$B$8, "*"&amp;D1080&amp;"*")&gt;0, Sayfa2!$B$1,
 IF(COUNTIF(Sayfa2!$C$2:$C$8, "*"&amp;D1080&amp;"*")&gt;0, Sayfa2!$C$1,
 IF(COUNTIF(Sayfa2!$D$2:$D$8,"*"&amp;D1080&amp;"*")&gt;0, Sayfa2!$D$1,
 IF(COUNTIF(Sayfa2!$E$2:$E$8, "*"&amp;D1080&amp;"*")&gt;0, Sayfa2!$E$1, "Bulunamadı")))))</f>
        <v>CUMA</v>
      </c>
    </row>
    <row r="1081" spans="1:5" hidden="1" x14ac:dyDescent="0.25">
      <c r="A1081" t="s">
        <v>2726</v>
      </c>
      <c r="B1081" t="s">
        <v>975</v>
      </c>
      <c r="C1081" t="s">
        <v>2727</v>
      </c>
      <c r="D1081" s="4" t="s">
        <v>3081</v>
      </c>
      <c r="E1081" t="str">
        <f>IF(COUNTIF(Sayfa2!$A$2:$A$8,"*"&amp;D1081&amp;"*")&gt;0, Sayfa2!$A$1,
 IF(COUNTIF(Sayfa2!$B$2:$B$8, "*"&amp;D1081&amp;"*")&gt;0, Sayfa2!$B$1,
 IF(COUNTIF(Sayfa2!$C$2:$C$8, "*"&amp;D1081&amp;"*")&gt;0, Sayfa2!$C$1,
 IF(COUNTIF(Sayfa2!$D$2:$D$8,"*"&amp;D1081&amp;"*")&gt;0, Sayfa2!$D$1,
 IF(COUNTIF(Sayfa2!$E$2:$E$8, "*"&amp;D1081&amp;"*")&gt;0, Sayfa2!$E$1, "Bulunamadı")))))</f>
        <v>PERŞEMBE</v>
      </c>
    </row>
    <row r="1082" spans="1:5" hidden="1" x14ac:dyDescent="0.25">
      <c r="A1082" t="s">
        <v>2728</v>
      </c>
      <c r="B1082" t="s">
        <v>1184</v>
      </c>
      <c r="C1082" t="s">
        <v>2727</v>
      </c>
      <c r="D1082" s="4" t="s">
        <v>3081</v>
      </c>
      <c r="E1082" t="str">
        <f>IF(COUNTIF(Sayfa2!$A$2:$A$8,"*"&amp;D1082&amp;"*")&gt;0, Sayfa2!$A$1,
 IF(COUNTIF(Sayfa2!$B$2:$B$8, "*"&amp;D1082&amp;"*")&gt;0, Sayfa2!$B$1,
 IF(COUNTIF(Sayfa2!$C$2:$C$8, "*"&amp;D1082&amp;"*")&gt;0, Sayfa2!$C$1,
 IF(COUNTIF(Sayfa2!$D$2:$D$8,"*"&amp;D1082&amp;"*")&gt;0, Sayfa2!$D$1,
 IF(COUNTIF(Sayfa2!$E$2:$E$8, "*"&amp;D1082&amp;"*")&gt;0, Sayfa2!$E$1, "Bulunamadı")))))</f>
        <v>PERŞEMBE</v>
      </c>
    </row>
    <row r="1083" spans="1:5" hidden="1" x14ac:dyDescent="0.25">
      <c r="A1083" t="s">
        <v>2729</v>
      </c>
      <c r="B1083" t="s">
        <v>1185</v>
      </c>
      <c r="C1083" t="s">
        <v>2727</v>
      </c>
      <c r="D1083" s="4" t="s">
        <v>3081</v>
      </c>
      <c r="E1083" t="str">
        <f>IF(COUNTIF(Sayfa2!$A$2:$A$8,"*"&amp;D1083&amp;"*")&gt;0, Sayfa2!$A$1,
 IF(COUNTIF(Sayfa2!$B$2:$B$8, "*"&amp;D1083&amp;"*")&gt;0, Sayfa2!$B$1,
 IF(COUNTIF(Sayfa2!$C$2:$C$8, "*"&amp;D1083&amp;"*")&gt;0, Sayfa2!$C$1,
 IF(COUNTIF(Sayfa2!$D$2:$D$8,"*"&amp;D1083&amp;"*")&gt;0, Sayfa2!$D$1,
 IF(COUNTIF(Sayfa2!$E$2:$E$8, "*"&amp;D1083&amp;"*")&gt;0, Sayfa2!$E$1, "Bulunamadı")))))</f>
        <v>PERŞEMBE</v>
      </c>
    </row>
    <row r="1084" spans="1:5" hidden="1" x14ac:dyDescent="0.25">
      <c r="A1084" t="s">
        <v>2730</v>
      </c>
      <c r="B1084" t="s">
        <v>1186</v>
      </c>
      <c r="C1084" t="s">
        <v>2727</v>
      </c>
      <c r="D1084" s="4" t="s">
        <v>3081</v>
      </c>
      <c r="E1084" t="str">
        <f>IF(COUNTIF(Sayfa2!$A$2:$A$8,"*"&amp;D1084&amp;"*")&gt;0, Sayfa2!$A$1,
 IF(COUNTIF(Sayfa2!$B$2:$B$8, "*"&amp;D1084&amp;"*")&gt;0, Sayfa2!$B$1,
 IF(COUNTIF(Sayfa2!$C$2:$C$8, "*"&amp;D1084&amp;"*")&gt;0, Sayfa2!$C$1,
 IF(COUNTIF(Sayfa2!$D$2:$D$8,"*"&amp;D1084&amp;"*")&gt;0, Sayfa2!$D$1,
 IF(COUNTIF(Sayfa2!$E$2:$E$8, "*"&amp;D1084&amp;"*")&gt;0, Sayfa2!$E$1, "Bulunamadı")))))</f>
        <v>PERŞEMBE</v>
      </c>
    </row>
    <row r="1085" spans="1:5" hidden="1" x14ac:dyDescent="0.25">
      <c r="A1085" t="s">
        <v>1750</v>
      </c>
      <c r="B1085" t="s">
        <v>1187</v>
      </c>
      <c r="C1085" t="s">
        <v>2727</v>
      </c>
      <c r="D1085" s="4" t="s">
        <v>3081</v>
      </c>
      <c r="E1085" t="str">
        <f>IF(COUNTIF(Sayfa2!$A$2:$A$8,"*"&amp;D1085&amp;"*")&gt;0, Sayfa2!$A$1,
 IF(COUNTIF(Sayfa2!$B$2:$B$8, "*"&amp;D1085&amp;"*")&gt;0, Sayfa2!$B$1,
 IF(COUNTIF(Sayfa2!$C$2:$C$8, "*"&amp;D1085&amp;"*")&gt;0, Sayfa2!$C$1,
 IF(COUNTIF(Sayfa2!$D$2:$D$8,"*"&amp;D1085&amp;"*")&gt;0, Sayfa2!$D$1,
 IF(COUNTIF(Sayfa2!$E$2:$E$8, "*"&amp;D1085&amp;"*")&gt;0, Sayfa2!$E$1, "Bulunamadı")))))</f>
        <v>PERŞEMBE</v>
      </c>
    </row>
    <row r="1086" spans="1:5" hidden="1" x14ac:dyDescent="0.25">
      <c r="A1086" t="s">
        <v>2731</v>
      </c>
      <c r="B1086" t="s">
        <v>1188</v>
      </c>
      <c r="C1086" t="s">
        <v>2727</v>
      </c>
      <c r="D1086" s="4" t="s">
        <v>3081</v>
      </c>
      <c r="E1086" t="str">
        <f>IF(COUNTIF(Sayfa2!$A$2:$A$8,"*"&amp;D1086&amp;"*")&gt;0, Sayfa2!$A$1,
 IF(COUNTIF(Sayfa2!$B$2:$B$8, "*"&amp;D1086&amp;"*")&gt;0, Sayfa2!$B$1,
 IF(COUNTIF(Sayfa2!$C$2:$C$8, "*"&amp;D1086&amp;"*")&gt;0, Sayfa2!$C$1,
 IF(COUNTIF(Sayfa2!$D$2:$D$8,"*"&amp;D1086&amp;"*")&gt;0, Sayfa2!$D$1,
 IF(COUNTIF(Sayfa2!$E$2:$E$8, "*"&amp;D1086&amp;"*")&gt;0, Sayfa2!$E$1, "Bulunamadı")))))</f>
        <v>PERŞEMBE</v>
      </c>
    </row>
    <row r="1087" spans="1:5" hidden="1" x14ac:dyDescent="0.25">
      <c r="A1087" t="s">
        <v>2732</v>
      </c>
      <c r="B1087" t="s">
        <v>1189</v>
      </c>
      <c r="C1087" t="s">
        <v>2727</v>
      </c>
      <c r="D1087" s="4" t="s">
        <v>3081</v>
      </c>
      <c r="E1087" t="str">
        <f>IF(COUNTIF(Sayfa2!$A$2:$A$8,"*"&amp;D1087&amp;"*")&gt;0, Sayfa2!$A$1,
 IF(COUNTIF(Sayfa2!$B$2:$B$8, "*"&amp;D1087&amp;"*")&gt;0, Sayfa2!$B$1,
 IF(COUNTIF(Sayfa2!$C$2:$C$8, "*"&amp;D1087&amp;"*")&gt;0, Sayfa2!$C$1,
 IF(COUNTIF(Sayfa2!$D$2:$D$8,"*"&amp;D1087&amp;"*")&gt;0, Sayfa2!$D$1,
 IF(COUNTIF(Sayfa2!$E$2:$E$8, "*"&amp;D1087&amp;"*")&gt;0, Sayfa2!$E$1, "Bulunamadı")))))</f>
        <v>PERŞEMBE</v>
      </c>
    </row>
    <row r="1088" spans="1:5" hidden="1" x14ac:dyDescent="0.25">
      <c r="A1088" t="s">
        <v>2733</v>
      </c>
      <c r="B1088" t="s">
        <v>1190</v>
      </c>
      <c r="C1088" t="s">
        <v>2727</v>
      </c>
      <c r="D1088" s="4" t="s">
        <v>3081</v>
      </c>
      <c r="E1088" t="str">
        <f>IF(COUNTIF(Sayfa2!$A$2:$A$8,"*"&amp;D1088&amp;"*")&gt;0, Sayfa2!$A$1,
 IF(COUNTIF(Sayfa2!$B$2:$B$8, "*"&amp;D1088&amp;"*")&gt;0, Sayfa2!$B$1,
 IF(COUNTIF(Sayfa2!$C$2:$C$8, "*"&amp;D1088&amp;"*")&gt;0, Sayfa2!$C$1,
 IF(COUNTIF(Sayfa2!$D$2:$D$8,"*"&amp;D1088&amp;"*")&gt;0, Sayfa2!$D$1,
 IF(COUNTIF(Sayfa2!$E$2:$E$8, "*"&amp;D1088&amp;"*")&gt;0, Sayfa2!$E$1, "Bulunamadı")))))</f>
        <v>PERŞEMBE</v>
      </c>
    </row>
    <row r="1089" spans="1:5" hidden="1" x14ac:dyDescent="0.25">
      <c r="A1089" t="s">
        <v>2734</v>
      </c>
      <c r="B1089" t="s">
        <v>1191</v>
      </c>
      <c r="C1089" t="s">
        <v>2727</v>
      </c>
      <c r="D1089" s="4" t="s">
        <v>3081</v>
      </c>
      <c r="E1089" t="str">
        <f>IF(COUNTIF(Sayfa2!$A$2:$A$8,"*"&amp;D1089&amp;"*")&gt;0, Sayfa2!$A$1,
 IF(COUNTIF(Sayfa2!$B$2:$B$8, "*"&amp;D1089&amp;"*")&gt;0, Sayfa2!$B$1,
 IF(COUNTIF(Sayfa2!$C$2:$C$8, "*"&amp;D1089&amp;"*")&gt;0, Sayfa2!$C$1,
 IF(COUNTIF(Sayfa2!$D$2:$D$8,"*"&amp;D1089&amp;"*")&gt;0, Sayfa2!$D$1,
 IF(COUNTIF(Sayfa2!$E$2:$E$8, "*"&amp;D1089&amp;"*")&gt;0, Sayfa2!$E$1, "Bulunamadı")))))</f>
        <v>PERŞEMBE</v>
      </c>
    </row>
    <row r="1090" spans="1:5" hidden="1" x14ac:dyDescent="0.25">
      <c r="A1090" t="s">
        <v>2735</v>
      </c>
      <c r="B1090" t="s">
        <v>1192</v>
      </c>
      <c r="C1090" t="s">
        <v>2727</v>
      </c>
      <c r="D1090" s="4" t="s">
        <v>3081</v>
      </c>
      <c r="E1090" t="str">
        <f>IF(COUNTIF(Sayfa2!$A$2:$A$8,"*"&amp;D1090&amp;"*")&gt;0, Sayfa2!$A$1,
 IF(COUNTIF(Sayfa2!$B$2:$B$8, "*"&amp;D1090&amp;"*")&gt;0, Sayfa2!$B$1,
 IF(COUNTIF(Sayfa2!$C$2:$C$8, "*"&amp;D1090&amp;"*")&gt;0, Sayfa2!$C$1,
 IF(COUNTIF(Sayfa2!$D$2:$D$8,"*"&amp;D1090&amp;"*")&gt;0, Sayfa2!$D$1,
 IF(COUNTIF(Sayfa2!$E$2:$E$8, "*"&amp;D1090&amp;"*")&gt;0, Sayfa2!$E$1, "Bulunamadı")))))</f>
        <v>PERŞEMBE</v>
      </c>
    </row>
    <row r="1091" spans="1:5" hidden="1" x14ac:dyDescent="0.25">
      <c r="A1091" t="s">
        <v>2736</v>
      </c>
      <c r="B1091" t="s">
        <v>1193</v>
      </c>
      <c r="C1091" t="s">
        <v>2727</v>
      </c>
      <c r="D1091" s="4" t="s">
        <v>3081</v>
      </c>
      <c r="E1091" t="str">
        <f>IF(COUNTIF(Sayfa2!$A$2:$A$8,"*"&amp;D1091&amp;"*")&gt;0, Sayfa2!$A$1,
 IF(COUNTIF(Sayfa2!$B$2:$B$8, "*"&amp;D1091&amp;"*")&gt;0, Sayfa2!$B$1,
 IF(COUNTIF(Sayfa2!$C$2:$C$8, "*"&amp;D1091&amp;"*")&gt;0, Sayfa2!$C$1,
 IF(COUNTIF(Sayfa2!$D$2:$D$8,"*"&amp;D1091&amp;"*")&gt;0, Sayfa2!$D$1,
 IF(COUNTIF(Sayfa2!$E$2:$E$8, "*"&amp;D1091&amp;"*")&gt;0, Sayfa2!$E$1, "Bulunamadı")))))</f>
        <v>PERŞEMBE</v>
      </c>
    </row>
    <row r="1092" spans="1:5" hidden="1" x14ac:dyDescent="0.25">
      <c r="A1092" t="s">
        <v>2737</v>
      </c>
      <c r="B1092" t="s">
        <v>1194</v>
      </c>
      <c r="C1092" t="s">
        <v>2727</v>
      </c>
      <c r="D1092" s="4" t="s">
        <v>3081</v>
      </c>
      <c r="E1092" t="str">
        <f>IF(COUNTIF(Sayfa2!$A$2:$A$8,"*"&amp;D1092&amp;"*")&gt;0, Sayfa2!$A$1,
 IF(COUNTIF(Sayfa2!$B$2:$B$8, "*"&amp;D1092&amp;"*")&gt;0, Sayfa2!$B$1,
 IF(COUNTIF(Sayfa2!$C$2:$C$8, "*"&amp;D1092&amp;"*")&gt;0, Sayfa2!$C$1,
 IF(COUNTIF(Sayfa2!$D$2:$D$8,"*"&amp;D1092&amp;"*")&gt;0, Sayfa2!$D$1,
 IF(COUNTIF(Sayfa2!$E$2:$E$8, "*"&amp;D1092&amp;"*")&gt;0, Sayfa2!$E$1, "Bulunamadı")))))</f>
        <v>PERŞEMBE</v>
      </c>
    </row>
    <row r="1093" spans="1:5" hidden="1" x14ac:dyDescent="0.25">
      <c r="A1093" t="s">
        <v>2738</v>
      </c>
      <c r="B1093" t="s">
        <v>1195</v>
      </c>
      <c r="C1093" t="s">
        <v>2727</v>
      </c>
      <c r="D1093" s="4" t="s">
        <v>3081</v>
      </c>
      <c r="E1093" t="str">
        <f>IF(COUNTIF(Sayfa2!$A$2:$A$8,"*"&amp;D1093&amp;"*")&gt;0, Sayfa2!$A$1,
 IF(COUNTIF(Sayfa2!$B$2:$B$8, "*"&amp;D1093&amp;"*")&gt;0, Sayfa2!$B$1,
 IF(COUNTIF(Sayfa2!$C$2:$C$8, "*"&amp;D1093&amp;"*")&gt;0, Sayfa2!$C$1,
 IF(COUNTIF(Sayfa2!$D$2:$D$8,"*"&amp;D1093&amp;"*")&gt;0, Sayfa2!$D$1,
 IF(COUNTIF(Sayfa2!$E$2:$E$8, "*"&amp;D1093&amp;"*")&gt;0, Sayfa2!$E$1, "Bulunamadı")))))</f>
        <v>PERŞEMBE</v>
      </c>
    </row>
    <row r="1094" spans="1:5" hidden="1" x14ac:dyDescent="0.25">
      <c r="A1094" t="s">
        <v>2739</v>
      </c>
      <c r="B1094" t="s">
        <v>1196</v>
      </c>
      <c r="C1094" t="s">
        <v>2740</v>
      </c>
      <c r="D1094" s="4" t="s">
        <v>3081</v>
      </c>
      <c r="E1094" t="str">
        <f>IF(COUNTIF(Sayfa2!$A$2:$A$8,"*"&amp;D1094&amp;"*")&gt;0, Sayfa2!$A$1,
 IF(COUNTIF(Sayfa2!$B$2:$B$8, "*"&amp;D1094&amp;"*")&gt;0, Sayfa2!$B$1,
 IF(COUNTIF(Sayfa2!$C$2:$C$8, "*"&amp;D1094&amp;"*")&gt;0, Sayfa2!$C$1,
 IF(COUNTIF(Sayfa2!$D$2:$D$8,"*"&amp;D1094&amp;"*")&gt;0, Sayfa2!$D$1,
 IF(COUNTIF(Sayfa2!$E$2:$E$8, "*"&amp;D1094&amp;"*")&gt;0, Sayfa2!$E$1, "Bulunamadı")))))</f>
        <v>PERŞEMBE</v>
      </c>
    </row>
    <row r="1095" spans="1:5" hidden="1" x14ac:dyDescent="0.25">
      <c r="A1095" t="s">
        <v>2741</v>
      </c>
      <c r="B1095" t="s">
        <v>1197</v>
      </c>
      <c r="C1095" t="s">
        <v>2740</v>
      </c>
      <c r="D1095" s="4" t="s">
        <v>3081</v>
      </c>
      <c r="E1095" t="str">
        <f>IF(COUNTIF(Sayfa2!$A$2:$A$8,"*"&amp;D1095&amp;"*")&gt;0, Sayfa2!$A$1,
 IF(COUNTIF(Sayfa2!$B$2:$B$8, "*"&amp;D1095&amp;"*")&gt;0, Sayfa2!$B$1,
 IF(COUNTIF(Sayfa2!$C$2:$C$8, "*"&amp;D1095&amp;"*")&gt;0, Sayfa2!$C$1,
 IF(COUNTIF(Sayfa2!$D$2:$D$8,"*"&amp;D1095&amp;"*")&gt;0, Sayfa2!$D$1,
 IF(COUNTIF(Sayfa2!$E$2:$E$8, "*"&amp;D1095&amp;"*")&gt;0, Sayfa2!$E$1, "Bulunamadı")))))</f>
        <v>PERŞEMBE</v>
      </c>
    </row>
    <row r="1096" spans="1:5" hidden="1" x14ac:dyDescent="0.25">
      <c r="A1096" t="s">
        <v>2742</v>
      </c>
      <c r="B1096" t="s">
        <v>1198</v>
      </c>
      <c r="C1096" t="s">
        <v>2740</v>
      </c>
      <c r="D1096" s="4" t="s">
        <v>3081</v>
      </c>
      <c r="E1096" t="str">
        <f>IF(COUNTIF(Sayfa2!$A$2:$A$8,"*"&amp;D1096&amp;"*")&gt;0, Sayfa2!$A$1,
 IF(COUNTIF(Sayfa2!$B$2:$B$8, "*"&amp;D1096&amp;"*")&gt;0, Sayfa2!$B$1,
 IF(COUNTIF(Sayfa2!$C$2:$C$8, "*"&amp;D1096&amp;"*")&gt;0, Sayfa2!$C$1,
 IF(COUNTIF(Sayfa2!$D$2:$D$8,"*"&amp;D1096&amp;"*")&gt;0, Sayfa2!$D$1,
 IF(COUNTIF(Sayfa2!$E$2:$E$8, "*"&amp;D1096&amp;"*")&gt;0, Sayfa2!$E$1, "Bulunamadı")))))</f>
        <v>PERŞEMBE</v>
      </c>
    </row>
    <row r="1097" spans="1:5" hidden="1" x14ac:dyDescent="0.25">
      <c r="A1097" t="s">
        <v>2743</v>
      </c>
      <c r="B1097" t="s">
        <v>1199</v>
      </c>
      <c r="C1097" t="s">
        <v>2740</v>
      </c>
      <c r="D1097" s="4" t="s">
        <v>3081</v>
      </c>
      <c r="E1097" t="str">
        <f>IF(COUNTIF(Sayfa2!$A$2:$A$8,"*"&amp;D1097&amp;"*")&gt;0, Sayfa2!$A$1,
 IF(COUNTIF(Sayfa2!$B$2:$B$8, "*"&amp;D1097&amp;"*")&gt;0, Sayfa2!$B$1,
 IF(COUNTIF(Sayfa2!$C$2:$C$8, "*"&amp;D1097&amp;"*")&gt;0, Sayfa2!$C$1,
 IF(COUNTIF(Sayfa2!$D$2:$D$8,"*"&amp;D1097&amp;"*")&gt;0, Sayfa2!$D$1,
 IF(COUNTIF(Sayfa2!$E$2:$E$8, "*"&amp;D1097&amp;"*")&gt;0, Sayfa2!$E$1, "Bulunamadı")))))</f>
        <v>PERŞEMBE</v>
      </c>
    </row>
    <row r="1098" spans="1:5" hidden="1" x14ac:dyDescent="0.25">
      <c r="A1098" t="s">
        <v>2744</v>
      </c>
      <c r="B1098" t="s">
        <v>1200</v>
      </c>
      <c r="C1098" t="s">
        <v>2745</v>
      </c>
      <c r="D1098" s="4" t="s">
        <v>3080</v>
      </c>
      <c r="E1098" t="str">
        <f>IF(COUNTIF(Sayfa2!$A$2:$A$8,"*"&amp;D1098&amp;"*")&gt;0, Sayfa2!$A$1,
 IF(COUNTIF(Sayfa2!$B$2:$B$8, "*"&amp;D1098&amp;"*")&gt;0, Sayfa2!$B$1,
 IF(COUNTIF(Sayfa2!$C$2:$C$8, "*"&amp;D1098&amp;"*")&gt;0, Sayfa2!$C$1,
 IF(COUNTIF(Sayfa2!$D$2:$D$8,"*"&amp;D1098&amp;"*")&gt;0, Sayfa2!$D$1,
 IF(COUNTIF(Sayfa2!$E$2:$E$8, "*"&amp;D1098&amp;"*")&gt;0, Sayfa2!$E$1, "Bulunamadı")))))</f>
        <v>ÇARŞAMBA</v>
      </c>
    </row>
    <row r="1099" spans="1:5" hidden="1" x14ac:dyDescent="0.25">
      <c r="A1099" t="s">
        <v>2746</v>
      </c>
      <c r="B1099" t="s">
        <v>1201</v>
      </c>
      <c r="C1099" t="s">
        <v>2745</v>
      </c>
      <c r="D1099" s="4" t="s">
        <v>3080</v>
      </c>
      <c r="E1099" t="str">
        <f>IF(COUNTIF(Sayfa2!$A$2:$A$8,"*"&amp;D1099&amp;"*")&gt;0, Sayfa2!$A$1,
 IF(COUNTIF(Sayfa2!$B$2:$B$8, "*"&amp;D1099&amp;"*")&gt;0, Sayfa2!$B$1,
 IF(COUNTIF(Sayfa2!$C$2:$C$8, "*"&amp;D1099&amp;"*")&gt;0, Sayfa2!$C$1,
 IF(COUNTIF(Sayfa2!$D$2:$D$8,"*"&amp;D1099&amp;"*")&gt;0, Sayfa2!$D$1,
 IF(COUNTIF(Sayfa2!$E$2:$E$8, "*"&amp;D1099&amp;"*")&gt;0, Sayfa2!$E$1, "Bulunamadı")))))</f>
        <v>ÇARŞAMBA</v>
      </c>
    </row>
    <row r="1100" spans="1:5" hidden="1" x14ac:dyDescent="0.25">
      <c r="A1100" t="s">
        <v>2747</v>
      </c>
      <c r="B1100" t="s">
        <v>1202</v>
      </c>
      <c r="C1100" t="s">
        <v>2740</v>
      </c>
      <c r="D1100" s="4" t="s">
        <v>3081</v>
      </c>
      <c r="E1100" t="str">
        <f>IF(COUNTIF(Sayfa2!$A$2:$A$8,"*"&amp;D1100&amp;"*")&gt;0, Sayfa2!$A$1,
 IF(COUNTIF(Sayfa2!$B$2:$B$8, "*"&amp;D1100&amp;"*")&gt;0, Sayfa2!$B$1,
 IF(COUNTIF(Sayfa2!$C$2:$C$8, "*"&amp;D1100&amp;"*")&gt;0, Sayfa2!$C$1,
 IF(COUNTIF(Sayfa2!$D$2:$D$8,"*"&amp;D1100&amp;"*")&gt;0, Sayfa2!$D$1,
 IF(COUNTIF(Sayfa2!$E$2:$E$8, "*"&amp;D1100&amp;"*")&gt;0, Sayfa2!$E$1, "Bulunamadı")))))</f>
        <v>PERŞEMBE</v>
      </c>
    </row>
    <row r="1101" spans="1:5" hidden="1" x14ac:dyDescent="0.25">
      <c r="A1101" t="s">
        <v>2748</v>
      </c>
      <c r="B1101" t="s">
        <v>1203</v>
      </c>
      <c r="C1101" t="s">
        <v>2740</v>
      </c>
      <c r="D1101" s="4" t="s">
        <v>3081</v>
      </c>
      <c r="E1101" t="str">
        <f>IF(COUNTIF(Sayfa2!$A$2:$A$8,"*"&amp;D1101&amp;"*")&gt;0, Sayfa2!$A$1,
 IF(COUNTIF(Sayfa2!$B$2:$B$8, "*"&amp;D1101&amp;"*")&gt;0, Sayfa2!$B$1,
 IF(COUNTIF(Sayfa2!$C$2:$C$8, "*"&amp;D1101&amp;"*")&gt;0, Sayfa2!$C$1,
 IF(COUNTIF(Sayfa2!$D$2:$D$8,"*"&amp;D1101&amp;"*")&gt;0, Sayfa2!$D$1,
 IF(COUNTIF(Sayfa2!$E$2:$E$8, "*"&amp;D1101&amp;"*")&gt;0, Sayfa2!$E$1, "Bulunamadı")))))</f>
        <v>PERŞEMBE</v>
      </c>
    </row>
    <row r="1102" spans="1:5" hidden="1" x14ac:dyDescent="0.25">
      <c r="A1102" t="s">
        <v>2749</v>
      </c>
      <c r="B1102" t="s">
        <v>1204</v>
      </c>
      <c r="C1102" t="s">
        <v>2740</v>
      </c>
      <c r="D1102" s="4" t="s">
        <v>3081</v>
      </c>
      <c r="E1102" t="str">
        <f>IF(COUNTIF(Sayfa2!$A$2:$A$8,"*"&amp;D1102&amp;"*")&gt;0, Sayfa2!$A$1,
 IF(COUNTIF(Sayfa2!$B$2:$B$8, "*"&amp;D1102&amp;"*")&gt;0, Sayfa2!$B$1,
 IF(COUNTIF(Sayfa2!$C$2:$C$8, "*"&amp;D1102&amp;"*")&gt;0, Sayfa2!$C$1,
 IF(COUNTIF(Sayfa2!$D$2:$D$8,"*"&amp;D1102&amp;"*")&gt;0, Sayfa2!$D$1,
 IF(COUNTIF(Sayfa2!$E$2:$E$8, "*"&amp;D1102&amp;"*")&gt;0, Sayfa2!$E$1, "Bulunamadı")))))</f>
        <v>PERŞEMBE</v>
      </c>
    </row>
    <row r="1103" spans="1:5" hidden="1" x14ac:dyDescent="0.25">
      <c r="A1103" t="s">
        <v>2750</v>
      </c>
      <c r="B1103" t="s">
        <v>1205</v>
      </c>
      <c r="C1103" t="s">
        <v>2745</v>
      </c>
      <c r="D1103" s="4" t="s">
        <v>3080</v>
      </c>
      <c r="E1103" t="str">
        <f>IF(COUNTIF(Sayfa2!$A$2:$A$8,"*"&amp;D1103&amp;"*")&gt;0, Sayfa2!$A$1,
 IF(COUNTIF(Sayfa2!$B$2:$B$8, "*"&amp;D1103&amp;"*")&gt;0, Sayfa2!$B$1,
 IF(COUNTIF(Sayfa2!$C$2:$C$8, "*"&amp;D1103&amp;"*")&gt;0, Sayfa2!$C$1,
 IF(COUNTIF(Sayfa2!$D$2:$D$8,"*"&amp;D1103&amp;"*")&gt;0, Sayfa2!$D$1,
 IF(COUNTIF(Sayfa2!$E$2:$E$8, "*"&amp;D1103&amp;"*")&gt;0, Sayfa2!$E$1, "Bulunamadı")))))</f>
        <v>ÇARŞAMBA</v>
      </c>
    </row>
    <row r="1104" spans="1:5" hidden="1" x14ac:dyDescent="0.25">
      <c r="A1104" t="s">
        <v>2751</v>
      </c>
      <c r="B1104" t="s">
        <v>1206</v>
      </c>
      <c r="C1104" t="s">
        <v>2745</v>
      </c>
      <c r="D1104" s="4" t="s">
        <v>3080</v>
      </c>
      <c r="E1104" t="str">
        <f>IF(COUNTIF(Sayfa2!$A$2:$A$8,"*"&amp;D1104&amp;"*")&gt;0, Sayfa2!$A$1,
 IF(COUNTIF(Sayfa2!$B$2:$B$8, "*"&amp;D1104&amp;"*")&gt;0, Sayfa2!$B$1,
 IF(COUNTIF(Sayfa2!$C$2:$C$8, "*"&amp;D1104&amp;"*")&gt;0, Sayfa2!$C$1,
 IF(COUNTIF(Sayfa2!$D$2:$D$8,"*"&amp;D1104&amp;"*")&gt;0, Sayfa2!$D$1,
 IF(COUNTIF(Sayfa2!$E$2:$E$8, "*"&amp;D1104&amp;"*")&gt;0, Sayfa2!$E$1, "Bulunamadı")))))</f>
        <v>ÇARŞAMBA</v>
      </c>
    </row>
    <row r="1105" spans="1:5" hidden="1" x14ac:dyDescent="0.25">
      <c r="A1105" t="s">
        <v>2752</v>
      </c>
      <c r="B1105" t="s">
        <v>1207</v>
      </c>
      <c r="C1105" t="s">
        <v>2745</v>
      </c>
      <c r="D1105" s="4" t="s">
        <v>3080</v>
      </c>
      <c r="E1105" t="str">
        <f>IF(COUNTIF(Sayfa2!$A$2:$A$8,"*"&amp;D1105&amp;"*")&gt;0, Sayfa2!$A$1,
 IF(COUNTIF(Sayfa2!$B$2:$B$8, "*"&amp;D1105&amp;"*")&gt;0, Sayfa2!$B$1,
 IF(COUNTIF(Sayfa2!$C$2:$C$8, "*"&amp;D1105&amp;"*")&gt;0, Sayfa2!$C$1,
 IF(COUNTIF(Sayfa2!$D$2:$D$8,"*"&amp;D1105&amp;"*")&gt;0, Sayfa2!$D$1,
 IF(COUNTIF(Sayfa2!$E$2:$E$8, "*"&amp;D1105&amp;"*")&gt;0, Sayfa2!$E$1, "Bulunamadı")))))</f>
        <v>ÇARŞAMBA</v>
      </c>
    </row>
    <row r="1106" spans="1:5" hidden="1" x14ac:dyDescent="0.25">
      <c r="A1106" t="s">
        <v>2753</v>
      </c>
      <c r="B1106" t="s">
        <v>1208</v>
      </c>
      <c r="C1106" t="s">
        <v>2745</v>
      </c>
      <c r="D1106" s="4" t="s">
        <v>3080</v>
      </c>
      <c r="E1106" t="str">
        <f>IF(COUNTIF(Sayfa2!$A$2:$A$8,"*"&amp;D1106&amp;"*")&gt;0, Sayfa2!$A$1,
 IF(COUNTIF(Sayfa2!$B$2:$B$8, "*"&amp;D1106&amp;"*")&gt;0, Sayfa2!$B$1,
 IF(COUNTIF(Sayfa2!$C$2:$C$8, "*"&amp;D1106&amp;"*")&gt;0, Sayfa2!$C$1,
 IF(COUNTIF(Sayfa2!$D$2:$D$8,"*"&amp;D1106&amp;"*")&gt;0, Sayfa2!$D$1,
 IF(COUNTIF(Sayfa2!$E$2:$E$8, "*"&amp;D1106&amp;"*")&gt;0, Sayfa2!$E$1, "Bulunamadı")))))</f>
        <v>ÇARŞAMBA</v>
      </c>
    </row>
    <row r="1107" spans="1:5" hidden="1" x14ac:dyDescent="0.25">
      <c r="A1107" t="s">
        <v>2754</v>
      </c>
      <c r="B1107" t="s">
        <v>1209</v>
      </c>
      <c r="C1107" t="s">
        <v>2740</v>
      </c>
      <c r="D1107" s="4" t="s">
        <v>3081</v>
      </c>
      <c r="E1107" t="str">
        <f>IF(COUNTIF(Sayfa2!$A$2:$A$8,"*"&amp;D1107&amp;"*")&gt;0, Sayfa2!$A$1,
 IF(COUNTIF(Sayfa2!$B$2:$B$8, "*"&amp;D1107&amp;"*")&gt;0, Sayfa2!$B$1,
 IF(COUNTIF(Sayfa2!$C$2:$C$8, "*"&amp;D1107&amp;"*")&gt;0, Sayfa2!$C$1,
 IF(COUNTIF(Sayfa2!$D$2:$D$8,"*"&amp;D1107&amp;"*")&gt;0, Sayfa2!$D$1,
 IF(COUNTIF(Sayfa2!$E$2:$E$8, "*"&amp;D1107&amp;"*")&gt;0, Sayfa2!$E$1, "Bulunamadı")))))</f>
        <v>PERŞEMBE</v>
      </c>
    </row>
    <row r="1108" spans="1:5" hidden="1" x14ac:dyDescent="0.25">
      <c r="A1108" t="s">
        <v>2755</v>
      </c>
      <c r="B1108" t="s">
        <v>1210</v>
      </c>
      <c r="C1108" t="s">
        <v>2740</v>
      </c>
      <c r="D1108" s="4" t="s">
        <v>3081</v>
      </c>
      <c r="E1108" t="str">
        <f>IF(COUNTIF(Sayfa2!$A$2:$A$8,"*"&amp;D1108&amp;"*")&gt;0, Sayfa2!$A$1,
 IF(COUNTIF(Sayfa2!$B$2:$B$8, "*"&amp;D1108&amp;"*")&gt;0, Sayfa2!$B$1,
 IF(COUNTIF(Sayfa2!$C$2:$C$8, "*"&amp;D1108&amp;"*")&gt;0, Sayfa2!$C$1,
 IF(COUNTIF(Sayfa2!$D$2:$D$8,"*"&amp;D1108&amp;"*")&gt;0, Sayfa2!$D$1,
 IF(COUNTIF(Sayfa2!$E$2:$E$8, "*"&amp;D1108&amp;"*")&gt;0, Sayfa2!$E$1, "Bulunamadı")))))</f>
        <v>PERŞEMBE</v>
      </c>
    </row>
    <row r="1109" spans="1:5" hidden="1" x14ac:dyDescent="0.25">
      <c r="A1109" t="s">
        <v>2756</v>
      </c>
      <c r="B1109" t="s">
        <v>1211</v>
      </c>
      <c r="C1109" t="s">
        <v>2745</v>
      </c>
      <c r="D1109" s="4" t="s">
        <v>3080</v>
      </c>
      <c r="E1109" t="str">
        <f>IF(COUNTIF(Sayfa2!$A$2:$A$8,"*"&amp;D1109&amp;"*")&gt;0, Sayfa2!$A$1,
 IF(COUNTIF(Sayfa2!$B$2:$B$8, "*"&amp;D1109&amp;"*")&gt;0, Sayfa2!$B$1,
 IF(COUNTIF(Sayfa2!$C$2:$C$8, "*"&amp;D1109&amp;"*")&gt;0, Sayfa2!$C$1,
 IF(COUNTIF(Sayfa2!$D$2:$D$8,"*"&amp;D1109&amp;"*")&gt;0, Sayfa2!$D$1,
 IF(COUNTIF(Sayfa2!$E$2:$E$8, "*"&amp;D1109&amp;"*")&gt;0, Sayfa2!$E$1, "Bulunamadı")))))</f>
        <v>ÇARŞAMBA</v>
      </c>
    </row>
    <row r="1110" spans="1:5" hidden="1" x14ac:dyDescent="0.25">
      <c r="A1110" t="s">
        <v>2757</v>
      </c>
      <c r="B1110" t="s">
        <v>1212</v>
      </c>
      <c r="C1110" t="s">
        <v>2740</v>
      </c>
      <c r="D1110" s="4" t="s">
        <v>3081</v>
      </c>
      <c r="E1110" t="str">
        <f>IF(COUNTIF(Sayfa2!$A$2:$A$8,"*"&amp;D1110&amp;"*")&gt;0, Sayfa2!$A$1,
 IF(COUNTIF(Sayfa2!$B$2:$B$8, "*"&amp;D1110&amp;"*")&gt;0, Sayfa2!$B$1,
 IF(COUNTIF(Sayfa2!$C$2:$C$8, "*"&amp;D1110&amp;"*")&gt;0, Sayfa2!$C$1,
 IF(COUNTIF(Sayfa2!$D$2:$D$8,"*"&amp;D1110&amp;"*")&gt;0, Sayfa2!$D$1,
 IF(COUNTIF(Sayfa2!$E$2:$E$8, "*"&amp;D1110&amp;"*")&gt;0, Sayfa2!$E$1, "Bulunamadı")))))</f>
        <v>PERŞEMBE</v>
      </c>
    </row>
    <row r="1111" spans="1:5" hidden="1" x14ac:dyDescent="0.25">
      <c r="A1111" t="s">
        <v>2758</v>
      </c>
      <c r="B1111" t="s">
        <v>1213</v>
      </c>
      <c r="C1111" t="s">
        <v>2745</v>
      </c>
      <c r="D1111" s="4" t="s">
        <v>3080</v>
      </c>
      <c r="E1111" t="str">
        <f>IF(COUNTIF(Sayfa2!$A$2:$A$8,"*"&amp;D1111&amp;"*")&gt;0, Sayfa2!$A$1,
 IF(COUNTIF(Sayfa2!$B$2:$B$8, "*"&amp;D1111&amp;"*")&gt;0, Sayfa2!$B$1,
 IF(COUNTIF(Sayfa2!$C$2:$C$8, "*"&amp;D1111&amp;"*")&gt;0, Sayfa2!$C$1,
 IF(COUNTIF(Sayfa2!$D$2:$D$8,"*"&amp;D1111&amp;"*")&gt;0, Sayfa2!$D$1,
 IF(COUNTIF(Sayfa2!$E$2:$E$8, "*"&amp;D1111&amp;"*")&gt;0, Sayfa2!$E$1, "Bulunamadı")))))</f>
        <v>ÇARŞAMBA</v>
      </c>
    </row>
    <row r="1112" spans="1:5" hidden="1" x14ac:dyDescent="0.25">
      <c r="A1112" t="s">
        <v>2759</v>
      </c>
      <c r="B1112" t="s">
        <v>1214</v>
      </c>
      <c r="C1112" t="s">
        <v>2745</v>
      </c>
      <c r="D1112" s="4" t="s">
        <v>3080</v>
      </c>
      <c r="E1112" t="str">
        <f>IF(COUNTIF(Sayfa2!$A$2:$A$8,"*"&amp;D1112&amp;"*")&gt;0, Sayfa2!$A$1,
 IF(COUNTIF(Sayfa2!$B$2:$B$8, "*"&amp;D1112&amp;"*")&gt;0, Sayfa2!$B$1,
 IF(COUNTIF(Sayfa2!$C$2:$C$8, "*"&amp;D1112&amp;"*")&gt;0, Sayfa2!$C$1,
 IF(COUNTIF(Sayfa2!$D$2:$D$8,"*"&amp;D1112&amp;"*")&gt;0, Sayfa2!$D$1,
 IF(COUNTIF(Sayfa2!$E$2:$E$8, "*"&amp;D1112&amp;"*")&gt;0, Sayfa2!$E$1, "Bulunamadı")))))</f>
        <v>ÇARŞAMBA</v>
      </c>
    </row>
    <row r="1113" spans="1:5" hidden="1" x14ac:dyDescent="0.25">
      <c r="A1113" t="s">
        <v>2760</v>
      </c>
      <c r="B1113" t="s">
        <v>1215</v>
      </c>
      <c r="C1113" t="s">
        <v>2745</v>
      </c>
      <c r="D1113" s="4" t="s">
        <v>3080</v>
      </c>
      <c r="E1113" t="str">
        <f>IF(COUNTIF(Sayfa2!$A$2:$A$8,"*"&amp;D1113&amp;"*")&gt;0, Sayfa2!$A$1,
 IF(COUNTIF(Sayfa2!$B$2:$B$8, "*"&amp;D1113&amp;"*")&gt;0, Sayfa2!$B$1,
 IF(COUNTIF(Sayfa2!$C$2:$C$8, "*"&amp;D1113&amp;"*")&gt;0, Sayfa2!$C$1,
 IF(COUNTIF(Sayfa2!$D$2:$D$8,"*"&amp;D1113&amp;"*")&gt;0, Sayfa2!$D$1,
 IF(COUNTIF(Sayfa2!$E$2:$E$8, "*"&amp;D1113&amp;"*")&gt;0, Sayfa2!$E$1, "Bulunamadı")))))</f>
        <v>ÇARŞAMBA</v>
      </c>
    </row>
    <row r="1114" spans="1:5" hidden="1" x14ac:dyDescent="0.25">
      <c r="A1114" t="s">
        <v>2761</v>
      </c>
      <c r="B1114" t="s">
        <v>1216</v>
      </c>
      <c r="C1114" t="s">
        <v>2740</v>
      </c>
      <c r="D1114" s="4" t="s">
        <v>3081</v>
      </c>
      <c r="E1114" t="str">
        <f>IF(COUNTIF(Sayfa2!$A$2:$A$8,"*"&amp;D1114&amp;"*")&gt;0, Sayfa2!$A$1,
 IF(COUNTIF(Sayfa2!$B$2:$B$8, "*"&amp;D1114&amp;"*")&gt;0, Sayfa2!$B$1,
 IF(COUNTIF(Sayfa2!$C$2:$C$8, "*"&amp;D1114&amp;"*")&gt;0, Sayfa2!$C$1,
 IF(COUNTIF(Sayfa2!$D$2:$D$8,"*"&amp;D1114&amp;"*")&gt;0, Sayfa2!$D$1,
 IF(COUNTIF(Sayfa2!$E$2:$E$8, "*"&amp;D1114&amp;"*")&gt;0, Sayfa2!$E$1, "Bulunamadı")))))</f>
        <v>PERŞEMBE</v>
      </c>
    </row>
    <row r="1115" spans="1:5" hidden="1" x14ac:dyDescent="0.25">
      <c r="A1115" t="s">
        <v>2762</v>
      </c>
      <c r="B1115" t="s">
        <v>1217</v>
      </c>
      <c r="C1115" t="s">
        <v>2740</v>
      </c>
      <c r="D1115" s="4" t="s">
        <v>3081</v>
      </c>
      <c r="E1115" t="str">
        <f>IF(COUNTIF(Sayfa2!$A$2:$A$8,"*"&amp;D1115&amp;"*")&gt;0, Sayfa2!$A$1,
 IF(COUNTIF(Sayfa2!$B$2:$B$8, "*"&amp;D1115&amp;"*")&gt;0, Sayfa2!$B$1,
 IF(COUNTIF(Sayfa2!$C$2:$C$8, "*"&amp;D1115&amp;"*")&gt;0, Sayfa2!$C$1,
 IF(COUNTIF(Sayfa2!$D$2:$D$8,"*"&amp;D1115&amp;"*")&gt;0, Sayfa2!$D$1,
 IF(COUNTIF(Sayfa2!$E$2:$E$8, "*"&amp;D1115&amp;"*")&gt;0, Sayfa2!$E$1, "Bulunamadı")))))</f>
        <v>PERŞEMBE</v>
      </c>
    </row>
    <row r="1116" spans="1:5" hidden="1" x14ac:dyDescent="0.25">
      <c r="A1116" t="s">
        <v>2763</v>
      </c>
      <c r="B1116" t="s">
        <v>1218</v>
      </c>
      <c r="C1116" t="s">
        <v>2740</v>
      </c>
      <c r="D1116" s="4" t="s">
        <v>3081</v>
      </c>
      <c r="E1116" t="str">
        <f>IF(COUNTIF(Sayfa2!$A$2:$A$8,"*"&amp;D1116&amp;"*")&gt;0, Sayfa2!$A$1,
 IF(COUNTIF(Sayfa2!$B$2:$B$8, "*"&amp;D1116&amp;"*")&gt;0, Sayfa2!$B$1,
 IF(COUNTIF(Sayfa2!$C$2:$C$8, "*"&amp;D1116&amp;"*")&gt;0, Sayfa2!$C$1,
 IF(COUNTIF(Sayfa2!$D$2:$D$8,"*"&amp;D1116&amp;"*")&gt;0, Sayfa2!$D$1,
 IF(COUNTIF(Sayfa2!$E$2:$E$8, "*"&amp;D1116&amp;"*")&gt;0, Sayfa2!$E$1, "Bulunamadı")))))</f>
        <v>PERŞEMBE</v>
      </c>
    </row>
    <row r="1117" spans="1:5" hidden="1" x14ac:dyDescent="0.25">
      <c r="A1117" t="s">
        <v>2764</v>
      </c>
      <c r="B1117" t="s">
        <v>1219</v>
      </c>
      <c r="C1117" t="s">
        <v>2740</v>
      </c>
      <c r="D1117" s="4" t="s">
        <v>3081</v>
      </c>
      <c r="E1117" t="str">
        <f>IF(COUNTIF(Sayfa2!$A$2:$A$8,"*"&amp;D1117&amp;"*")&gt;0, Sayfa2!$A$1,
 IF(COUNTIF(Sayfa2!$B$2:$B$8, "*"&amp;D1117&amp;"*")&gt;0, Sayfa2!$B$1,
 IF(COUNTIF(Sayfa2!$C$2:$C$8, "*"&amp;D1117&amp;"*")&gt;0, Sayfa2!$C$1,
 IF(COUNTIF(Sayfa2!$D$2:$D$8,"*"&amp;D1117&amp;"*")&gt;0, Sayfa2!$D$1,
 IF(COUNTIF(Sayfa2!$E$2:$E$8, "*"&amp;D1117&amp;"*")&gt;0, Sayfa2!$E$1, "Bulunamadı")))))</f>
        <v>PERŞEMBE</v>
      </c>
    </row>
    <row r="1118" spans="1:5" hidden="1" x14ac:dyDescent="0.25">
      <c r="A1118" t="s">
        <v>2765</v>
      </c>
      <c r="B1118" t="s">
        <v>1220</v>
      </c>
      <c r="C1118" t="s">
        <v>2740</v>
      </c>
      <c r="D1118" s="4" t="s">
        <v>3081</v>
      </c>
      <c r="E1118" t="str">
        <f>IF(COUNTIF(Sayfa2!$A$2:$A$8,"*"&amp;D1118&amp;"*")&gt;0, Sayfa2!$A$1,
 IF(COUNTIF(Sayfa2!$B$2:$B$8, "*"&amp;D1118&amp;"*")&gt;0, Sayfa2!$B$1,
 IF(COUNTIF(Sayfa2!$C$2:$C$8, "*"&amp;D1118&amp;"*")&gt;0, Sayfa2!$C$1,
 IF(COUNTIF(Sayfa2!$D$2:$D$8,"*"&amp;D1118&amp;"*")&gt;0, Sayfa2!$D$1,
 IF(COUNTIF(Sayfa2!$E$2:$E$8, "*"&amp;D1118&amp;"*")&gt;0, Sayfa2!$E$1, "Bulunamadı")))))</f>
        <v>PERŞEMBE</v>
      </c>
    </row>
    <row r="1119" spans="1:5" hidden="1" x14ac:dyDescent="0.25">
      <c r="A1119" t="s">
        <v>2766</v>
      </c>
      <c r="B1119" t="s">
        <v>1221</v>
      </c>
      <c r="C1119" t="s">
        <v>2745</v>
      </c>
      <c r="D1119" s="4" t="s">
        <v>3080</v>
      </c>
      <c r="E1119" t="str">
        <f>IF(COUNTIF(Sayfa2!$A$2:$A$8,"*"&amp;D1119&amp;"*")&gt;0, Sayfa2!$A$1,
 IF(COUNTIF(Sayfa2!$B$2:$B$8, "*"&amp;D1119&amp;"*")&gt;0, Sayfa2!$B$1,
 IF(COUNTIF(Sayfa2!$C$2:$C$8, "*"&amp;D1119&amp;"*")&gt;0, Sayfa2!$C$1,
 IF(COUNTIF(Sayfa2!$D$2:$D$8,"*"&amp;D1119&amp;"*")&gt;0, Sayfa2!$D$1,
 IF(COUNTIF(Sayfa2!$E$2:$E$8, "*"&amp;D1119&amp;"*")&gt;0, Sayfa2!$E$1, "Bulunamadı")))))</f>
        <v>ÇARŞAMBA</v>
      </c>
    </row>
    <row r="1120" spans="1:5" hidden="1" x14ac:dyDescent="0.25">
      <c r="A1120" t="s">
        <v>2767</v>
      </c>
      <c r="B1120" t="s">
        <v>1222</v>
      </c>
      <c r="C1120" t="s">
        <v>2740</v>
      </c>
      <c r="D1120" s="4" t="s">
        <v>3081</v>
      </c>
      <c r="E1120" t="str">
        <f>IF(COUNTIF(Sayfa2!$A$2:$A$8,"*"&amp;D1120&amp;"*")&gt;0, Sayfa2!$A$1,
 IF(COUNTIF(Sayfa2!$B$2:$B$8, "*"&amp;D1120&amp;"*")&gt;0, Sayfa2!$B$1,
 IF(COUNTIF(Sayfa2!$C$2:$C$8, "*"&amp;D1120&amp;"*")&gt;0, Sayfa2!$C$1,
 IF(COUNTIF(Sayfa2!$D$2:$D$8,"*"&amp;D1120&amp;"*")&gt;0, Sayfa2!$D$1,
 IF(COUNTIF(Sayfa2!$E$2:$E$8, "*"&amp;D1120&amp;"*")&gt;0, Sayfa2!$E$1, "Bulunamadı")))))</f>
        <v>PERŞEMBE</v>
      </c>
    </row>
    <row r="1121" spans="1:5" hidden="1" x14ac:dyDescent="0.25">
      <c r="A1121" t="s">
        <v>2768</v>
      </c>
      <c r="B1121" t="s">
        <v>1223</v>
      </c>
      <c r="C1121" t="s">
        <v>2740</v>
      </c>
      <c r="D1121" s="4" t="s">
        <v>3081</v>
      </c>
      <c r="E1121" t="str">
        <f>IF(COUNTIF(Sayfa2!$A$2:$A$8,"*"&amp;D1121&amp;"*")&gt;0, Sayfa2!$A$1,
 IF(COUNTIF(Sayfa2!$B$2:$B$8, "*"&amp;D1121&amp;"*")&gt;0, Sayfa2!$B$1,
 IF(COUNTIF(Sayfa2!$C$2:$C$8, "*"&amp;D1121&amp;"*")&gt;0, Sayfa2!$C$1,
 IF(COUNTIF(Sayfa2!$D$2:$D$8,"*"&amp;D1121&amp;"*")&gt;0, Sayfa2!$D$1,
 IF(COUNTIF(Sayfa2!$E$2:$E$8, "*"&amp;D1121&amp;"*")&gt;0, Sayfa2!$E$1, "Bulunamadı")))))</f>
        <v>PERŞEMBE</v>
      </c>
    </row>
    <row r="1122" spans="1:5" hidden="1" x14ac:dyDescent="0.25">
      <c r="A1122" t="s">
        <v>2769</v>
      </c>
      <c r="B1122" t="s">
        <v>1224</v>
      </c>
      <c r="C1122" t="s">
        <v>2745</v>
      </c>
      <c r="D1122" s="4" t="s">
        <v>3080</v>
      </c>
      <c r="E1122" t="str">
        <f>IF(COUNTIF(Sayfa2!$A$2:$A$8,"*"&amp;D1122&amp;"*")&gt;0, Sayfa2!$A$1,
 IF(COUNTIF(Sayfa2!$B$2:$B$8, "*"&amp;D1122&amp;"*")&gt;0, Sayfa2!$B$1,
 IF(COUNTIF(Sayfa2!$C$2:$C$8, "*"&amp;D1122&amp;"*")&gt;0, Sayfa2!$C$1,
 IF(COUNTIF(Sayfa2!$D$2:$D$8,"*"&amp;D1122&amp;"*")&gt;0, Sayfa2!$D$1,
 IF(COUNTIF(Sayfa2!$E$2:$E$8, "*"&amp;D1122&amp;"*")&gt;0, Sayfa2!$E$1, "Bulunamadı")))))</f>
        <v>ÇARŞAMBA</v>
      </c>
    </row>
    <row r="1123" spans="1:5" hidden="1" x14ac:dyDescent="0.25">
      <c r="A1123" t="s">
        <v>2770</v>
      </c>
      <c r="B1123" t="s">
        <v>1225</v>
      </c>
      <c r="C1123" t="s">
        <v>2740</v>
      </c>
      <c r="D1123" s="4" t="s">
        <v>3081</v>
      </c>
      <c r="E1123" t="str">
        <f>IF(COUNTIF(Sayfa2!$A$2:$A$8,"*"&amp;D1123&amp;"*")&gt;0, Sayfa2!$A$1,
 IF(COUNTIF(Sayfa2!$B$2:$B$8, "*"&amp;D1123&amp;"*")&gt;0, Sayfa2!$B$1,
 IF(COUNTIF(Sayfa2!$C$2:$C$8, "*"&amp;D1123&amp;"*")&gt;0, Sayfa2!$C$1,
 IF(COUNTIF(Sayfa2!$D$2:$D$8,"*"&amp;D1123&amp;"*")&gt;0, Sayfa2!$D$1,
 IF(COUNTIF(Sayfa2!$E$2:$E$8, "*"&amp;D1123&amp;"*")&gt;0, Sayfa2!$E$1, "Bulunamadı")))))</f>
        <v>PERŞEMBE</v>
      </c>
    </row>
    <row r="1124" spans="1:5" hidden="1" x14ac:dyDescent="0.25">
      <c r="A1124" t="s">
        <v>2771</v>
      </c>
      <c r="B1124" t="s">
        <v>1226</v>
      </c>
      <c r="C1124" t="s">
        <v>2745</v>
      </c>
      <c r="D1124" s="4" t="s">
        <v>3080</v>
      </c>
      <c r="E1124" t="str">
        <f>IF(COUNTIF(Sayfa2!$A$2:$A$8,"*"&amp;D1124&amp;"*")&gt;0, Sayfa2!$A$1,
 IF(COUNTIF(Sayfa2!$B$2:$B$8, "*"&amp;D1124&amp;"*")&gt;0, Sayfa2!$B$1,
 IF(COUNTIF(Sayfa2!$C$2:$C$8, "*"&amp;D1124&amp;"*")&gt;0, Sayfa2!$C$1,
 IF(COUNTIF(Sayfa2!$D$2:$D$8,"*"&amp;D1124&amp;"*")&gt;0, Sayfa2!$D$1,
 IF(COUNTIF(Sayfa2!$E$2:$E$8, "*"&amp;D1124&amp;"*")&gt;0, Sayfa2!$E$1, "Bulunamadı")))))</f>
        <v>ÇARŞAMBA</v>
      </c>
    </row>
    <row r="1125" spans="1:5" hidden="1" x14ac:dyDescent="0.25">
      <c r="A1125" t="s">
        <v>2772</v>
      </c>
      <c r="B1125" t="s">
        <v>1227</v>
      </c>
      <c r="C1125" t="s">
        <v>2745</v>
      </c>
      <c r="D1125" s="4" t="s">
        <v>3080</v>
      </c>
      <c r="E1125" t="str">
        <f>IF(COUNTIF(Sayfa2!$A$2:$A$8,"*"&amp;D1125&amp;"*")&gt;0, Sayfa2!$A$1,
 IF(COUNTIF(Sayfa2!$B$2:$B$8, "*"&amp;D1125&amp;"*")&gt;0, Sayfa2!$B$1,
 IF(COUNTIF(Sayfa2!$C$2:$C$8, "*"&amp;D1125&amp;"*")&gt;0, Sayfa2!$C$1,
 IF(COUNTIF(Sayfa2!$D$2:$D$8,"*"&amp;D1125&amp;"*")&gt;0, Sayfa2!$D$1,
 IF(COUNTIF(Sayfa2!$E$2:$E$8, "*"&amp;D1125&amp;"*")&gt;0, Sayfa2!$E$1, "Bulunamadı")))))</f>
        <v>ÇARŞAMBA</v>
      </c>
    </row>
    <row r="1126" spans="1:5" hidden="1" x14ac:dyDescent="0.25">
      <c r="A1126" t="s">
        <v>2773</v>
      </c>
      <c r="B1126" t="s">
        <v>1228</v>
      </c>
      <c r="C1126" t="s">
        <v>2745</v>
      </c>
      <c r="D1126" s="4" t="s">
        <v>3080</v>
      </c>
      <c r="E1126" t="str">
        <f>IF(COUNTIF(Sayfa2!$A$2:$A$8,"*"&amp;D1126&amp;"*")&gt;0, Sayfa2!$A$1,
 IF(COUNTIF(Sayfa2!$B$2:$B$8, "*"&amp;D1126&amp;"*")&gt;0, Sayfa2!$B$1,
 IF(COUNTIF(Sayfa2!$C$2:$C$8, "*"&amp;D1126&amp;"*")&gt;0, Sayfa2!$C$1,
 IF(COUNTIF(Sayfa2!$D$2:$D$8,"*"&amp;D1126&amp;"*")&gt;0, Sayfa2!$D$1,
 IF(COUNTIF(Sayfa2!$E$2:$E$8, "*"&amp;D1126&amp;"*")&gt;0, Sayfa2!$E$1, "Bulunamadı")))))</f>
        <v>ÇARŞAMBA</v>
      </c>
    </row>
    <row r="1127" spans="1:5" hidden="1" x14ac:dyDescent="0.25">
      <c r="A1127" t="s">
        <v>2774</v>
      </c>
      <c r="B1127" t="s">
        <v>283</v>
      </c>
      <c r="C1127" t="s">
        <v>2740</v>
      </c>
      <c r="D1127" s="4" t="s">
        <v>3081</v>
      </c>
      <c r="E1127" t="str">
        <f>IF(COUNTIF(Sayfa2!$A$2:$A$8,"*"&amp;D1127&amp;"*")&gt;0, Sayfa2!$A$1,
 IF(COUNTIF(Sayfa2!$B$2:$B$8, "*"&amp;D1127&amp;"*")&gt;0, Sayfa2!$B$1,
 IF(COUNTIF(Sayfa2!$C$2:$C$8, "*"&amp;D1127&amp;"*")&gt;0, Sayfa2!$C$1,
 IF(COUNTIF(Sayfa2!$D$2:$D$8,"*"&amp;D1127&amp;"*")&gt;0, Sayfa2!$D$1,
 IF(COUNTIF(Sayfa2!$E$2:$E$8, "*"&amp;D1127&amp;"*")&gt;0, Sayfa2!$E$1, "Bulunamadı")))))</f>
        <v>PERŞEMBE</v>
      </c>
    </row>
    <row r="1128" spans="1:5" hidden="1" x14ac:dyDescent="0.25">
      <c r="A1128" t="s">
        <v>2775</v>
      </c>
      <c r="B1128" t="s">
        <v>1229</v>
      </c>
      <c r="C1128" t="s">
        <v>2745</v>
      </c>
      <c r="D1128" s="4" t="s">
        <v>3080</v>
      </c>
      <c r="E1128" t="str">
        <f>IF(COUNTIF(Sayfa2!$A$2:$A$8,"*"&amp;D1128&amp;"*")&gt;0, Sayfa2!$A$1,
 IF(COUNTIF(Sayfa2!$B$2:$B$8, "*"&amp;D1128&amp;"*")&gt;0, Sayfa2!$B$1,
 IF(COUNTIF(Sayfa2!$C$2:$C$8, "*"&amp;D1128&amp;"*")&gt;0, Sayfa2!$C$1,
 IF(COUNTIF(Sayfa2!$D$2:$D$8,"*"&amp;D1128&amp;"*")&gt;0, Sayfa2!$D$1,
 IF(COUNTIF(Sayfa2!$E$2:$E$8, "*"&amp;D1128&amp;"*")&gt;0, Sayfa2!$E$1, "Bulunamadı")))))</f>
        <v>ÇARŞAMBA</v>
      </c>
    </row>
    <row r="1129" spans="1:5" hidden="1" x14ac:dyDescent="0.25">
      <c r="A1129" t="s">
        <v>2776</v>
      </c>
      <c r="B1129" t="s">
        <v>1230</v>
      </c>
      <c r="C1129" t="s">
        <v>2745</v>
      </c>
      <c r="D1129" s="4" t="s">
        <v>3080</v>
      </c>
      <c r="E1129" t="str">
        <f>IF(COUNTIF(Sayfa2!$A$2:$A$8,"*"&amp;D1129&amp;"*")&gt;0, Sayfa2!$A$1,
 IF(COUNTIF(Sayfa2!$B$2:$B$8, "*"&amp;D1129&amp;"*")&gt;0, Sayfa2!$B$1,
 IF(COUNTIF(Sayfa2!$C$2:$C$8, "*"&amp;D1129&amp;"*")&gt;0, Sayfa2!$C$1,
 IF(COUNTIF(Sayfa2!$D$2:$D$8,"*"&amp;D1129&amp;"*")&gt;0, Sayfa2!$D$1,
 IF(COUNTIF(Sayfa2!$E$2:$E$8, "*"&amp;D1129&amp;"*")&gt;0, Sayfa2!$E$1, "Bulunamadı")))))</f>
        <v>ÇARŞAMBA</v>
      </c>
    </row>
    <row r="1130" spans="1:5" hidden="1" x14ac:dyDescent="0.25">
      <c r="A1130" t="s">
        <v>2777</v>
      </c>
      <c r="B1130" t="s">
        <v>1231</v>
      </c>
      <c r="C1130" t="s">
        <v>2745</v>
      </c>
      <c r="D1130" s="4" t="s">
        <v>3080</v>
      </c>
      <c r="E1130" t="str">
        <f>IF(COUNTIF(Sayfa2!$A$2:$A$8,"*"&amp;D1130&amp;"*")&gt;0, Sayfa2!$A$1,
 IF(COUNTIF(Sayfa2!$B$2:$B$8, "*"&amp;D1130&amp;"*")&gt;0, Sayfa2!$B$1,
 IF(COUNTIF(Sayfa2!$C$2:$C$8, "*"&amp;D1130&amp;"*")&gt;0, Sayfa2!$C$1,
 IF(COUNTIF(Sayfa2!$D$2:$D$8,"*"&amp;D1130&amp;"*")&gt;0, Sayfa2!$D$1,
 IF(COUNTIF(Sayfa2!$E$2:$E$8, "*"&amp;D1130&amp;"*")&gt;0, Sayfa2!$E$1, "Bulunamadı")))))</f>
        <v>ÇARŞAMBA</v>
      </c>
    </row>
    <row r="1131" spans="1:5" hidden="1" x14ac:dyDescent="0.25">
      <c r="A1131" t="s">
        <v>2778</v>
      </c>
      <c r="B1131" t="s">
        <v>1232</v>
      </c>
      <c r="C1131" t="s">
        <v>2745</v>
      </c>
      <c r="D1131" s="4" t="s">
        <v>3080</v>
      </c>
      <c r="E1131" t="str">
        <f>IF(COUNTIF(Sayfa2!$A$2:$A$8,"*"&amp;D1131&amp;"*")&gt;0, Sayfa2!$A$1,
 IF(COUNTIF(Sayfa2!$B$2:$B$8, "*"&amp;D1131&amp;"*")&gt;0, Sayfa2!$B$1,
 IF(COUNTIF(Sayfa2!$C$2:$C$8, "*"&amp;D1131&amp;"*")&gt;0, Sayfa2!$C$1,
 IF(COUNTIF(Sayfa2!$D$2:$D$8,"*"&amp;D1131&amp;"*")&gt;0, Sayfa2!$D$1,
 IF(COUNTIF(Sayfa2!$E$2:$E$8, "*"&amp;D1131&amp;"*")&gt;0, Sayfa2!$E$1, "Bulunamadı")))))</f>
        <v>ÇARŞAMBA</v>
      </c>
    </row>
    <row r="1132" spans="1:5" hidden="1" x14ac:dyDescent="0.25">
      <c r="A1132" t="s">
        <v>2779</v>
      </c>
      <c r="B1132" t="s">
        <v>1233</v>
      </c>
      <c r="C1132" t="s">
        <v>2740</v>
      </c>
      <c r="D1132" s="4" t="s">
        <v>3081</v>
      </c>
      <c r="E1132" t="str">
        <f>IF(COUNTIF(Sayfa2!$A$2:$A$8,"*"&amp;D1132&amp;"*")&gt;0, Sayfa2!$A$1,
 IF(COUNTIF(Sayfa2!$B$2:$B$8, "*"&amp;D1132&amp;"*")&gt;0, Sayfa2!$B$1,
 IF(COUNTIF(Sayfa2!$C$2:$C$8, "*"&amp;D1132&amp;"*")&gt;0, Sayfa2!$C$1,
 IF(COUNTIF(Sayfa2!$D$2:$D$8,"*"&amp;D1132&amp;"*")&gt;0, Sayfa2!$D$1,
 IF(COUNTIF(Sayfa2!$E$2:$E$8, "*"&amp;D1132&amp;"*")&gt;0, Sayfa2!$E$1, "Bulunamadı")))))</f>
        <v>PERŞEMBE</v>
      </c>
    </row>
    <row r="1133" spans="1:5" hidden="1" x14ac:dyDescent="0.25">
      <c r="A1133" t="s">
        <v>2780</v>
      </c>
      <c r="B1133" t="s">
        <v>1234</v>
      </c>
      <c r="C1133" t="s">
        <v>2740</v>
      </c>
      <c r="D1133" s="4" t="s">
        <v>3081</v>
      </c>
      <c r="E1133" t="str">
        <f>IF(COUNTIF(Sayfa2!$A$2:$A$8,"*"&amp;D1133&amp;"*")&gt;0, Sayfa2!$A$1,
 IF(COUNTIF(Sayfa2!$B$2:$B$8, "*"&amp;D1133&amp;"*")&gt;0, Sayfa2!$B$1,
 IF(COUNTIF(Sayfa2!$C$2:$C$8, "*"&amp;D1133&amp;"*")&gt;0, Sayfa2!$C$1,
 IF(COUNTIF(Sayfa2!$D$2:$D$8,"*"&amp;D1133&amp;"*")&gt;0, Sayfa2!$D$1,
 IF(COUNTIF(Sayfa2!$E$2:$E$8, "*"&amp;D1133&amp;"*")&gt;0, Sayfa2!$E$1, "Bulunamadı")))))</f>
        <v>PERŞEMBE</v>
      </c>
    </row>
    <row r="1134" spans="1:5" hidden="1" x14ac:dyDescent="0.25">
      <c r="A1134" t="s">
        <v>2781</v>
      </c>
      <c r="B1134" t="s">
        <v>1235</v>
      </c>
      <c r="C1134" t="s">
        <v>2745</v>
      </c>
      <c r="D1134" s="4" t="s">
        <v>3080</v>
      </c>
      <c r="E1134" t="str">
        <f>IF(COUNTIF(Sayfa2!$A$2:$A$8,"*"&amp;D1134&amp;"*")&gt;0, Sayfa2!$A$1,
 IF(COUNTIF(Sayfa2!$B$2:$B$8, "*"&amp;D1134&amp;"*")&gt;0, Sayfa2!$B$1,
 IF(COUNTIF(Sayfa2!$C$2:$C$8, "*"&amp;D1134&amp;"*")&gt;0, Sayfa2!$C$1,
 IF(COUNTIF(Sayfa2!$D$2:$D$8,"*"&amp;D1134&amp;"*")&gt;0, Sayfa2!$D$1,
 IF(COUNTIF(Sayfa2!$E$2:$E$8, "*"&amp;D1134&amp;"*")&gt;0, Sayfa2!$E$1, "Bulunamadı")))))</f>
        <v>ÇARŞAMBA</v>
      </c>
    </row>
    <row r="1135" spans="1:5" hidden="1" x14ac:dyDescent="0.25">
      <c r="A1135" t="s">
        <v>2782</v>
      </c>
      <c r="B1135" t="s">
        <v>1236</v>
      </c>
      <c r="C1135" t="s">
        <v>2745</v>
      </c>
      <c r="D1135" s="4" t="s">
        <v>3080</v>
      </c>
      <c r="E1135" t="str">
        <f>IF(COUNTIF(Sayfa2!$A$2:$A$8,"*"&amp;D1135&amp;"*")&gt;0, Sayfa2!$A$1,
 IF(COUNTIF(Sayfa2!$B$2:$B$8, "*"&amp;D1135&amp;"*")&gt;0, Sayfa2!$B$1,
 IF(COUNTIF(Sayfa2!$C$2:$C$8, "*"&amp;D1135&amp;"*")&gt;0, Sayfa2!$C$1,
 IF(COUNTIF(Sayfa2!$D$2:$D$8,"*"&amp;D1135&amp;"*")&gt;0, Sayfa2!$D$1,
 IF(COUNTIF(Sayfa2!$E$2:$E$8, "*"&amp;D1135&amp;"*")&gt;0, Sayfa2!$E$1, "Bulunamadı")))))</f>
        <v>ÇARŞAMBA</v>
      </c>
    </row>
    <row r="1136" spans="1:5" hidden="1" x14ac:dyDescent="0.25">
      <c r="A1136" t="s">
        <v>2783</v>
      </c>
      <c r="B1136" t="s">
        <v>1237</v>
      </c>
      <c r="C1136" t="s">
        <v>2745</v>
      </c>
      <c r="D1136" s="4" t="s">
        <v>3080</v>
      </c>
      <c r="E1136" t="str">
        <f>IF(COUNTIF(Sayfa2!$A$2:$A$8,"*"&amp;D1136&amp;"*")&gt;0, Sayfa2!$A$1,
 IF(COUNTIF(Sayfa2!$B$2:$B$8, "*"&amp;D1136&amp;"*")&gt;0, Sayfa2!$B$1,
 IF(COUNTIF(Sayfa2!$C$2:$C$8, "*"&amp;D1136&amp;"*")&gt;0, Sayfa2!$C$1,
 IF(COUNTIF(Sayfa2!$D$2:$D$8,"*"&amp;D1136&amp;"*")&gt;0, Sayfa2!$D$1,
 IF(COUNTIF(Sayfa2!$E$2:$E$8, "*"&amp;D1136&amp;"*")&gt;0, Sayfa2!$E$1, "Bulunamadı")))))</f>
        <v>ÇARŞAMBA</v>
      </c>
    </row>
    <row r="1137" spans="1:5" hidden="1" x14ac:dyDescent="0.25">
      <c r="A1137" t="s">
        <v>2784</v>
      </c>
      <c r="B1137" t="s">
        <v>1238</v>
      </c>
      <c r="C1137" t="s">
        <v>2740</v>
      </c>
      <c r="D1137" s="4" t="s">
        <v>3081</v>
      </c>
      <c r="E1137" t="str">
        <f>IF(COUNTIF(Sayfa2!$A$2:$A$8,"*"&amp;D1137&amp;"*")&gt;0, Sayfa2!$A$1,
 IF(COUNTIF(Sayfa2!$B$2:$B$8, "*"&amp;D1137&amp;"*")&gt;0, Sayfa2!$B$1,
 IF(COUNTIF(Sayfa2!$C$2:$C$8, "*"&amp;D1137&amp;"*")&gt;0, Sayfa2!$C$1,
 IF(COUNTIF(Sayfa2!$D$2:$D$8,"*"&amp;D1137&amp;"*")&gt;0, Sayfa2!$D$1,
 IF(COUNTIF(Sayfa2!$E$2:$E$8, "*"&amp;D1137&amp;"*")&gt;0, Sayfa2!$E$1, "Bulunamadı")))))</f>
        <v>PERŞEMBE</v>
      </c>
    </row>
    <row r="1138" spans="1:5" hidden="1" x14ac:dyDescent="0.25">
      <c r="A1138" t="s">
        <v>2785</v>
      </c>
      <c r="B1138" t="s">
        <v>1239</v>
      </c>
      <c r="C1138" t="s">
        <v>2740</v>
      </c>
      <c r="D1138" s="4" t="s">
        <v>3081</v>
      </c>
      <c r="E1138" t="str">
        <f>IF(COUNTIF(Sayfa2!$A$2:$A$8,"*"&amp;D1138&amp;"*")&gt;0, Sayfa2!$A$1,
 IF(COUNTIF(Sayfa2!$B$2:$B$8, "*"&amp;D1138&amp;"*")&gt;0, Sayfa2!$B$1,
 IF(COUNTIF(Sayfa2!$C$2:$C$8, "*"&amp;D1138&amp;"*")&gt;0, Sayfa2!$C$1,
 IF(COUNTIF(Sayfa2!$D$2:$D$8,"*"&amp;D1138&amp;"*")&gt;0, Sayfa2!$D$1,
 IF(COUNTIF(Sayfa2!$E$2:$E$8, "*"&amp;D1138&amp;"*")&gt;0, Sayfa2!$E$1, "Bulunamadı")))))</f>
        <v>PERŞEMBE</v>
      </c>
    </row>
    <row r="1139" spans="1:5" hidden="1" x14ac:dyDescent="0.25">
      <c r="A1139" t="s">
        <v>2786</v>
      </c>
      <c r="B1139" t="s">
        <v>1240</v>
      </c>
      <c r="C1139" t="s">
        <v>2740</v>
      </c>
      <c r="D1139" s="4" t="s">
        <v>3081</v>
      </c>
      <c r="E1139" t="str">
        <f>IF(COUNTIF(Sayfa2!$A$2:$A$8,"*"&amp;D1139&amp;"*")&gt;0, Sayfa2!$A$1,
 IF(COUNTIF(Sayfa2!$B$2:$B$8, "*"&amp;D1139&amp;"*")&gt;0, Sayfa2!$B$1,
 IF(COUNTIF(Sayfa2!$C$2:$C$8, "*"&amp;D1139&amp;"*")&gt;0, Sayfa2!$C$1,
 IF(COUNTIF(Sayfa2!$D$2:$D$8,"*"&amp;D1139&amp;"*")&gt;0, Sayfa2!$D$1,
 IF(COUNTIF(Sayfa2!$E$2:$E$8, "*"&amp;D1139&amp;"*")&gt;0, Sayfa2!$E$1, "Bulunamadı")))))</f>
        <v>PERŞEMBE</v>
      </c>
    </row>
    <row r="1140" spans="1:5" hidden="1" x14ac:dyDescent="0.25">
      <c r="A1140" t="s">
        <v>2787</v>
      </c>
      <c r="B1140" t="s">
        <v>1241</v>
      </c>
      <c r="C1140" t="s">
        <v>2745</v>
      </c>
      <c r="D1140" s="4" t="s">
        <v>3080</v>
      </c>
      <c r="E1140" t="str">
        <f>IF(COUNTIF(Sayfa2!$A$2:$A$8,"*"&amp;D1140&amp;"*")&gt;0, Sayfa2!$A$1,
 IF(COUNTIF(Sayfa2!$B$2:$B$8, "*"&amp;D1140&amp;"*")&gt;0, Sayfa2!$B$1,
 IF(COUNTIF(Sayfa2!$C$2:$C$8, "*"&amp;D1140&amp;"*")&gt;0, Sayfa2!$C$1,
 IF(COUNTIF(Sayfa2!$D$2:$D$8,"*"&amp;D1140&amp;"*")&gt;0, Sayfa2!$D$1,
 IF(COUNTIF(Sayfa2!$E$2:$E$8, "*"&amp;D1140&amp;"*")&gt;0, Sayfa2!$E$1, "Bulunamadı")))))</f>
        <v>ÇARŞAMBA</v>
      </c>
    </row>
    <row r="1141" spans="1:5" hidden="1" x14ac:dyDescent="0.25">
      <c r="A1141" t="s">
        <v>2788</v>
      </c>
      <c r="B1141" t="s">
        <v>1242</v>
      </c>
      <c r="C1141" t="s">
        <v>2740</v>
      </c>
      <c r="D1141" s="4" t="s">
        <v>3081</v>
      </c>
      <c r="E1141" t="str">
        <f>IF(COUNTIF(Sayfa2!$A$2:$A$8,"*"&amp;D1141&amp;"*")&gt;0, Sayfa2!$A$1,
 IF(COUNTIF(Sayfa2!$B$2:$B$8, "*"&amp;D1141&amp;"*")&gt;0, Sayfa2!$B$1,
 IF(COUNTIF(Sayfa2!$C$2:$C$8, "*"&amp;D1141&amp;"*")&gt;0, Sayfa2!$C$1,
 IF(COUNTIF(Sayfa2!$D$2:$D$8,"*"&amp;D1141&amp;"*")&gt;0, Sayfa2!$D$1,
 IF(COUNTIF(Sayfa2!$E$2:$E$8, "*"&amp;D1141&amp;"*")&gt;0, Sayfa2!$E$1, "Bulunamadı")))))</f>
        <v>PERŞEMBE</v>
      </c>
    </row>
    <row r="1142" spans="1:5" hidden="1" x14ac:dyDescent="0.25">
      <c r="A1142" t="s">
        <v>2789</v>
      </c>
      <c r="B1142" t="s">
        <v>1243</v>
      </c>
      <c r="C1142" t="s">
        <v>2745</v>
      </c>
      <c r="D1142" s="4" t="s">
        <v>3080</v>
      </c>
      <c r="E1142" t="str">
        <f>IF(COUNTIF(Sayfa2!$A$2:$A$8,"*"&amp;D1142&amp;"*")&gt;0, Sayfa2!$A$1,
 IF(COUNTIF(Sayfa2!$B$2:$B$8, "*"&amp;D1142&amp;"*")&gt;0, Sayfa2!$B$1,
 IF(COUNTIF(Sayfa2!$C$2:$C$8, "*"&amp;D1142&amp;"*")&gt;0, Sayfa2!$C$1,
 IF(COUNTIF(Sayfa2!$D$2:$D$8,"*"&amp;D1142&amp;"*")&gt;0, Sayfa2!$D$1,
 IF(COUNTIF(Sayfa2!$E$2:$E$8, "*"&amp;D1142&amp;"*")&gt;0, Sayfa2!$E$1, "Bulunamadı")))))</f>
        <v>ÇARŞAMBA</v>
      </c>
    </row>
    <row r="1143" spans="1:5" hidden="1" x14ac:dyDescent="0.25">
      <c r="A1143" t="s">
        <v>2790</v>
      </c>
      <c r="B1143" t="s">
        <v>1244</v>
      </c>
      <c r="C1143" t="s">
        <v>2745</v>
      </c>
      <c r="D1143" s="4" t="s">
        <v>3080</v>
      </c>
      <c r="E1143" t="str">
        <f>IF(COUNTIF(Sayfa2!$A$2:$A$8,"*"&amp;D1143&amp;"*")&gt;0, Sayfa2!$A$1,
 IF(COUNTIF(Sayfa2!$B$2:$B$8, "*"&amp;D1143&amp;"*")&gt;0, Sayfa2!$B$1,
 IF(COUNTIF(Sayfa2!$C$2:$C$8, "*"&amp;D1143&amp;"*")&gt;0, Sayfa2!$C$1,
 IF(COUNTIF(Sayfa2!$D$2:$D$8,"*"&amp;D1143&amp;"*")&gt;0, Sayfa2!$D$1,
 IF(COUNTIF(Sayfa2!$E$2:$E$8, "*"&amp;D1143&amp;"*")&gt;0, Sayfa2!$E$1, "Bulunamadı")))))</f>
        <v>ÇARŞAMBA</v>
      </c>
    </row>
    <row r="1144" spans="1:5" hidden="1" x14ac:dyDescent="0.25">
      <c r="A1144" t="s">
        <v>2791</v>
      </c>
      <c r="B1144" t="s">
        <v>1245</v>
      </c>
      <c r="C1144" t="s">
        <v>2745</v>
      </c>
      <c r="D1144" s="4" t="s">
        <v>3080</v>
      </c>
      <c r="E1144" t="str">
        <f>IF(COUNTIF(Sayfa2!$A$2:$A$8,"*"&amp;D1144&amp;"*")&gt;0, Sayfa2!$A$1,
 IF(COUNTIF(Sayfa2!$B$2:$B$8, "*"&amp;D1144&amp;"*")&gt;0, Sayfa2!$B$1,
 IF(COUNTIF(Sayfa2!$C$2:$C$8, "*"&amp;D1144&amp;"*")&gt;0, Sayfa2!$C$1,
 IF(COUNTIF(Sayfa2!$D$2:$D$8,"*"&amp;D1144&amp;"*")&gt;0, Sayfa2!$D$1,
 IF(COUNTIF(Sayfa2!$E$2:$E$8, "*"&amp;D1144&amp;"*")&gt;0, Sayfa2!$E$1, "Bulunamadı")))))</f>
        <v>ÇARŞAMBA</v>
      </c>
    </row>
    <row r="1145" spans="1:5" hidden="1" x14ac:dyDescent="0.25">
      <c r="A1145" t="s">
        <v>2792</v>
      </c>
      <c r="B1145" t="s">
        <v>1246</v>
      </c>
      <c r="C1145" t="s">
        <v>2745</v>
      </c>
      <c r="D1145" s="4" t="s">
        <v>3080</v>
      </c>
      <c r="E1145" t="str">
        <f>IF(COUNTIF(Sayfa2!$A$2:$A$8,"*"&amp;D1145&amp;"*")&gt;0, Sayfa2!$A$1,
 IF(COUNTIF(Sayfa2!$B$2:$B$8, "*"&amp;D1145&amp;"*")&gt;0, Sayfa2!$B$1,
 IF(COUNTIF(Sayfa2!$C$2:$C$8, "*"&amp;D1145&amp;"*")&gt;0, Sayfa2!$C$1,
 IF(COUNTIF(Sayfa2!$D$2:$D$8,"*"&amp;D1145&amp;"*")&gt;0, Sayfa2!$D$1,
 IF(COUNTIF(Sayfa2!$E$2:$E$8, "*"&amp;D1145&amp;"*")&gt;0, Sayfa2!$E$1, "Bulunamadı")))))</f>
        <v>ÇARŞAMBA</v>
      </c>
    </row>
    <row r="1146" spans="1:5" hidden="1" x14ac:dyDescent="0.25">
      <c r="A1146" t="s">
        <v>2793</v>
      </c>
      <c r="B1146" t="s">
        <v>1247</v>
      </c>
      <c r="C1146" t="s">
        <v>2794</v>
      </c>
      <c r="D1146" s="4" t="s">
        <v>3080</v>
      </c>
      <c r="E1146" t="str">
        <f>IF(COUNTIF(Sayfa2!$A$2:$A$8,"*"&amp;D1146&amp;"*")&gt;0, Sayfa2!$A$1,
 IF(COUNTIF(Sayfa2!$B$2:$B$8, "*"&amp;D1146&amp;"*")&gt;0, Sayfa2!$B$1,
 IF(COUNTIF(Sayfa2!$C$2:$C$8, "*"&amp;D1146&amp;"*")&gt;0, Sayfa2!$C$1,
 IF(COUNTIF(Sayfa2!$D$2:$D$8,"*"&amp;D1146&amp;"*")&gt;0, Sayfa2!$D$1,
 IF(COUNTIF(Sayfa2!$E$2:$E$8, "*"&amp;D1146&amp;"*")&gt;0, Sayfa2!$E$1, "Bulunamadı")))))</f>
        <v>ÇARŞAMBA</v>
      </c>
    </row>
    <row r="1147" spans="1:5" hidden="1" x14ac:dyDescent="0.25">
      <c r="A1147" t="s">
        <v>2795</v>
      </c>
      <c r="B1147" t="s">
        <v>1249</v>
      </c>
      <c r="C1147" t="s">
        <v>2794</v>
      </c>
      <c r="D1147" s="4" t="s">
        <v>3080</v>
      </c>
      <c r="E1147" t="str">
        <f>IF(COUNTIF(Sayfa2!$A$2:$A$8,"*"&amp;D1147&amp;"*")&gt;0, Sayfa2!$A$1,
 IF(COUNTIF(Sayfa2!$B$2:$B$8, "*"&amp;D1147&amp;"*")&gt;0, Sayfa2!$B$1,
 IF(COUNTIF(Sayfa2!$C$2:$C$8, "*"&amp;D1147&amp;"*")&gt;0, Sayfa2!$C$1,
 IF(COUNTIF(Sayfa2!$D$2:$D$8,"*"&amp;D1147&amp;"*")&gt;0, Sayfa2!$D$1,
 IF(COUNTIF(Sayfa2!$E$2:$E$8, "*"&amp;D1147&amp;"*")&gt;0, Sayfa2!$E$1, "Bulunamadı")))))</f>
        <v>ÇARŞAMBA</v>
      </c>
    </row>
    <row r="1148" spans="1:5" hidden="1" x14ac:dyDescent="0.25">
      <c r="A1148" t="s">
        <v>1521</v>
      </c>
      <c r="B1148" t="s">
        <v>1250</v>
      </c>
      <c r="C1148" t="s">
        <v>2794</v>
      </c>
      <c r="D1148" s="4" t="s">
        <v>3080</v>
      </c>
      <c r="E1148" t="str">
        <f>IF(COUNTIF(Sayfa2!$A$2:$A$8,"*"&amp;D1148&amp;"*")&gt;0, Sayfa2!$A$1,
 IF(COUNTIF(Sayfa2!$B$2:$B$8, "*"&amp;D1148&amp;"*")&gt;0, Sayfa2!$B$1,
 IF(COUNTIF(Sayfa2!$C$2:$C$8, "*"&amp;D1148&amp;"*")&gt;0, Sayfa2!$C$1,
 IF(COUNTIF(Sayfa2!$D$2:$D$8,"*"&amp;D1148&amp;"*")&gt;0, Sayfa2!$D$1,
 IF(COUNTIF(Sayfa2!$E$2:$E$8, "*"&amp;D1148&amp;"*")&gt;0, Sayfa2!$E$1, "Bulunamadı")))))</f>
        <v>ÇARŞAMBA</v>
      </c>
    </row>
    <row r="1149" spans="1:5" hidden="1" x14ac:dyDescent="0.25">
      <c r="A1149" t="s">
        <v>2796</v>
      </c>
      <c r="B1149" t="s">
        <v>1251</v>
      </c>
      <c r="C1149" t="s">
        <v>2797</v>
      </c>
      <c r="D1149" s="4" t="s">
        <v>3079</v>
      </c>
      <c r="E1149" t="str">
        <f>IF(COUNTIF(Sayfa2!$A$2:$A$8,"*"&amp;D1149&amp;"*")&gt;0, Sayfa2!$A$1,
 IF(COUNTIF(Sayfa2!$B$2:$B$8, "*"&amp;D1149&amp;"*")&gt;0, Sayfa2!$B$1,
 IF(COUNTIF(Sayfa2!$C$2:$C$8, "*"&amp;D1149&amp;"*")&gt;0, Sayfa2!$C$1,
 IF(COUNTIF(Sayfa2!$D$2:$D$8,"*"&amp;D1149&amp;"*")&gt;0, Sayfa2!$D$1,
 IF(COUNTIF(Sayfa2!$E$2:$E$8, "*"&amp;D1149&amp;"*")&gt;0, Sayfa2!$E$1, "Bulunamadı")))))</f>
        <v>SALI</v>
      </c>
    </row>
    <row r="1150" spans="1:5" hidden="1" x14ac:dyDescent="0.25">
      <c r="A1150" t="s">
        <v>2798</v>
      </c>
      <c r="B1150" t="s">
        <v>1253</v>
      </c>
      <c r="C1150" t="s">
        <v>2797</v>
      </c>
      <c r="D1150" s="4" t="s">
        <v>3079</v>
      </c>
      <c r="E1150" t="str">
        <f>IF(COUNTIF(Sayfa2!$A$2:$A$8,"*"&amp;D1150&amp;"*")&gt;0, Sayfa2!$A$1,
 IF(COUNTIF(Sayfa2!$B$2:$B$8, "*"&amp;D1150&amp;"*")&gt;0, Sayfa2!$B$1,
 IF(COUNTIF(Sayfa2!$C$2:$C$8, "*"&amp;D1150&amp;"*")&gt;0, Sayfa2!$C$1,
 IF(COUNTIF(Sayfa2!$D$2:$D$8,"*"&amp;D1150&amp;"*")&gt;0, Sayfa2!$D$1,
 IF(COUNTIF(Sayfa2!$E$2:$E$8, "*"&amp;D1150&amp;"*")&gt;0, Sayfa2!$E$1, "Bulunamadı")))))</f>
        <v>SALI</v>
      </c>
    </row>
    <row r="1151" spans="1:5" hidden="1" x14ac:dyDescent="0.25">
      <c r="A1151" t="s">
        <v>2799</v>
      </c>
      <c r="B1151" t="s">
        <v>1254</v>
      </c>
      <c r="C1151" t="s">
        <v>2797</v>
      </c>
      <c r="D1151" s="4" t="s">
        <v>3079</v>
      </c>
      <c r="E1151" t="str">
        <f>IF(COUNTIF(Sayfa2!$A$2:$A$8,"*"&amp;D1151&amp;"*")&gt;0, Sayfa2!$A$1,
 IF(COUNTIF(Sayfa2!$B$2:$B$8, "*"&amp;D1151&amp;"*")&gt;0, Sayfa2!$B$1,
 IF(COUNTIF(Sayfa2!$C$2:$C$8, "*"&amp;D1151&amp;"*")&gt;0, Sayfa2!$C$1,
 IF(COUNTIF(Sayfa2!$D$2:$D$8,"*"&amp;D1151&amp;"*")&gt;0, Sayfa2!$D$1,
 IF(COUNTIF(Sayfa2!$E$2:$E$8, "*"&amp;D1151&amp;"*")&gt;0, Sayfa2!$E$1, "Bulunamadı")))))</f>
        <v>SALI</v>
      </c>
    </row>
    <row r="1152" spans="1:5" hidden="1" x14ac:dyDescent="0.25">
      <c r="A1152" t="s">
        <v>2800</v>
      </c>
      <c r="B1152" t="s">
        <v>1255</v>
      </c>
      <c r="C1152" t="s">
        <v>2797</v>
      </c>
      <c r="D1152" s="4" t="s">
        <v>3079</v>
      </c>
      <c r="E1152" t="str">
        <f>IF(COUNTIF(Sayfa2!$A$2:$A$8,"*"&amp;D1152&amp;"*")&gt;0, Sayfa2!$A$1,
 IF(COUNTIF(Sayfa2!$B$2:$B$8, "*"&amp;D1152&amp;"*")&gt;0, Sayfa2!$B$1,
 IF(COUNTIF(Sayfa2!$C$2:$C$8, "*"&amp;D1152&amp;"*")&gt;0, Sayfa2!$C$1,
 IF(COUNTIF(Sayfa2!$D$2:$D$8,"*"&amp;D1152&amp;"*")&gt;0, Sayfa2!$D$1,
 IF(COUNTIF(Sayfa2!$E$2:$E$8, "*"&amp;D1152&amp;"*")&gt;0, Sayfa2!$E$1, "Bulunamadı")))))</f>
        <v>SALI</v>
      </c>
    </row>
    <row r="1153" spans="1:5" hidden="1" x14ac:dyDescent="0.25">
      <c r="A1153" t="s">
        <v>2801</v>
      </c>
      <c r="B1153" t="s">
        <v>1256</v>
      </c>
      <c r="C1153" t="s">
        <v>2797</v>
      </c>
      <c r="D1153" s="4" t="s">
        <v>3079</v>
      </c>
      <c r="E1153" t="str">
        <f>IF(COUNTIF(Sayfa2!$A$2:$A$8,"*"&amp;D1153&amp;"*")&gt;0, Sayfa2!$A$1,
 IF(COUNTIF(Sayfa2!$B$2:$B$8, "*"&amp;D1153&amp;"*")&gt;0, Sayfa2!$B$1,
 IF(COUNTIF(Sayfa2!$C$2:$C$8, "*"&amp;D1153&amp;"*")&gt;0, Sayfa2!$C$1,
 IF(COUNTIF(Sayfa2!$D$2:$D$8,"*"&amp;D1153&amp;"*")&gt;0, Sayfa2!$D$1,
 IF(COUNTIF(Sayfa2!$E$2:$E$8, "*"&amp;D1153&amp;"*")&gt;0, Sayfa2!$E$1, "Bulunamadı")))))</f>
        <v>SALI</v>
      </c>
    </row>
    <row r="1154" spans="1:5" hidden="1" x14ac:dyDescent="0.25">
      <c r="A1154" t="s">
        <v>2802</v>
      </c>
      <c r="B1154" t="s">
        <v>1257</v>
      </c>
      <c r="C1154" t="s">
        <v>2797</v>
      </c>
      <c r="D1154" s="4" t="s">
        <v>3079</v>
      </c>
      <c r="E1154" t="str">
        <f>IF(COUNTIF(Sayfa2!$A$2:$A$8,"*"&amp;D1154&amp;"*")&gt;0, Sayfa2!$A$1,
 IF(COUNTIF(Sayfa2!$B$2:$B$8, "*"&amp;D1154&amp;"*")&gt;0, Sayfa2!$B$1,
 IF(COUNTIF(Sayfa2!$C$2:$C$8, "*"&amp;D1154&amp;"*")&gt;0, Sayfa2!$C$1,
 IF(COUNTIF(Sayfa2!$D$2:$D$8,"*"&amp;D1154&amp;"*")&gt;0, Sayfa2!$D$1,
 IF(COUNTIF(Sayfa2!$E$2:$E$8, "*"&amp;D1154&amp;"*")&gt;0, Sayfa2!$E$1, "Bulunamadı")))))</f>
        <v>SALI</v>
      </c>
    </row>
    <row r="1155" spans="1:5" hidden="1" x14ac:dyDescent="0.25">
      <c r="A1155" t="s">
        <v>2803</v>
      </c>
      <c r="B1155" t="s">
        <v>1258</v>
      </c>
      <c r="C1155" t="s">
        <v>2797</v>
      </c>
      <c r="D1155" s="4" t="s">
        <v>3079</v>
      </c>
      <c r="E1155" t="str">
        <f>IF(COUNTIF(Sayfa2!$A$2:$A$8,"*"&amp;D1155&amp;"*")&gt;0, Sayfa2!$A$1,
 IF(COUNTIF(Sayfa2!$B$2:$B$8, "*"&amp;D1155&amp;"*")&gt;0, Sayfa2!$B$1,
 IF(COUNTIF(Sayfa2!$C$2:$C$8, "*"&amp;D1155&amp;"*")&gt;0, Sayfa2!$C$1,
 IF(COUNTIF(Sayfa2!$D$2:$D$8,"*"&amp;D1155&amp;"*")&gt;0, Sayfa2!$D$1,
 IF(COUNTIF(Sayfa2!$E$2:$E$8, "*"&amp;D1155&amp;"*")&gt;0, Sayfa2!$E$1, "Bulunamadı")))))</f>
        <v>SALI</v>
      </c>
    </row>
    <row r="1156" spans="1:5" hidden="1" x14ac:dyDescent="0.25">
      <c r="A1156" t="s">
        <v>2804</v>
      </c>
      <c r="B1156" t="s">
        <v>1259</v>
      </c>
      <c r="C1156" t="s">
        <v>2805</v>
      </c>
      <c r="D1156" s="4" t="s">
        <v>3076</v>
      </c>
      <c r="E1156" t="str">
        <f>IF(COUNTIF(Sayfa2!$A$2:$A$8,"*"&amp;D1156&amp;"*")&gt;0, Sayfa2!$A$1,
 IF(COUNTIF(Sayfa2!$B$2:$B$8, "*"&amp;D1156&amp;"*")&gt;0, Sayfa2!$B$1,
 IF(COUNTIF(Sayfa2!$C$2:$C$8, "*"&amp;D1156&amp;"*")&gt;0, Sayfa2!$C$1,
 IF(COUNTIF(Sayfa2!$D$2:$D$8,"*"&amp;D1156&amp;"*")&gt;0, Sayfa2!$D$1,
 IF(COUNTIF(Sayfa2!$E$2:$E$8, "*"&amp;D1156&amp;"*")&gt;0, Sayfa2!$E$1, "Bulunamadı")))))</f>
        <v>PERŞEMBE</v>
      </c>
    </row>
    <row r="1157" spans="1:5" hidden="1" x14ac:dyDescent="0.25">
      <c r="A1157" t="s">
        <v>2806</v>
      </c>
      <c r="B1157" t="s">
        <v>1260</v>
      </c>
      <c r="C1157" t="s">
        <v>2805</v>
      </c>
      <c r="D1157" s="4" t="s">
        <v>3076</v>
      </c>
      <c r="E1157" t="str">
        <f>IF(COUNTIF(Sayfa2!$A$2:$A$8,"*"&amp;D1157&amp;"*")&gt;0, Sayfa2!$A$1,
 IF(COUNTIF(Sayfa2!$B$2:$B$8, "*"&amp;D1157&amp;"*")&gt;0, Sayfa2!$B$1,
 IF(COUNTIF(Sayfa2!$C$2:$C$8, "*"&amp;D1157&amp;"*")&gt;0, Sayfa2!$C$1,
 IF(COUNTIF(Sayfa2!$D$2:$D$8,"*"&amp;D1157&amp;"*")&gt;0, Sayfa2!$D$1,
 IF(COUNTIF(Sayfa2!$E$2:$E$8, "*"&amp;D1157&amp;"*")&gt;0, Sayfa2!$E$1, "Bulunamadı")))))</f>
        <v>PERŞEMBE</v>
      </c>
    </row>
    <row r="1158" spans="1:5" hidden="1" x14ac:dyDescent="0.25">
      <c r="A1158" t="s">
        <v>2807</v>
      </c>
      <c r="B1158" t="s">
        <v>1261</v>
      </c>
      <c r="C1158" t="s">
        <v>2805</v>
      </c>
      <c r="D1158" s="4" t="s">
        <v>3076</v>
      </c>
      <c r="E1158" t="str">
        <f>IF(COUNTIF(Sayfa2!$A$2:$A$8,"*"&amp;D1158&amp;"*")&gt;0, Sayfa2!$A$1,
 IF(COUNTIF(Sayfa2!$B$2:$B$8, "*"&amp;D1158&amp;"*")&gt;0, Sayfa2!$B$1,
 IF(COUNTIF(Sayfa2!$C$2:$C$8, "*"&amp;D1158&amp;"*")&gt;0, Sayfa2!$C$1,
 IF(COUNTIF(Sayfa2!$D$2:$D$8,"*"&amp;D1158&amp;"*")&gt;0, Sayfa2!$D$1,
 IF(COUNTIF(Sayfa2!$E$2:$E$8, "*"&amp;D1158&amp;"*")&gt;0, Sayfa2!$E$1, "Bulunamadı")))))</f>
        <v>PERŞEMBE</v>
      </c>
    </row>
    <row r="1159" spans="1:5" hidden="1" x14ac:dyDescent="0.25">
      <c r="A1159" t="s">
        <v>2808</v>
      </c>
      <c r="B1159" t="s">
        <v>1262</v>
      </c>
      <c r="C1159" t="s">
        <v>2805</v>
      </c>
      <c r="D1159" s="4" t="s">
        <v>3076</v>
      </c>
      <c r="E1159" t="str">
        <f>IF(COUNTIF(Sayfa2!$A$2:$A$8,"*"&amp;D1159&amp;"*")&gt;0, Sayfa2!$A$1,
 IF(COUNTIF(Sayfa2!$B$2:$B$8, "*"&amp;D1159&amp;"*")&gt;0, Sayfa2!$B$1,
 IF(COUNTIF(Sayfa2!$C$2:$C$8, "*"&amp;D1159&amp;"*")&gt;0, Sayfa2!$C$1,
 IF(COUNTIF(Sayfa2!$D$2:$D$8,"*"&amp;D1159&amp;"*")&gt;0, Sayfa2!$D$1,
 IF(COUNTIF(Sayfa2!$E$2:$E$8, "*"&amp;D1159&amp;"*")&gt;0, Sayfa2!$E$1, "Bulunamadı")))))</f>
        <v>PERŞEMBE</v>
      </c>
    </row>
    <row r="1160" spans="1:5" hidden="1" x14ac:dyDescent="0.25">
      <c r="A1160" t="s">
        <v>2809</v>
      </c>
      <c r="B1160" t="s">
        <v>1263</v>
      </c>
      <c r="C1160" t="s">
        <v>2805</v>
      </c>
      <c r="D1160" s="4" t="s">
        <v>3076</v>
      </c>
      <c r="E1160" t="str">
        <f>IF(COUNTIF(Sayfa2!$A$2:$A$8,"*"&amp;D1160&amp;"*")&gt;0, Sayfa2!$A$1,
 IF(COUNTIF(Sayfa2!$B$2:$B$8, "*"&amp;D1160&amp;"*")&gt;0, Sayfa2!$B$1,
 IF(COUNTIF(Sayfa2!$C$2:$C$8, "*"&amp;D1160&amp;"*")&gt;0, Sayfa2!$C$1,
 IF(COUNTIF(Sayfa2!$D$2:$D$8,"*"&amp;D1160&amp;"*")&gt;0, Sayfa2!$D$1,
 IF(COUNTIF(Sayfa2!$E$2:$E$8, "*"&amp;D1160&amp;"*")&gt;0, Sayfa2!$E$1, "Bulunamadı")))))</f>
        <v>PERŞEMBE</v>
      </c>
    </row>
    <row r="1161" spans="1:5" hidden="1" x14ac:dyDescent="0.25">
      <c r="A1161" t="s">
        <v>2810</v>
      </c>
      <c r="B1161" t="s">
        <v>1264</v>
      </c>
      <c r="C1161" t="s">
        <v>2805</v>
      </c>
      <c r="D1161" s="4" t="s">
        <v>3076</v>
      </c>
      <c r="E1161" t="str">
        <f>IF(COUNTIF(Sayfa2!$A$2:$A$8,"*"&amp;D1161&amp;"*")&gt;0, Sayfa2!$A$1,
 IF(COUNTIF(Sayfa2!$B$2:$B$8, "*"&amp;D1161&amp;"*")&gt;0, Sayfa2!$B$1,
 IF(COUNTIF(Sayfa2!$C$2:$C$8, "*"&amp;D1161&amp;"*")&gt;0, Sayfa2!$C$1,
 IF(COUNTIF(Sayfa2!$D$2:$D$8,"*"&amp;D1161&amp;"*")&gt;0, Sayfa2!$D$1,
 IF(COUNTIF(Sayfa2!$E$2:$E$8, "*"&amp;D1161&amp;"*")&gt;0, Sayfa2!$E$1, "Bulunamadı")))))</f>
        <v>PERŞEMBE</v>
      </c>
    </row>
    <row r="1162" spans="1:5" hidden="1" x14ac:dyDescent="0.25">
      <c r="A1162" t="s">
        <v>2811</v>
      </c>
      <c r="B1162" t="s">
        <v>1265</v>
      </c>
      <c r="C1162" t="s">
        <v>2805</v>
      </c>
      <c r="D1162" s="4" t="s">
        <v>3076</v>
      </c>
      <c r="E1162" t="str">
        <f>IF(COUNTIF(Sayfa2!$A$2:$A$8,"*"&amp;D1162&amp;"*")&gt;0, Sayfa2!$A$1,
 IF(COUNTIF(Sayfa2!$B$2:$B$8, "*"&amp;D1162&amp;"*")&gt;0, Sayfa2!$B$1,
 IF(COUNTIF(Sayfa2!$C$2:$C$8, "*"&amp;D1162&amp;"*")&gt;0, Sayfa2!$C$1,
 IF(COUNTIF(Sayfa2!$D$2:$D$8,"*"&amp;D1162&amp;"*")&gt;0, Sayfa2!$D$1,
 IF(COUNTIF(Sayfa2!$E$2:$E$8, "*"&amp;D1162&amp;"*")&gt;0, Sayfa2!$E$1, "Bulunamadı")))))</f>
        <v>PERŞEMBE</v>
      </c>
    </row>
    <row r="1163" spans="1:5" hidden="1" x14ac:dyDescent="0.25">
      <c r="A1163" t="s">
        <v>2812</v>
      </c>
      <c r="B1163" t="s">
        <v>1266</v>
      </c>
      <c r="C1163" t="s">
        <v>2805</v>
      </c>
      <c r="D1163" s="4" t="s">
        <v>3076</v>
      </c>
      <c r="E1163" t="str">
        <f>IF(COUNTIF(Sayfa2!$A$2:$A$8,"*"&amp;D1163&amp;"*")&gt;0, Sayfa2!$A$1,
 IF(COUNTIF(Sayfa2!$B$2:$B$8, "*"&amp;D1163&amp;"*")&gt;0, Sayfa2!$B$1,
 IF(COUNTIF(Sayfa2!$C$2:$C$8, "*"&amp;D1163&amp;"*")&gt;0, Sayfa2!$C$1,
 IF(COUNTIF(Sayfa2!$D$2:$D$8,"*"&amp;D1163&amp;"*")&gt;0, Sayfa2!$D$1,
 IF(COUNTIF(Sayfa2!$E$2:$E$8, "*"&amp;D1163&amp;"*")&gt;0, Sayfa2!$E$1, "Bulunamadı")))))</f>
        <v>PERŞEMBE</v>
      </c>
    </row>
    <row r="1164" spans="1:5" hidden="1" x14ac:dyDescent="0.25">
      <c r="A1164" t="s">
        <v>2813</v>
      </c>
      <c r="B1164" t="s">
        <v>1267</v>
      </c>
      <c r="C1164" t="s">
        <v>2805</v>
      </c>
      <c r="D1164" s="4" t="s">
        <v>3076</v>
      </c>
      <c r="E1164" t="str">
        <f>IF(COUNTIF(Sayfa2!$A$2:$A$8,"*"&amp;D1164&amp;"*")&gt;0, Sayfa2!$A$1,
 IF(COUNTIF(Sayfa2!$B$2:$B$8, "*"&amp;D1164&amp;"*")&gt;0, Sayfa2!$B$1,
 IF(COUNTIF(Sayfa2!$C$2:$C$8, "*"&amp;D1164&amp;"*")&gt;0, Sayfa2!$C$1,
 IF(COUNTIF(Sayfa2!$D$2:$D$8,"*"&amp;D1164&amp;"*")&gt;0, Sayfa2!$D$1,
 IF(COUNTIF(Sayfa2!$E$2:$E$8, "*"&amp;D1164&amp;"*")&gt;0, Sayfa2!$E$1, "Bulunamadı")))))</f>
        <v>PERŞEMBE</v>
      </c>
    </row>
    <row r="1165" spans="1:5" hidden="1" x14ac:dyDescent="0.25">
      <c r="A1165" t="s">
        <v>2814</v>
      </c>
      <c r="B1165" t="s">
        <v>1268</v>
      </c>
      <c r="C1165" t="s">
        <v>2805</v>
      </c>
      <c r="D1165" s="4" t="s">
        <v>3076</v>
      </c>
      <c r="E1165" t="str">
        <f>IF(COUNTIF(Sayfa2!$A$2:$A$8,"*"&amp;D1165&amp;"*")&gt;0, Sayfa2!$A$1,
 IF(COUNTIF(Sayfa2!$B$2:$B$8, "*"&amp;D1165&amp;"*")&gt;0, Sayfa2!$B$1,
 IF(COUNTIF(Sayfa2!$C$2:$C$8, "*"&amp;D1165&amp;"*")&gt;0, Sayfa2!$C$1,
 IF(COUNTIF(Sayfa2!$D$2:$D$8,"*"&amp;D1165&amp;"*")&gt;0, Sayfa2!$D$1,
 IF(COUNTIF(Sayfa2!$E$2:$E$8, "*"&amp;D1165&amp;"*")&gt;0, Sayfa2!$E$1, "Bulunamadı")))))</f>
        <v>PERŞEMBE</v>
      </c>
    </row>
    <row r="1166" spans="1:5" hidden="1" x14ac:dyDescent="0.25">
      <c r="A1166" t="s">
        <v>2815</v>
      </c>
      <c r="B1166" t="s">
        <v>1269</v>
      </c>
      <c r="C1166" t="s">
        <v>2805</v>
      </c>
      <c r="D1166" s="4" t="s">
        <v>3076</v>
      </c>
      <c r="E1166" t="str">
        <f>IF(COUNTIF(Sayfa2!$A$2:$A$8,"*"&amp;D1166&amp;"*")&gt;0, Sayfa2!$A$1,
 IF(COUNTIF(Sayfa2!$B$2:$B$8, "*"&amp;D1166&amp;"*")&gt;0, Sayfa2!$B$1,
 IF(COUNTIF(Sayfa2!$C$2:$C$8, "*"&amp;D1166&amp;"*")&gt;0, Sayfa2!$C$1,
 IF(COUNTIF(Sayfa2!$D$2:$D$8,"*"&amp;D1166&amp;"*")&gt;0, Sayfa2!$D$1,
 IF(COUNTIF(Sayfa2!$E$2:$E$8, "*"&amp;D1166&amp;"*")&gt;0, Sayfa2!$E$1, "Bulunamadı")))))</f>
        <v>PERŞEMBE</v>
      </c>
    </row>
    <row r="1167" spans="1:5" hidden="1" x14ac:dyDescent="0.25">
      <c r="A1167" t="s">
        <v>2816</v>
      </c>
      <c r="B1167" t="s">
        <v>1270</v>
      </c>
      <c r="C1167" t="s">
        <v>2817</v>
      </c>
      <c r="D1167" s="4" t="s">
        <v>3083</v>
      </c>
      <c r="E1167" t="str">
        <f>IF(COUNTIF(Sayfa2!$A$2:$A$8,"*"&amp;D1167&amp;"*")&gt;0, Sayfa2!$A$1,
 IF(COUNTIF(Sayfa2!$B$2:$B$8, "*"&amp;D1167&amp;"*")&gt;0, Sayfa2!$B$1,
 IF(COUNTIF(Sayfa2!$C$2:$C$8, "*"&amp;D1167&amp;"*")&gt;0, Sayfa2!$C$1,
 IF(COUNTIF(Sayfa2!$D$2:$D$8,"*"&amp;D1167&amp;"*")&gt;0, Sayfa2!$D$1,
 IF(COUNTIF(Sayfa2!$E$2:$E$8, "*"&amp;D1167&amp;"*")&gt;0, Sayfa2!$E$1, "Bulunamadı")))))</f>
        <v>PAZARTESİ</v>
      </c>
    </row>
    <row r="1168" spans="1:5" hidden="1" x14ac:dyDescent="0.25">
      <c r="A1168" t="s">
        <v>2818</v>
      </c>
      <c r="B1168" t="s">
        <v>1272</v>
      </c>
      <c r="C1168" t="s">
        <v>2817</v>
      </c>
      <c r="D1168" s="4" t="s">
        <v>3083</v>
      </c>
      <c r="E1168" t="str">
        <f>IF(COUNTIF(Sayfa2!$A$2:$A$8,"*"&amp;D1168&amp;"*")&gt;0, Sayfa2!$A$1,
 IF(COUNTIF(Sayfa2!$B$2:$B$8, "*"&amp;D1168&amp;"*")&gt;0, Sayfa2!$B$1,
 IF(COUNTIF(Sayfa2!$C$2:$C$8, "*"&amp;D1168&amp;"*")&gt;0, Sayfa2!$C$1,
 IF(COUNTIF(Sayfa2!$D$2:$D$8,"*"&amp;D1168&amp;"*")&gt;0, Sayfa2!$D$1,
 IF(COUNTIF(Sayfa2!$E$2:$E$8, "*"&amp;D1168&amp;"*")&gt;0, Sayfa2!$E$1, "Bulunamadı")))))</f>
        <v>PAZARTESİ</v>
      </c>
    </row>
    <row r="1169" spans="1:5" hidden="1" x14ac:dyDescent="0.25">
      <c r="A1169" t="s">
        <v>2819</v>
      </c>
      <c r="B1169" t="s">
        <v>1273</v>
      </c>
      <c r="C1169" t="s">
        <v>2817</v>
      </c>
      <c r="D1169" s="4" t="s">
        <v>3083</v>
      </c>
      <c r="E1169" t="str">
        <f>IF(COUNTIF(Sayfa2!$A$2:$A$8,"*"&amp;D1169&amp;"*")&gt;0, Sayfa2!$A$1,
 IF(COUNTIF(Sayfa2!$B$2:$B$8, "*"&amp;D1169&amp;"*")&gt;0, Sayfa2!$B$1,
 IF(COUNTIF(Sayfa2!$C$2:$C$8, "*"&amp;D1169&amp;"*")&gt;0, Sayfa2!$C$1,
 IF(COUNTIF(Sayfa2!$D$2:$D$8,"*"&amp;D1169&amp;"*")&gt;0, Sayfa2!$D$1,
 IF(COUNTIF(Sayfa2!$E$2:$E$8, "*"&amp;D1169&amp;"*")&gt;0, Sayfa2!$E$1, "Bulunamadı")))))</f>
        <v>PAZARTESİ</v>
      </c>
    </row>
    <row r="1170" spans="1:5" hidden="1" x14ac:dyDescent="0.25">
      <c r="A1170" t="s">
        <v>2820</v>
      </c>
      <c r="B1170" t="s">
        <v>1274</v>
      </c>
      <c r="C1170" t="s">
        <v>2821</v>
      </c>
      <c r="D1170" s="4" t="s">
        <v>3076</v>
      </c>
      <c r="E1170" t="str">
        <f>IF(COUNTIF(Sayfa2!$A$2:$A$8,"*"&amp;D1170&amp;"*")&gt;0, Sayfa2!$A$1,
 IF(COUNTIF(Sayfa2!$B$2:$B$8, "*"&amp;D1170&amp;"*")&gt;0, Sayfa2!$B$1,
 IF(COUNTIF(Sayfa2!$C$2:$C$8, "*"&amp;D1170&amp;"*")&gt;0, Sayfa2!$C$1,
 IF(COUNTIF(Sayfa2!$D$2:$D$8,"*"&amp;D1170&amp;"*")&gt;0, Sayfa2!$D$1,
 IF(COUNTIF(Sayfa2!$E$2:$E$8, "*"&amp;D1170&amp;"*")&gt;0, Sayfa2!$E$1, "Bulunamadı")))))</f>
        <v>PERŞEMBE</v>
      </c>
    </row>
    <row r="1171" spans="1:5" hidden="1" x14ac:dyDescent="0.25">
      <c r="A1171" t="s">
        <v>2822</v>
      </c>
      <c r="B1171" t="s">
        <v>1275</v>
      </c>
      <c r="C1171" t="s">
        <v>2821</v>
      </c>
      <c r="D1171" s="4" t="s">
        <v>3076</v>
      </c>
      <c r="E1171" t="str">
        <f>IF(COUNTIF(Sayfa2!$A$2:$A$8,"*"&amp;D1171&amp;"*")&gt;0, Sayfa2!$A$1,
 IF(COUNTIF(Sayfa2!$B$2:$B$8, "*"&amp;D1171&amp;"*")&gt;0, Sayfa2!$B$1,
 IF(COUNTIF(Sayfa2!$C$2:$C$8, "*"&amp;D1171&amp;"*")&gt;0, Sayfa2!$C$1,
 IF(COUNTIF(Sayfa2!$D$2:$D$8,"*"&amp;D1171&amp;"*")&gt;0, Sayfa2!$D$1,
 IF(COUNTIF(Sayfa2!$E$2:$E$8, "*"&amp;D1171&amp;"*")&gt;0, Sayfa2!$E$1, "Bulunamadı")))))</f>
        <v>PERŞEMBE</v>
      </c>
    </row>
    <row r="1172" spans="1:5" hidden="1" x14ac:dyDescent="0.25">
      <c r="A1172" t="s">
        <v>2823</v>
      </c>
      <c r="B1172" t="s">
        <v>1276</v>
      </c>
      <c r="C1172" t="s">
        <v>2824</v>
      </c>
      <c r="D1172" s="4" t="s">
        <v>3076</v>
      </c>
      <c r="E1172" t="str">
        <f>IF(COUNTIF(Sayfa2!$A$2:$A$8,"*"&amp;D1172&amp;"*")&gt;0, Sayfa2!$A$1,
 IF(COUNTIF(Sayfa2!$B$2:$B$8, "*"&amp;D1172&amp;"*")&gt;0, Sayfa2!$B$1,
 IF(COUNTIF(Sayfa2!$C$2:$C$8, "*"&amp;D1172&amp;"*")&gt;0, Sayfa2!$C$1,
 IF(COUNTIF(Sayfa2!$D$2:$D$8,"*"&amp;D1172&amp;"*")&gt;0, Sayfa2!$D$1,
 IF(COUNTIF(Sayfa2!$E$2:$E$8, "*"&amp;D1172&amp;"*")&gt;0, Sayfa2!$E$1, "Bulunamadı")))))</f>
        <v>PERŞEMBE</v>
      </c>
    </row>
    <row r="1173" spans="1:5" hidden="1" x14ac:dyDescent="0.25">
      <c r="A1173" t="s">
        <v>2825</v>
      </c>
      <c r="B1173" t="s">
        <v>1278</v>
      </c>
      <c r="C1173" t="s">
        <v>2826</v>
      </c>
      <c r="D1173" s="4" t="s">
        <v>3082</v>
      </c>
      <c r="E1173" t="str">
        <f>IF(COUNTIF(Sayfa2!$A$2:$A$8,"*"&amp;D1173&amp;"*")&gt;0, Sayfa2!$A$1,
 IF(COUNTIF(Sayfa2!$B$2:$B$8, "*"&amp;D1173&amp;"*")&gt;0, Sayfa2!$B$1,
 IF(COUNTIF(Sayfa2!$C$2:$C$8, "*"&amp;D1173&amp;"*")&gt;0, Sayfa2!$C$1,
 IF(COUNTIF(Sayfa2!$D$2:$D$8,"*"&amp;D1173&amp;"*")&gt;0, Sayfa2!$D$1,
 IF(COUNTIF(Sayfa2!$E$2:$E$8, "*"&amp;D1173&amp;"*")&gt;0, Sayfa2!$E$1, "Bulunamadı")))))</f>
        <v>CUMA</v>
      </c>
    </row>
    <row r="1174" spans="1:5" hidden="1" x14ac:dyDescent="0.25">
      <c r="A1174" t="s">
        <v>2827</v>
      </c>
      <c r="B1174" t="s">
        <v>1280</v>
      </c>
      <c r="C1174" t="s">
        <v>2828</v>
      </c>
      <c r="D1174" s="4" t="s">
        <v>3083</v>
      </c>
      <c r="E1174" t="str">
        <f>IF(COUNTIF(Sayfa2!$A$2:$A$8,"*"&amp;D1174&amp;"*")&gt;0, Sayfa2!$A$1,
 IF(COUNTIF(Sayfa2!$B$2:$B$8, "*"&amp;D1174&amp;"*")&gt;0, Sayfa2!$B$1,
 IF(COUNTIF(Sayfa2!$C$2:$C$8, "*"&amp;D1174&amp;"*")&gt;0, Sayfa2!$C$1,
 IF(COUNTIF(Sayfa2!$D$2:$D$8,"*"&amp;D1174&amp;"*")&gt;0, Sayfa2!$D$1,
 IF(COUNTIF(Sayfa2!$E$2:$E$8, "*"&amp;D1174&amp;"*")&gt;0, Sayfa2!$E$1, "Bulunamadı")))))</f>
        <v>PAZARTESİ</v>
      </c>
    </row>
    <row r="1175" spans="1:5" hidden="1" x14ac:dyDescent="0.25">
      <c r="A1175" t="s">
        <v>2829</v>
      </c>
      <c r="B1175" t="s">
        <v>1282</v>
      </c>
      <c r="C1175" t="s">
        <v>2828</v>
      </c>
      <c r="D1175" s="4" t="s">
        <v>3083</v>
      </c>
      <c r="E1175" t="str">
        <f>IF(COUNTIF(Sayfa2!$A$2:$A$8,"*"&amp;D1175&amp;"*")&gt;0, Sayfa2!$A$1,
 IF(COUNTIF(Sayfa2!$B$2:$B$8, "*"&amp;D1175&amp;"*")&gt;0, Sayfa2!$B$1,
 IF(COUNTIF(Sayfa2!$C$2:$C$8, "*"&amp;D1175&amp;"*")&gt;0, Sayfa2!$C$1,
 IF(COUNTIF(Sayfa2!$D$2:$D$8,"*"&amp;D1175&amp;"*")&gt;0, Sayfa2!$D$1,
 IF(COUNTIF(Sayfa2!$E$2:$E$8, "*"&amp;D1175&amp;"*")&gt;0, Sayfa2!$E$1, "Bulunamadı")))))</f>
        <v>PAZARTESİ</v>
      </c>
    </row>
    <row r="1176" spans="1:5" hidden="1" x14ac:dyDescent="0.25">
      <c r="A1176" t="s">
        <v>2830</v>
      </c>
      <c r="B1176" t="s">
        <v>1283</v>
      </c>
      <c r="C1176" t="s">
        <v>2831</v>
      </c>
      <c r="D1176" s="4" t="s">
        <v>3083</v>
      </c>
      <c r="E1176" t="str">
        <f>IF(COUNTIF(Sayfa2!$A$2:$A$8,"*"&amp;D1176&amp;"*")&gt;0, Sayfa2!$A$1,
 IF(COUNTIF(Sayfa2!$B$2:$B$8, "*"&amp;D1176&amp;"*")&gt;0, Sayfa2!$B$1,
 IF(COUNTIF(Sayfa2!$C$2:$C$8, "*"&amp;D1176&amp;"*")&gt;0, Sayfa2!$C$1,
 IF(COUNTIF(Sayfa2!$D$2:$D$8,"*"&amp;D1176&amp;"*")&gt;0, Sayfa2!$D$1,
 IF(COUNTIF(Sayfa2!$E$2:$E$8, "*"&amp;D1176&amp;"*")&gt;0, Sayfa2!$E$1, "Bulunamadı")))))</f>
        <v>PAZARTESİ</v>
      </c>
    </row>
    <row r="1177" spans="1:5" hidden="1" x14ac:dyDescent="0.25">
      <c r="A1177" t="s">
        <v>2832</v>
      </c>
      <c r="B1177" t="s">
        <v>1285</v>
      </c>
      <c r="C1177" t="s">
        <v>2831</v>
      </c>
      <c r="D1177" s="4" t="s">
        <v>3083</v>
      </c>
      <c r="E1177" t="str">
        <f>IF(COUNTIF(Sayfa2!$A$2:$A$8,"*"&amp;D1177&amp;"*")&gt;0, Sayfa2!$A$1,
 IF(COUNTIF(Sayfa2!$B$2:$B$8, "*"&amp;D1177&amp;"*")&gt;0, Sayfa2!$B$1,
 IF(COUNTIF(Sayfa2!$C$2:$C$8, "*"&amp;D1177&amp;"*")&gt;0, Sayfa2!$C$1,
 IF(COUNTIF(Sayfa2!$D$2:$D$8,"*"&amp;D1177&amp;"*")&gt;0, Sayfa2!$D$1,
 IF(COUNTIF(Sayfa2!$E$2:$E$8, "*"&amp;D1177&amp;"*")&gt;0, Sayfa2!$E$1, "Bulunamadı")))))</f>
        <v>PAZARTESİ</v>
      </c>
    </row>
    <row r="1178" spans="1:5" hidden="1" x14ac:dyDescent="0.25">
      <c r="A1178" t="s">
        <v>2833</v>
      </c>
      <c r="B1178" t="s">
        <v>1286</v>
      </c>
      <c r="C1178" t="s">
        <v>2834</v>
      </c>
      <c r="D1178" s="4" t="s">
        <v>3086</v>
      </c>
      <c r="E1178" t="str">
        <f>IF(COUNTIF(Sayfa2!$A$2:$A$8,"*"&amp;D1178&amp;"*")&gt;0, Sayfa2!$A$1,
 IF(COUNTIF(Sayfa2!$B$2:$B$8, "*"&amp;D1178&amp;"*")&gt;0, Sayfa2!$B$1,
 IF(COUNTIF(Sayfa2!$C$2:$C$8, "*"&amp;D1178&amp;"*")&gt;0, Sayfa2!$C$1,
 IF(COUNTIF(Sayfa2!$D$2:$D$8,"*"&amp;D1178&amp;"*")&gt;0, Sayfa2!$D$1,
 IF(COUNTIF(Sayfa2!$E$2:$E$8, "*"&amp;D1178&amp;"*")&gt;0, Sayfa2!$E$1, "Bulunamadı")))))</f>
        <v>PERŞEMBE</v>
      </c>
    </row>
    <row r="1179" spans="1:5" hidden="1" x14ac:dyDescent="0.25">
      <c r="A1179" t="s">
        <v>2835</v>
      </c>
      <c r="B1179" t="s">
        <v>1288</v>
      </c>
      <c r="C1179" t="s">
        <v>2834</v>
      </c>
      <c r="D1179" s="4" t="s">
        <v>3086</v>
      </c>
      <c r="E1179" t="str">
        <f>IF(COUNTIF(Sayfa2!$A$2:$A$8,"*"&amp;D1179&amp;"*")&gt;0, Sayfa2!$A$1,
 IF(COUNTIF(Sayfa2!$B$2:$B$8, "*"&amp;D1179&amp;"*")&gt;0, Sayfa2!$B$1,
 IF(COUNTIF(Sayfa2!$C$2:$C$8, "*"&amp;D1179&amp;"*")&gt;0, Sayfa2!$C$1,
 IF(COUNTIF(Sayfa2!$D$2:$D$8,"*"&amp;D1179&amp;"*")&gt;0, Sayfa2!$D$1,
 IF(COUNTIF(Sayfa2!$E$2:$E$8, "*"&amp;D1179&amp;"*")&gt;0, Sayfa2!$E$1, "Bulunamadı")))))</f>
        <v>PERŞEMBE</v>
      </c>
    </row>
    <row r="1180" spans="1:5" hidden="1" x14ac:dyDescent="0.25">
      <c r="A1180" t="s">
        <v>2836</v>
      </c>
      <c r="B1180" t="s">
        <v>1289</v>
      </c>
      <c r="C1180" t="s">
        <v>2837</v>
      </c>
      <c r="D1180" s="4" t="s">
        <v>3088</v>
      </c>
      <c r="E1180" t="str">
        <f>IF(COUNTIF(Sayfa2!$A$2:$A$8,"*"&amp;D1180&amp;"*")&gt;0, Sayfa2!$A$1,
 IF(COUNTIF(Sayfa2!$B$2:$B$8, "*"&amp;D1180&amp;"*")&gt;0, Sayfa2!$B$1,
 IF(COUNTIF(Sayfa2!$C$2:$C$8, "*"&amp;D1180&amp;"*")&gt;0, Sayfa2!$C$1,
 IF(COUNTIF(Sayfa2!$D$2:$D$8,"*"&amp;D1180&amp;"*")&gt;0, Sayfa2!$D$1,
 IF(COUNTIF(Sayfa2!$E$2:$E$8, "*"&amp;D1180&amp;"*")&gt;0, Sayfa2!$E$1, "Bulunamadı")))))</f>
        <v>PAZARTESİ</v>
      </c>
    </row>
    <row r="1181" spans="1:5" hidden="1" x14ac:dyDescent="0.25">
      <c r="A1181" t="s">
        <v>2099</v>
      </c>
      <c r="B1181" t="s">
        <v>1291</v>
      </c>
      <c r="C1181" t="s">
        <v>2837</v>
      </c>
      <c r="D1181" s="4" t="s">
        <v>3088</v>
      </c>
      <c r="E1181" t="str">
        <f>IF(COUNTIF(Sayfa2!$A$2:$A$8,"*"&amp;D1181&amp;"*")&gt;0, Sayfa2!$A$1,
 IF(COUNTIF(Sayfa2!$B$2:$B$8, "*"&amp;D1181&amp;"*")&gt;0, Sayfa2!$B$1,
 IF(COUNTIF(Sayfa2!$C$2:$C$8, "*"&amp;D1181&amp;"*")&gt;0, Sayfa2!$C$1,
 IF(COUNTIF(Sayfa2!$D$2:$D$8,"*"&amp;D1181&amp;"*")&gt;0, Sayfa2!$D$1,
 IF(COUNTIF(Sayfa2!$E$2:$E$8, "*"&amp;D1181&amp;"*")&gt;0, Sayfa2!$E$1, "Bulunamadı")))))</f>
        <v>PAZARTESİ</v>
      </c>
    </row>
    <row r="1182" spans="1:5" hidden="1" x14ac:dyDescent="0.25">
      <c r="A1182" t="s">
        <v>2838</v>
      </c>
      <c r="B1182" t="s">
        <v>1292</v>
      </c>
      <c r="C1182" t="s">
        <v>2837</v>
      </c>
      <c r="D1182" s="4" t="s">
        <v>3088</v>
      </c>
      <c r="E1182" t="str">
        <f>IF(COUNTIF(Sayfa2!$A$2:$A$8,"*"&amp;D1182&amp;"*")&gt;0, Sayfa2!$A$1,
 IF(COUNTIF(Sayfa2!$B$2:$B$8, "*"&amp;D1182&amp;"*")&gt;0, Sayfa2!$B$1,
 IF(COUNTIF(Sayfa2!$C$2:$C$8, "*"&amp;D1182&amp;"*")&gt;0, Sayfa2!$C$1,
 IF(COUNTIF(Sayfa2!$D$2:$D$8,"*"&amp;D1182&amp;"*")&gt;0, Sayfa2!$D$1,
 IF(COUNTIF(Sayfa2!$E$2:$E$8, "*"&amp;D1182&amp;"*")&gt;0, Sayfa2!$E$1, "Bulunamadı")))))</f>
        <v>PAZARTESİ</v>
      </c>
    </row>
    <row r="1183" spans="1:5" hidden="1" x14ac:dyDescent="0.25">
      <c r="A1183" t="s">
        <v>2839</v>
      </c>
      <c r="B1183" t="s">
        <v>1293</v>
      </c>
      <c r="C1183" t="s">
        <v>2837</v>
      </c>
      <c r="D1183" s="4" t="s">
        <v>3088</v>
      </c>
      <c r="E1183" t="str">
        <f>IF(COUNTIF(Sayfa2!$A$2:$A$8,"*"&amp;D1183&amp;"*")&gt;0, Sayfa2!$A$1,
 IF(COUNTIF(Sayfa2!$B$2:$B$8, "*"&amp;D1183&amp;"*")&gt;0, Sayfa2!$B$1,
 IF(COUNTIF(Sayfa2!$C$2:$C$8, "*"&amp;D1183&amp;"*")&gt;0, Sayfa2!$C$1,
 IF(COUNTIF(Sayfa2!$D$2:$D$8,"*"&amp;D1183&amp;"*")&gt;0, Sayfa2!$D$1,
 IF(COUNTIF(Sayfa2!$E$2:$E$8, "*"&amp;D1183&amp;"*")&gt;0, Sayfa2!$E$1, "Bulunamadı")))))</f>
        <v>PAZARTESİ</v>
      </c>
    </row>
    <row r="1184" spans="1:5" hidden="1" x14ac:dyDescent="0.25">
      <c r="A1184" t="s">
        <v>2840</v>
      </c>
      <c r="B1184" t="s">
        <v>1294</v>
      </c>
      <c r="C1184" t="s">
        <v>2837</v>
      </c>
      <c r="D1184" s="4" t="s">
        <v>3088</v>
      </c>
      <c r="E1184" t="str">
        <f>IF(COUNTIF(Sayfa2!$A$2:$A$8,"*"&amp;D1184&amp;"*")&gt;0, Sayfa2!$A$1,
 IF(COUNTIF(Sayfa2!$B$2:$B$8, "*"&amp;D1184&amp;"*")&gt;0, Sayfa2!$B$1,
 IF(COUNTIF(Sayfa2!$C$2:$C$8, "*"&amp;D1184&amp;"*")&gt;0, Sayfa2!$C$1,
 IF(COUNTIF(Sayfa2!$D$2:$D$8,"*"&amp;D1184&amp;"*")&gt;0, Sayfa2!$D$1,
 IF(COUNTIF(Sayfa2!$E$2:$E$8, "*"&amp;D1184&amp;"*")&gt;0, Sayfa2!$E$1, "Bulunamadı")))))</f>
        <v>PAZARTESİ</v>
      </c>
    </row>
    <row r="1185" spans="1:5" hidden="1" x14ac:dyDescent="0.25">
      <c r="A1185" t="s">
        <v>2841</v>
      </c>
      <c r="B1185" t="s">
        <v>1295</v>
      </c>
      <c r="C1185" t="s">
        <v>2837</v>
      </c>
      <c r="D1185" s="4" t="s">
        <v>3088</v>
      </c>
      <c r="E1185" t="str">
        <f>IF(COUNTIF(Sayfa2!$A$2:$A$8,"*"&amp;D1185&amp;"*")&gt;0, Sayfa2!$A$1,
 IF(COUNTIF(Sayfa2!$B$2:$B$8, "*"&amp;D1185&amp;"*")&gt;0, Sayfa2!$B$1,
 IF(COUNTIF(Sayfa2!$C$2:$C$8, "*"&amp;D1185&amp;"*")&gt;0, Sayfa2!$C$1,
 IF(COUNTIF(Sayfa2!$D$2:$D$8,"*"&amp;D1185&amp;"*")&gt;0, Sayfa2!$D$1,
 IF(COUNTIF(Sayfa2!$E$2:$E$8, "*"&amp;D1185&amp;"*")&gt;0, Sayfa2!$E$1, "Bulunamadı")))))</f>
        <v>PAZARTESİ</v>
      </c>
    </row>
    <row r="1186" spans="1:5" hidden="1" x14ac:dyDescent="0.25">
      <c r="A1186" t="s">
        <v>2842</v>
      </c>
      <c r="B1186" t="s">
        <v>1296</v>
      </c>
      <c r="C1186" t="s">
        <v>2843</v>
      </c>
      <c r="D1186" s="4" t="s">
        <v>3089</v>
      </c>
      <c r="E1186" t="str">
        <f>IF(COUNTIF(Sayfa2!$A$2:$A$8,"*"&amp;D1186&amp;"*")&gt;0, Sayfa2!$A$1,
 IF(COUNTIF(Sayfa2!$B$2:$B$8, "*"&amp;D1186&amp;"*")&gt;0, Sayfa2!$B$1,
 IF(COUNTIF(Sayfa2!$C$2:$C$8, "*"&amp;D1186&amp;"*")&gt;0, Sayfa2!$C$1,
 IF(COUNTIF(Sayfa2!$D$2:$D$8,"*"&amp;D1186&amp;"*")&gt;0, Sayfa2!$D$1,
 IF(COUNTIF(Sayfa2!$E$2:$E$8, "*"&amp;D1186&amp;"*")&gt;0, Sayfa2!$E$1, "Bulunamadı")))))</f>
        <v>SALI</v>
      </c>
    </row>
    <row r="1187" spans="1:5" hidden="1" x14ac:dyDescent="0.25">
      <c r="A1187" t="s">
        <v>2844</v>
      </c>
      <c r="B1187" t="s">
        <v>1299</v>
      </c>
      <c r="C1187" t="s">
        <v>2845</v>
      </c>
      <c r="D1187" s="4" t="s">
        <v>3089</v>
      </c>
      <c r="E1187" t="str">
        <f>IF(COUNTIF(Sayfa2!$A$2:$A$8,"*"&amp;D1187&amp;"*")&gt;0, Sayfa2!$A$1,
 IF(COUNTIF(Sayfa2!$B$2:$B$8, "*"&amp;D1187&amp;"*")&gt;0, Sayfa2!$B$1,
 IF(COUNTIF(Sayfa2!$C$2:$C$8, "*"&amp;D1187&amp;"*")&gt;0, Sayfa2!$C$1,
 IF(COUNTIF(Sayfa2!$D$2:$D$8,"*"&amp;D1187&amp;"*")&gt;0, Sayfa2!$D$1,
 IF(COUNTIF(Sayfa2!$E$2:$E$8, "*"&amp;D1187&amp;"*")&gt;0, Sayfa2!$E$1, "Bulunamadı")))))</f>
        <v>SALI</v>
      </c>
    </row>
    <row r="1188" spans="1:5" hidden="1" x14ac:dyDescent="0.25">
      <c r="A1188" t="s">
        <v>2846</v>
      </c>
      <c r="B1188" t="s">
        <v>1301</v>
      </c>
      <c r="C1188" t="s">
        <v>2847</v>
      </c>
      <c r="D1188" s="4" t="s">
        <v>3089</v>
      </c>
      <c r="E1188" t="str">
        <f>IF(COUNTIF(Sayfa2!$A$2:$A$8,"*"&amp;D1188&amp;"*")&gt;0, Sayfa2!$A$1,
 IF(COUNTIF(Sayfa2!$B$2:$B$8, "*"&amp;D1188&amp;"*")&gt;0, Sayfa2!$B$1,
 IF(COUNTIF(Sayfa2!$C$2:$C$8, "*"&amp;D1188&amp;"*")&gt;0, Sayfa2!$C$1,
 IF(COUNTIF(Sayfa2!$D$2:$D$8,"*"&amp;D1188&amp;"*")&gt;0, Sayfa2!$D$1,
 IF(COUNTIF(Sayfa2!$E$2:$E$8, "*"&amp;D1188&amp;"*")&gt;0, Sayfa2!$E$1, "Bulunamadı")))))</f>
        <v>SALI</v>
      </c>
    </row>
    <row r="1189" spans="1:5" hidden="1" x14ac:dyDescent="0.25">
      <c r="A1189" t="s">
        <v>2848</v>
      </c>
      <c r="B1189" t="s">
        <v>1303</v>
      </c>
      <c r="C1189" t="s">
        <v>2847</v>
      </c>
      <c r="D1189" s="4" t="s">
        <v>3089</v>
      </c>
      <c r="E1189" t="str">
        <f>IF(COUNTIF(Sayfa2!$A$2:$A$8,"*"&amp;D1189&amp;"*")&gt;0, Sayfa2!$A$1,
 IF(COUNTIF(Sayfa2!$B$2:$B$8, "*"&amp;D1189&amp;"*")&gt;0, Sayfa2!$B$1,
 IF(COUNTIF(Sayfa2!$C$2:$C$8, "*"&amp;D1189&amp;"*")&gt;0, Sayfa2!$C$1,
 IF(COUNTIF(Sayfa2!$D$2:$D$8,"*"&amp;D1189&amp;"*")&gt;0, Sayfa2!$D$1,
 IF(COUNTIF(Sayfa2!$E$2:$E$8, "*"&amp;D1189&amp;"*")&gt;0, Sayfa2!$E$1, "Bulunamadı")))))</f>
        <v>SALI</v>
      </c>
    </row>
    <row r="1190" spans="1:5" hidden="1" x14ac:dyDescent="0.25">
      <c r="A1190" t="s">
        <v>2849</v>
      </c>
      <c r="B1190" t="s">
        <v>1304</v>
      </c>
      <c r="C1190" t="s">
        <v>2847</v>
      </c>
      <c r="D1190" s="4" t="s">
        <v>3089</v>
      </c>
      <c r="E1190" t="str">
        <f>IF(COUNTIF(Sayfa2!$A$2:$A$8,"*"&amp;D1190&amp;"*")&gt;0, Sayfa2!$A$1,
 IF(COUNTIF(Sayfa2!$B$2:$B$8, "*"&amp;D1190&amp;"*")&gt;0, Sayfa2!$B$1,
 IF(COUNTIF(Sayfa2!$C$2:$C$8, "*"&amp;D1190&amp;"*")&gt;0, Sayfa2!$C$1,
 IF(COUNTIF(Sayfa2!$D$2:$D$8,"*"&amp;D1190&amp;"*")&gt;0, Sayfa2!$D$1,
 IF(COUNTIF(Sayfa2!$E$2:$E$8, "*"&amp;D1190&amp;"*")&gt;0, Sayfa2!$E$1, "Bulunamadı")))))</f>
        <v>SALI</v>
      </c>
    </row>
    <row r="1191" spans="1:5" hidden="1" x14ac:dyDescent="0.25">
      <c r="A1191" t="s">
        <v>2850</v>
      </c>
      <c r="B1191" t="s">
        <v>1305</v>
      </c>
      <c r="C1191" t="s">
        <v>2847</v>
      </c>
      <c r="D1191" s="4" t="s">
        <v>3089</v>
      </c>
      <c r="E1191" t="str">
        <f>IF(COUNTIF(Sayfa2!$A$2:$A$8,"*"&amp;D1191&amp;"*")&gt;0, Sayfa2!$A$1,
 IF(COUNTIF(Sayfa2!$B$2:$B$8, "*"&amp;D1191&amp;"*")&gt;0, Sayfa2!$B$1,
 IF(COUNTIF(Sayfa2!$C$2:$C$8, "*"&amp;D1191&amp;"*")&gt;0, Sayfa2!$C$1,
 IF(COUNTIF(Sayfa2!$D$2:$D$8,"*"&amp;D1191&amp;"*")&gt;0, Sayfa2!$D$1,
 IF(COUNTIF(Sayfa2!$E$2:$E$8, "*"&amp;D1191&amp;"*")&gt;0, Sayfa2!$E$1, "Bulunamadı")))))</f>
        <v>SALI</v>
      </c>
    </row>
    <row r="1192" spans="1:5" hidden="1" x14ac:dyDescent="0.25">
      <c r="A1192" t="s">
        <v>2851</v>
      </c>
      <c r="B1192" t="s">
        <v>1306</v>
      </c>
      <c r="C1192" t="s">
        <v>2847</v>
      </c>
      <c r="D1192" s="4" t="s">
        <v>3089</v>
      </c>
      <c r="E1192" t="str">
        <f>IF(COUNTIF(Sayfa2!$A$2:$A$8,"*"&amp;D1192&amp;"*")&gt;0, Sayfa2!$A$1,
 IF(COUNTIF(Sayfa2!$B$2:$B$8, "*"&amp;D1192&amp;"*")&gt;0, Sayfa2!$B$1,
 IF(COUNTIF(Sayfa2!$C$2:$C$8, "*"&amp;D1192&amp;"*")&gt;0, Sayfa2!$C$1,
 IF(COUNTIF(Sayfa2!$D$2:$D$8,"*"&amp;D1192&amp;"*")&gt;0, Sayfa2!$D$1,
 IF(COUNTIF(Sayfa2!$E$2:$E$8, "*"&amp;D1192&amp;"*")&gt;0, Sayfa2!$E$1, "Bulunamadı")))))</f>
        <v>SALI</v>
      </c>
    </row>
    <row r="1193" spans="1:5" hidden="1" x14ac:dyDescent="0.25">
      <c r="A1193" t="s">
        <v>2852</v>
      </c>
      <c r="B1193" t="s">
        <v>1307</v>
      </c>
      <c r="C1193" t="s">
        <v>2847</v>
      </c>
      <c r="D1193" s="4" t="s">
        <v>3089</v>
      </c>
      <c r="E1193" t="str">
        <f>IF(COUNTIF(Sayfa2!$A$2:$A$8,"*"&amp;D1193&amp;"*")&gt;0, Sayfa2!$A$1,
 IF(COUNTIF(Sayfa2!$B$2:$B$8, "*"&amp;D1193&amp;"*")&gt;0, Sayfa2!$B$1,
 IF(COUNTIF(Sayfa2!$C$2:$C$8, "*"&amp;D1193&amp;"*")&gt;0, Sayfa2!$C$1,
 IF(COUNTIF(Sayfa2!$D$2:$D$8,"*"&amp;D1193&amp;"*")&gt;0, Sayfa2!$D$1,
 IF(COUNTIF(Sayfa2!$E$2:$E$8, "*"&amp;D1193&amp;"*")&gt;0, Sayfa2!$E$1, "Bulunamadı")))))</f>
        <v>SALI</v>
      </c>
    </row>
    <row r="1194" spans="1:5" hidden="1" x14ac:dyDescent="0.25">
      <c r="A1194" t="s">
        <v>2853</v>
      </c>
      <c r="B1194" t="s">
        <v>1308</v>
      </c>
      <c r="C1194" t="s">
        <v>2854</v>
      </c>
      <c r="D1194" s="4" t="s">
        <v>3084</v>
      </c>
      <c r="E1194" t="str">
        <f>IF(COUNTIF(Sayfa2!$A$2:$A$8,"*"&amp;D1194&amp;"*")&gt;0, Sayfa2!$A$1,
 IF(COUNTIF(Sayfa2!$B$2:$B$8, "*"&amp;D1194&amp;"*")&gt;0, Sayfa2!$B$1,
 IF(COUNTIF(Sayfa2!$C$2:$C$8, "*"&amp;D1194&amp;"*")&gt;0, Sayfa2!$C$1,
 IF(COUNTIF(Sayfa2!$D$2:$D$8,"*"&amp;D1194&amp;"*")&gt;0, Sayfa2!$D$1,
 IF(COUNTIF(Sayfa2!$E$2:$E$8, "*"&amp;D1194&amp;"*")&gt;0, Sayfa2!$E$1, "Bulunamadı")))))</f>
        <v>SALI</v>
      </c>
    </row>
    <row r="1195" spans="1:5" hidden="1" x14ac:dyDescent="0.25">
      <c r="A1195" t="s">
        <v>2855</v>
      </c>
      <c r="B1195" t="s">
        <v>1309</v>
      </c>
      <c r="C1195" t="s">
        <v>2854</v>
      </c>
      <c r="D1195" s="4" t="s">
        <v>3084</v>
      </c>
      <c r="E1195" t="str">
        <f>IF(COUNTIF(Sayfa2!$A$2:$A$8,"*"&amp;D1195&amp;"*")&gt;0, Sayfa2!$A$1,
 IF(COUNTIF(Sayfa2!$B$2:$B$8, "*"&amp;D1195&amp;"*")&gt;0, Sayfa2!$B$1,
 IF(COUNTIF(Sayfa2!$C$2:$C$8, "*"&amp;D1195&amp;"*")&gt;0, Sayfa2!$C$1,
 IF(COUNTIF(Sayfa2!$D$2:$D$8,"*"&amp;D1195&amp;"*")&gt;0, Sayfa2!$D$1,
 IF(COUNTIF(Sayfa2!$E$2:$E$8, "*"&amp;D1195&amp;"*")&gt;0, Sayfa2!$E$1, "Bulunamadı")))))</f>
        <v>SALI</v>
      </c>
    </row>
    <row r="1196" spans="1:5" hidden="1" x14ac:dyDescent="0.25">
      <c r="A1196" t="s">
        <v>2856</v>
      </c>
      <c r="B1196" t="s">
        <v>1310</v>
      </c>
      <c r="C1196" t="s">
        <v>2854</v>
      </c>
      <c r="D1196" s="4" t="s">
        <v>3084</v>
      </c>
      <c r="E1196" t="str">
        <f>IF(COUNTIF(Sayfa2!$A$2:$A$8,"*"&amp;D1196&amp;"*")&gt;0, Sayfa2!$A$1,
 IF(COUNTIF(Sayfa2!$B$2:$B$8, "*"&amp;D1196&amp;"*")&gt;0, Sayfa2!$B$1,
 IF(COUNTIF(Sayfa2!$C$2:$C$8, "*"&amp;D1196&amp;"*")&gt;0, Sayfa2!$C$1,
 IF(COUNTIF(Sayfa2!$D$2:$D$8,"*"&amp;D1196&amp;"*")&gt;0, Sayfa2!$D$1,
 IF(COUNTIF(Sayfa2!$E$2:$E$8, "*"&amp;D1196&amp;"*")&gt;0, Sayfa2!$E$1, "Bulunamadı")))))</f>
        <v>SALI</v>
      </c>
    </row>
    <row r="1197" spans="1:5" hidden="1" x14ac:dyDescent="0.25">
      <c r="A1197" t="s">
        <v>2857</v>
      </c>
      <c r="B1197" t="s">
        <v>1311</v>
      </c>
      <c r="C1197" t="s">
        <v>2854</v>
      </c>
      <c r="D1197" s="4" t="s">
        <v>3084</v>
      </c>
      <c r="E1197" t="str">
        <f>IF(COUNTIF(Sayfa2!$A$2:$A$8,"*"&amp;D1197&amp;"*")&gt;0, Sayfa2!$A$1,
 IF(COUNTIF(Sayfa2!$B$2:$B$8, "*"&amp;D1197&amp;"*")&gt;0, Sayfa2!$B$1,
 IF(COUNTIF(Sayfa2!$C$2:$C$8, "*"&amp;D1197&amp;"*")&gt;0, Sayfa2!$C$1,
 IF(COUNTIF(Sayfa2!$D$2:$D$8,"*"&amp;D1197&amp;"*")&gt;0, Sayfa2!$D$1,
 IF(COUNTIF(Sayfa2!$E$2:$E$8, "*"&amp;D1197&amp;"*")&gt;0, Sayfa2!$E$1, "Bulunamadı")))))</f>
        <v>SALI</v>
      </c>
    </row>
    <row r="1198" spans="1:5" hidden="1" x14ac:dyDescent="0.25">
      <c r="A1198" t="s">
        <v>2858</v>
      </c>
      <c r="B1198" t="s">
        <v>1312</v>
      </c>
      <c r="C1198" t="s">
        <v>2854</v>
      </c>
      <c r="D1198" s="4" t="s">
        <v>3084</v>
      </c>
      <c r="E1198" t="str">
        <f>IF(COUNTIF(Sayfa2!$A$2:$A$8,"*"&amp;D1198&amp;"*")&gt;0, Sayfa2!$A$1,
 IF(COUNTIF(Sayfa2!$B$2:$B$8, "*"&amp;D1198&amp;"*")&gt;0, Sayfa2!$B$1,
 IF(COUNTIF(Sayfa2!$C$2:$C$8, "*"&amp;D1198&amp;"*")&gt;0, Sayfa2!$C$1,
 IF(COUNTIF(Sayfa2!$D$2:$D$8,"*"&amp;D1198&amp;"*")&gt;0, Sayfa2!$D$1,
 IF(COUNTIF(Sayfa2!$E$2:$E$8, "*"&amp;D1198&amp;"*")&gt;0, Sayfa2!$E$1, "Bulunamadı")))))</f>
        <v>SALI</v>
      </c>
    </row>
    <row r="1199" spans="1:5" hidden="1" x14ac:dyDescent="0.25">
      <c r="A1199" t="s">
        <v>2859</v>
      </c>
      <c r="B1199" t="s">
        <v>1313</v>
      </c>
      <c r="C1199" t="s">
        <v>2860</v>
      </c>
      <c r="D1199" s="4" t="s">
        <v>3085</v>
      </c>
      <c r="E1199" t="str">
        <f>IF(COUNTIF(Sayfa2!$A$2:$A$8,"*"&amp;D1199&amp;"*")&gt;0, Sayfa2!$A$1,
 IF(COUNTIF(Sayfa2!$B$2:$B$8, "*"&amp;D1199&amp;"*")&gt;0, Sayfa2!$B$1,
 IF(COUNTIF(Sayfa2!$C$2:$C$8, "*"&amp;D1199&amp;"*")&gt;0, Sayfa2!$C$1,
 IF(COUNTIF(Sayfa2!$D$2:$D$8,"*"&amp;D1199&amp;"*")&gt;0, Sayfa2!$D$1,
 IF(COUNTIF(Sayfa2!$E$2:$E$8, "*"&amp;D1199&amp;"*")&gt;0, Sayfa2!$E$1, "Bulunamadı")))))</f>
        <v>ÇARŞAMBA</v>
      </c>
    </row>
    <row r="1200" spans="1:5" hidden="1" x14ac:dyDescent="0.25">
      <c r="A1200" t="s">
        <v>2861</v>
      </c>
      <c r="B1200" t="s">
        <v>1314</v>
      </c>
      <c r="C1200" t="s">
        <v>2860</v>
      </c>
      <c r="D1200" s="4" t="s">
        <v>3085</v>
      </c>
      <c r="E1200" t="str">
        <f>IF(COUNTIF(Sayfa2!$A$2:$A$8,"*"&amp;D1200&amp;"*")&gt;0, Sayfa2!$A$1,
 IF(COUNTIF(Sayfa2!$B$2:$B$8, "*"&amp;D1200&amp;"*")&gt;0, Sayfa2!$B$1,
 IF(COUNTIF(Sayfa2!$C$2:$C$8, "*"&amp;D1200&amp;"*")&gt;0, Sayfa2!$C$1,
 IF(COUNTIF(Sayfa2!$D$2:$D$8,"*"&amp;D1200&amp;"*")&gt;0, Sayfa2!$D$1,
 IF(COUNTIF(Sayfa2!$E$2:$E$8, "*"&amp;D1200&amp;"*")&gt;0, Sayfa2!$E$1, "Bulunamadı")))))</f>
        <v>ÇARŞAMBA</v>
      </c>
    </row>
    <row r="1201" spans="1:5" hidden="1" x14ac:dyDescent="0.25">
      <c r="A1201" t="s">
        <v>2862</v>
      </c>
      <c r="B1201" t="s">
        <v>1315</v>
      </c>
      <c r="C1201" t="s">
        <v>2860</v>
      </c>
      <c r="D1201" s="4" t="s">
        <v>3085</v>
      </c>
      <c r="E1201" t="str">
        <f>IF(COUNTIF(Sayfa2!$A$2:$A$8,"*"&amp;D1201&amp;"*")&gt;0, Sayfa2!$A$1,
 IF(COUNTIF(Sayfa2!$B$2:$B$8, "*"&amp;D1201&amp;"*")&gt;0, Sayfa2!$B$1,
 IF(COUNTIF(Sayfa2!$C$2:$C$8, "*"&amp;D1201&amp;"*")&gt;0, Sayfa2!$C$1,
 IF(COUNTIF(Sayfa2!$D$2:$D$8,"*"&amp;D1201&amp;"*")&gt;0, Sayfa2!$D$1,
 IF(COUNTIF(Sayfa2!$E$2:$E$8, "*"&amp;D1201&amp;"*")&gt;0, Sayfa2!$E$1, "Bulunamadı")))))</f>
        <v>ÇARŞAMBA</v>
      </c>
    </row>
    <row r="1202" spans="1:5" hidden="1" x14ac:dyDescent="0.25">
      <c r="A1202" t="s">
        <v>2863</v>
      </c>
      <c r="B1202" t="s">
        <v>1316</v>
      </c>
      <c r="C1202" t="s">
        <v>2860</v>
      </c>
      <c r="D1202" s="4" t="s">
        <v>3085</v>
      </c>
      <c r="E1202" t="str">
        <f>IF(COUNTIF(Sayfa2!$A$2:$A$8,"*"&amp;D1202&amp;"*")&gt;0, Sayfa2!$A$1,
 IF(COUNTIF(Sayfa2!$B$2:$B$8, "*"&amp;D1202&amp;"*")&gt;0, Sayfa2!$B$1,
 IF(COUNTIF(Sayfa2!$C$2:$C$8, "*"&amp;D1202&amp;"*")&gt;0, Sayfa2!$C$1,
 IF(COUNTIF(Sayfa2!$D$2:$D$8,"*"&amp;D1202&amp;"*")&gt;0, Sayfa2!$D$1,
 IF(COUNTIF(Sayfa2!$E$2:$E$8, "*"&amp;D1202&amp;"*")&gt;0, Sayfa2!$E$1, "Bulunamadı")))))</f>
        <v>ÇARŞAMBA</v>
      </c>
    </row>
    <row r="1203" spans="1:5" hidden="1" x14ac:dyDescent="0.25">
      <c r="A1203" t="s">
        <v>2864</v>
      </c>
      <c r="B1203" t="s">
        <v>1317</v>
      </c>
      <c r="C1203" t="s">
        <v>2860</v>
      </c>
      <c r="D1203" s="4" t="s">
        <v>3085</v>
      </c>
      <c r="E1203" t="str">
        <f>IF(COUNTIF(Sayfa2!$A$2:$A$8,"*"&amp;D1203&amp;"*")&gt;0, Sayfa2!$A$1,
 IF(COUNTIF(Sayfa2!$B$2:$B$8, "*"&amp;D1203&amp;"*")&gt;0, Sayfa2!$B$1,
 IF(COUNTIF(Sayfa2!$C$2:$C$8, "*"&amp;D1203&amp;"*")&gt;0, Sayfa2!$C$1,
 IF(COUNTIF(Sayfa2!$D$2:$D$8,"*"&amp;D1203&amp;"*")&gt;0, Sayfa2!$D$1,
 IF(COUNTIF(Sayfa2!$E$2:$E$8, "*"&amp;D1203&amp;"*")&gt;0, Sayfa2!$E$1, "Bulunamadı")))))</f>
        <v>ÇARŞAMBA</v>
      </c>
    </row>
    <row r="1204" spans="1:5" hidden="1" x14ac:dyDescent="0.25">
      <c r="A1204" t="s">
        <v>2865</v>
      </c>
      <c r="B1204" t="s">
        <v>1318</v>
      </c>
      <c r="C1204" t="s">
        <v>2860</v>
      </c>
      <c r="D1204" s="4" t="s">
        <v>3085</v>
      </c>
      <c r="E1204" t="str">
        <f>IF(COUNTIF(Sayfa2!$A$2:$A$8,"*"&amp;D1204&amp;"*")&gt;0, Sayfa2!$A$1,
 IF(COUNTIF(Sayfa2!$B$2:$B$8, "*"&amp;D1204&amp;"*")&gt;0, Sayfa2!$B$1,
 IF(COUNTIF(Sayfa2!$C$2:$C$8, "*"&amp;D1204&amp;"*")&gt;0, Sayfa2!$C$1,
 IF(COUNTIF(Sayfa2!$D$2:$D$8,"*"&amp;D1204&amp;"*")&gt;0, Sayfa2!$D$1,
 IF(COUNTIF(Sayfa2!$E$2:$E$8, "*"&amp;D1204&amp;"*")&gt;0, Sayfa2!$E$1, "Bulunamadı")))))</f>
        <v>ÇARŞAMBA</v>
      </c>
    </row>
    <row r="1205" spans="1:5" hidden="1" x14ac:dyDescent="0.25">
      <c r="A1205" t="s">
        <v>2866</v>
      </c>
      <c r="B1205" t="s">
        <v>1319</v>
      </c>
      <c r="C1205" t="s">
        <v>2860</v>
      </c>
      <c r="D1205" s="4" t="s">
        <v>3085</v>
      </c>
      <c r="E1205" t="str">
        <f>IF(COUNTIF(Sayfa2!$A$2:$A$8,"*"&amp;D1205&amp;"*")&gt;0, Sayfa2!$A$1,
 IF(COUNTIF(Sayfa2!$B$2:$B$8, "*"&amp;D1205&amp;"*")&gt;0, Sayfa2!$B$1,
 IF(COUNTIF(Sayfa2!$C$2:$C$8, "*"&amp;D1205&amp;"*")&gt;0, Sayfa2!$C$1,
 IF(COUNTIF(Sayfa2!$D$2:$D$8,"*"&amp;D1205&amp;"*")&gt;0, Sayfa2!$D$1,
 IF(COUNTIF(Sayfa2!$E$2:$E$8, "*"&amp;D1205&amp;"*")&gt;0, Sayfa2!$E$1, "Bulunamadı")))))</f>
        <v>ÇARŞAMBA</v>
      </c>
    </row>
    <row r="1206" spans="1:5" hidden="1" x14ac:dyDescent="0.25">
      <c r="A1206" t="s">
        <v>2867</v>
      </c>
      <c r="B1206" t="s">
        <v>1320</v>
      </c>
      <c r="C1206" t="s">
        <v>2868</v>
      </c>
      <c r="D1206" s="4" t="s">
        <v>3087</v>
      </c>
      <c r="E1206" t="str">
        <f>IF(COUNTIF(Sayfa2!$A$2:$A$8,"*"&amp;D1206&amp;"*")&gt;0, Sayfa2!$A$1,
 IF(COUNTIF(Sayfa2!$B$2:$B$8, "*"&amp;D1206&amp;"*")&gt;0, Sayfa2!$B$1,
 IF(COUNTIF(Sayfa2!$C$2:$C$8, "*"&amp;D1206&amp;"*")&gt;0, Sayfa2!$C$1,
 IF(COUNTIF(Sayfa2!$D$2:$D$8,"*"&amp;D1206&amp;"*")&gt;0, Sayfa2!$D$1,
 IF(COUNTIF(Sayfa2!$E$2:$E$8, "*"&amp;D1206&amp;"*")&gt;0, Sayfa2!$E$1, "Bulunamadı")))))</f>
        <v>CUMA</v>
      </c>
    </row>
    <row r="1207" spans="1:5" hidden="1" x14ac:dyDescent="0.25">
      <c r="A1207" t="s">
        <v>2869</v>
      </c>
      <c r="B1207" t="s">
        <v>1321</v>
      </c>
      <c r="C1207" t="s">
        <v>2870</v>
      </c>
      <c r="D1207" s="4" t="s">
        <v>3084</v>
      </c>
      <c r="E1207" t="str">
        <f>IF(COUNTIF(Sayfa2!$A$2:$A$8,"*"&amp;D1207&amp;"*")&gt;0, Sayfa2!$A$1,
 IF(COUNTIF(Sayfa2!$B$2:$B$8, "*"&amp;D1207&amp;"*")&gt;0, Sayfa2!$B$1,
 IF(COUNTIF(Sayfa2!$C$2:$C$8, "*"&amp;D1207&amp;"*")&gt;0, Sayfa2!$C$1,
 IF(COUNTIF(Sayfa2!$D$2:$D$8,"*"&amp;D1207&amp;"*")&gt;0, Sayfa2!$D$1,
 IF(COUNTIF(Sayfa2!$E$2:$E$8, "*"&amp;D1207&amp;"*")&gt;0, Sayfa2!$E$1, "Bulunamadı")))))</f>
        <v>SALI</v>
      </c>
    </row>
    <row r="1208" spans="1:5" hidden="1" x14ac:dyDescent="0.25">
      <c r="A1208" t="s">
        <v>2871</v>
      </c>
      <c r="B1208" t="s">
        <v>1322</v>
      </c>
      <c r="C1208" t="s">
        <v>2870</v>
      </c>
      <c r="D1208" s="4" t="s">
        <v>3084</v>
      </c>
      <c r="E1208" t="str">
        <f>IF(COUNTIF(Sayfa2!$A$2:$A$8,"*"&amp;D1208&amp;"*")&gt;0, Sayfa2!$A$1,
 IF(COUNTIF(Sayfa2!$B$2:$B$8, "*"&amp;D1208&amp;"*")&gt;0, Sayfa2!$B$1,
 IF(COUNTIF(Sayfa2!$C$2:$C$8, "*"&amp;D1208&amp;"*")&gt;0, Sayfa2!$C$1,
 IF(COUNTIF(Sayfa2!$D$2:$D$8,"*"&amp;D1208&amp;"*")&gt;0, Sayfa2!$D$1,
 IF(COUNTIF(Sayfa2!$E$2:$E$8, "*"&amp;D1208&amp;"*")&gt;0, Sayfa2!$E$1, "Bulunamadı")))))</f>
        <v>SALI</v>
      </c>
    </row>
    <row r="1209" spans="1:5" hidden="1" x14ac:dyDescent="0.25">
      <c r="A1209" t="s">
        <v>2872</v>
      </c>
      <c r="B1209" t="s">
        <v>1323</v>
      </c>
      <c r="C1209" t="s">
        <v>2870</v>
      </c>
      <c r="D1209" s="4" t="s">
        <v>3084</v>
      </c>
      <c r="E1209" t="str">
        <f>IF(COUNTIF(Sayfa2!$A$2:$A$8,"*"&amp;D1209&amp;"*")&gt;0, Sayfa2!$A$1,
 IF(COUNTIF(Sayfa2!$B$2:$B$8, "*"&amp;D1209&amp;"*")&gt;0, Sayfa2!$B$1,
 IF(COUNTIF(Sayfa2!$C$2:$C$8, "*"&amp;D1209&amp;"*")&gt;0, Sayfa2!$C$1,
 IF(COUNTIF(Sayfa2!$D$2:$D$8,"*"&amp;D1209&amp;"*")&gt;0, Sayfa2!$D$1,
 IF(COUNTIF(Sayfa2!$E$2:$E$8, "*"&amp;D1209&amp;"*")&gt;0, Sayfa2!$E$1, "Bulunamadı")))))</f>
        <v>SALI</v>
      </c>
    </row>
    <row r="1210" spans="1:5" hidden="1" x14ac:dyDescent="0.25">
      <c r="A1210" t="s">
        <v>2873</v>
      </c>
      <c r="B1210" t="s">
        <v>1324</v>
      </c>
      <c r="C1210" t="s">
        <v>2870</v>
      </c>
      <c r="D1210" s="4" t="s">
        <v>3084</v>
      </c>
      <c r="E1210" t="str">
        <f>IF(COUNTIF(Sayfa2!$A$2:$A$8,"*"&amp;D1210&amp;"*")&gt;0, Sayfa2!$A$1,
 IF(COUNTIF(Sayfa2!$B$2:$B$8, "*"&amp;D1210&amp;"*")&gt;0, Sayfa2!$B$1,
 IF(COUNTIF(Sayfa2!$C$2:$C$8, "*"&amp;D1210&amp;"*")&gt;0, Sayfa2!$C$1,
 IF(COUNTIF(Sayfa2!$D$2:$D$8,"*"&amp;D1210&amp;"*")&gt;0, Sayfa2!$D$1,
 IF(COUNTIF(Sayfa2!$E$2:$E$8, "*"&amp;D1210&amp;"*")&gt;0, Sayfa2!$E$1, "Bulunamadı")))))</f>
        <v>SALI</v>
      </c>
    </row>
    <row r="1211" spans="1:5" hidden="1" x14ac:dyDescent="0.25">
      <c r="A1211" t="s">
        <v>2874</v>
      </c>
      <c r="B1211" t="s">
        <v>1325</v>
      </c>
      <c r="C1211" t="s">
        <v>2870</v>
      </c>
      <c r="D1211" s="4" t="s">
        <v>3084</v>
      </c>
      <c r="E1211" t="str">
        <f>IF(COUNTIF(Sayfa2!$A$2:$A$8,"*"&amp;D1211&amp;"*")&gt;0, Sayfa2!$A$1,
 IF(COUNTIF(Sayfa2!$B$2:$B$8, "*"&amp;D1211&amp;"*")&gt;0, Sayfa2!$B$1,
 IF(COUNTIF(Sayfa2!$C$2:$C$8, "*"&amp;D1211&amp;"*")&gt;0, Sayfa2!$C$1,
 IF(COUNTIF(Sayfa2!$D$2:$D$8,"*"&amp;D1211&amp;"*")&gt;0, Sayfa2!$D$1,
 IF(COUNTIF(Sayfa2!$E$2:$E$8, "*"&amp;D1211&amp;"*")&gt;0, Sayfa2!$E$1, "Bulunamadı")))))</f>
        <v>SALI</v>
      </c>
    </row>
    <row r="1212" spans="1:5" hidden="1" x14ac:dyDescent="0.25">
      <c r="A1212" t="s">
        <v>2875</v>
      </c>
      <c r="B1212" t="s">
        <v>1326</v>
      </c>
      <c r="C1212" t="s">
        <v>2870</v>
      </c>
      <c r="D1212" s="4" t="s">
        <v>3084</v>
      </c>
      <c r="E1212" t="str">
        <f>IF(COUNTIF(Sayfa2!$A$2:$A$8,"*"&amp;D1212&amp;"*")&gt;0, Sayfa2!$A$1,
 IF(COUNTIF(Sayfa2!$B$2:$B$8, "*"&amp;D1212&amp;"*")&gt;0, Sayfa2!$B$1,
 IF(COUNTIF(Sayfa2!$C$2:$C$8, "*"&amp;D1212&amp;"*")&gt;0, Sayfa2!$C$1,
 IF(COUNTIF(Sayfa2!$D$2:$D$8,"*"&amp;D1212&amp;"*")&gt;0, Sayfa2!$D$1,
 IF(COUNTIF(Sayfa2!$E$2:$E$8, "*"&amp;D1212&amp;"*")&gt;0, Sayfa2!$E$1, "Bulunamadı")))))</f>
        <v>SALI</v>
      </c>
    </row>
    <row r="1213" spans="1:5" hidden="1" x14ac:dyDescent="0.25">
      <c r="A1213" t="s">
        <v>2876</v>
      </c>
      <c r="B1213" t="s">
        <v>1327</v>
      </c>
      <c r="C1213" t="s">
        <v>2870</v>
      </c>
      <c r="D1213" s="4" t="s">
        <v>3084</v>
      </c>
      <c r="E1213" t="str">
        <f>IF(COUNTIF(Sayfa2!$A$2:$A$8,"*"&amp;D1213&amp;"*")&gt;0, Sayfa2!$A$1,
 IF(COUNTIF(Sayfa2!$B$2:$B$8, "*"&amp;D1213&amp;"*")&gt;0, Sayfa2!$B$1,
 IF(COUNTIF(Sayfa2!$C$2:$C$8, "*"&amp;D1213&amp;"*")&gt;0, Sayfa2!$C$1,
 IF(COUNTIF(Sayfa2!$D$2:$D$8,"*"&amp;D1213&amp;"*")&gt;0, Sayfa2!$D$1,
 IF(COUNTIF(Sayfa2!$E$2:$E$8, "*"&amp;D1213&amp;"*")&gt;0, Sayfa2!$E$1, "Bulunamadı")))))</f>
        <v>SALI</v>
      </c>
    </row>
    <row r="1214" spans="1:5" hidden="1" x14ac:dyDescent="0.25">
      <c r="A1214" t="s">
        <v>1958</v>
      </c>
      <c r="B1214" t="s">
        <v>1328</v>
      </c>
      <c r="C1214" t="s">
        <v>2870</v>
      </c>
      <c r="D1214" s="4" t="s">
        <v>3084</v>
      </c>
      <c r="E1214" t="str">
        <f>IF(COUNTIF(Sayfa2!$A$2:$A$8,"*"&amp;D1214&amp;"*")&gt;0, Sayfa2!$A$1,
 IF(COUNTIF(Sayfa2!$B$2:$B$8, "*"&amp;D1214&amp;"*")&gt;0, Sayfa2!$B$1,
 IF(COUNTIF(Sayfa2!$C$2:$C$8, "*"&amp;D1214&amp;"*")&gt;0, Sayfa2!$C$1,
 IF(COUNTIF(Sayfa2!$D$2:$D$8,"*"&amp;D1214&amp;"*")&gt;0, Sayfa2!$D$1,
 IF(COUNTIF(Sayfa2!$E$2:$E$8, "*"&amp;D1214&amp;"*")&gt;0, Sayfa2!$E$1, "Bulunamadı")))))</f>
        <v>SALI</v>
      </c>
    </row>
    <row r="1215" spans="1:5" hidden="1" x14ac:dyDescent="0.25">
      <c r="A1215" t="s">
        <v>2877</v>
      </c>
      <c r="B1215" t="s">
        <v>1329</v>
      </c>
      <c r="C1215" t="s">
        <v>2870</v>
      </c>
      <c r="D1215" s="4" t="s">
        <v>3084</v>
      </c>
      <c r="E1215" t="str">
        <f>IF(COUNTIF(Sayfa2!$A$2:$A$8,"*"&amp;D1215&amp;"*")&gt;0, Sayfa2!$A$1,
 IF(COUNTIF(Sayfa2!$B$2:$B$8, "*"&amp;D1215&amp;"*")&gt;0, Sayfa2!$B$1,
 IF(COUNTIF(Sayfa2!$C$2:$C$8, "*"&amp;D1215&amp;"*")&gt;0, Sayfa2!$C$1,
 IF(COUNTIF(Sayfa2!$D$2:$D$8,"*"&amp;D1215&amp;"*")&gt;0, Sayfa2!$D$1,
 IF(COUNTIF(Sayfa2!$E$2:$E$8, "*"&amp;D1215&amp;"*")&gt;0, Sayfa2!$E$1, "Bulunamadı")))))</f>
        <v>SALI</v>
      </c>
    </row>
    <row r="1216" spans="1:5" hidden="1" x14ac:dyDescent="0.25">
      <c r="A1216" t="s">
        <v>2878</v>
      </c>
      <c r="B1216" t="s">
        <v>1330</v>
      </c>
      <c r="C1216" t="s">
        <v>2870</v>
      </c>
      <c r="D1216" s="4" t="s">
        <v>3084</v>
      </c>
      <c r="E1216" t="str">
        <f>IF(COUNTIF(Sayfa2!$A$2:$A$8,"*"&amp;D1216&amp;"*")&gt;0, Sayfa2!$A$1,
 IF(COUNTIF(Sayfa2!$B$2:$B$8, "*"&amp;D1216&amp;"*")&gt;0, Sayfa2!$B$1,
 IF(COUNTIF(Sayfa2!$C$2:$C$8, "*"&amp;D1216&amp;"*")&gt;0, Sayfa2!$C$1,
 IF(COUNTIF(Sayfa2!$D$2:$D$8,"*"&amp;D1216&amp;"*")&gt;0, Sayfa2!$D$1,
 IF(COUNTIF(Sayfa2!$E$2:$E$8, "*"&amp;D1216&amp;"*")&gt;0, Sayfa2!$E$1, "Bulunamadı")))))</f>
        <v>SALI</v>
      </c>
    </row>
    <row r="1217" spans="1:5" hidden="1" x14ac:dyDescent="0.25">
      <c r="A1217" t="s">
        <v>2879</v>
      </c>
      <c r="B1217" t="s">
        <v>1331</v>
      </c>
      <c r="C1217" t="s">
        <v>2870</v>
      </c>
      <c r="D1217" s="4" t="s">
        <v>3084</v>
      </c>
      <c r="E1217" t="str">
        <f>IF(COUNTIF(Sayfa2!$A$2:$A$8,"*"&amp;D1217&amp;"*")&gt;0, Sayfa2!$A$1,
 IF(COUNTIF(Sayfa2!$B$2:$B$8, "*"&amp;D1217&amp;"*")&gt;0, Sayfa2!$B$1,
 IF(COUNTIF(Sayfa2!$C$2:$C$8, "*"&amp;D1217&amp;"*")&gt;0, Sayfa2!$C$1,
 IF(COUNTIF(Sayfa2!$D$2:$D$8,"*"&amp;D1217&amp;"*")&gt;0, Sayfa2!$D$1,
 IF(COUNTIF(Sayfa2!$E$2:$E$8, "*"&amp;D1217&amp;"*")&gt;0, Sayfa2!$E$1, "Bulunamadı")))))</f>
        <v>SALI</v>
      </c>
    </row>
    <row r="1218" spans="1:5" hidden="1" x14ac:dyDescent="0.25">
      <c r="A1218" t="s">
        <v>2880</v>
      </c>
      <c r="B1218" t="s">
        <v>1332</v>
      </c>
      <c r="C1218" t="s">
        <v>2870</v>
      </c>
      <c r="D1218" s="4" t="s">
        <v>3084</v>
      </c>
      <c r="E1218" t="str">
        <f>IF(COUNTIF(Sayfa2!$A$2:$A$8,"*"&amp;D1218&amp;"*")&gt;0, Sayfa2!$A$1,
 IF(COUNTIF(Sayfa2!$B$2:$B$8, "*"&amp;D1218&amp;"*")&gt;0, Sayfa2!$B$1,
 IF(COUNTIF(Sayfa2!$C$2:$C$8, "*"&amp;D1218&amp;"*")&gt;0, Sayfa2!$C$1,
 IF(COUNTIF(Sayfa2!$D$2:$D$8,"*"&amp;D1218&amp;"*")&gt;0, Sayfa2!$D$1,
 IF(COUNTIF(Sayfa2!$E$2:$E$8, "*"&amp;D1218&amp;"*")&gt;0, Sayfa2!$E$1, "Bulunamadı")))))</f>
        <v>SALI</v>
      </c>
    </row>
    <row r="1219" spans="1:5" hidden="1" x14ac:dyDescent="0.25">
      <c r="A1219" t="s">
        <v>2881</v>
      </c>
      <c r="B1219" t="s">
        <v>1333</v>
      </c>
      <c r="C1219" t="s">
        <v>2882</v>
      </c>
      <c r="D1219" s="4" t="s">
        <v>3084</v>
      </c>
      <c r="E1219" t="str">
        <f>IF(COUNTIF(Sayfa2!$A$2:$A$8,"*"&amp;D1219&amp;"*")&gt;0, Sayfa2!$A$1,
 IF(COUNTIF(Sayfa2!$B$2:$B$8, "*"&amp;D1219&amp;"*")&gt;0, Sayfa2!$B$1,
 IF(COUNTIF(Sayfa2!$C$2:$C$8, "*"&amp;D1219&amp;"*")&gt;0, Sayfa2!$C$1,
 IF(COUNTIF(Sayfa2!$D$2:$D$8,"*"&amp;D1219&amp;"*")&gt;0, Sayfa2!$D$1,
 IF(COUNTIF(Sayfa2!$E$2:$E$8, "*"&amp;D1219&amp;"*")&gt;0, Sayfa2!$E$1, "Bulunamadı")))))</f>
        <v>SALI</v>
      </c>
    </row>
    <row r="1220" spans="1:5" hidden="1" x14ac:dyDescent="0.25">
      <c r="A1220" t="s">
        <v>2883</v>
      </c>
      <c r="B1220" t="s">
        <v>1334</v>
      </c>
      <c r="C1220" t="s">
        <v>2882</v>
      </c>
      <c r="D1220" s="4" t="s">
        <v>3084</v>
      </c>
      <c r="E1220" t="str">
        <f>IF(COUNTIF(Sayfa2!$A$2:$A$8,"*"&amp;D1220&amp;"*")&gt;0, Sayfa2!$A$1,
 IF(COUNTIF(Sayfa2!$B$2:$B$8, "*"&amp;D1220&amp;"*")&gt;0, Sayfa2!$B$1,
 IF(COUNTIF(Sayfa2!$C$2:$C$8, "*"&amp;D1220&amp;"*")&gt;0, Sayfa2!$C$1,
 IF(COUNTIF(Sayfa2!$D$2:$D$8,"*"&amp;D1220&amp;"*")&gt;0, Sayfa2!$D$1,
 IF(COUNTIF(Sayfa2!$E$2:$E$8, "*"&amp;D1220&amp;"*")&gt;0, Sayfa2!$E$1, "Bulunamadı")))))</f>
        <v>SALI</v>
      </c>
    </row>
    <row r="1221" spans="1:5" hidden="1" x14ac:dyDescent="0.25">
      <c r="A1221" t="s">
        <v>2884</v>
      </c>
      <c r="B1221" t="s">
        <v>1335</v>
      </c>
      <c r="C1221" t="s">
        <v>2885</v>
      </c>
      <c r="D1221" s="4" t="s">
        <v>3084</v>
      </c>
      <c r="E1221" t="str">
        <f>IF(COUNTIF(Sayfa2!$A$2:$A$8,"*"&amp;D1221&amp;"*")&gt;0, Sayfa2!$A$1,
 IF(COUNTIF(Sayfa2!$B$2:$B$8, "*"&amp;D1221&amp;"*")&gt;0, Sayfa2!$B$1,
 IF(COUNTIF(Sayfa2!$C$2:$C$8, "*"&amp;D1221&amp;"*")&gt;0, Sayfa2!$C$1,
 IF(COUNTIF(Sayfa2!$D$2:$D$8,"*"&amp;D1221&amp;"*")&gt;0, Sayfa2!$D$1,
 IF(COUNTIF(Sayfa2!$E$2:$E$8, "*"&amp;D1221&amp;"*")&gt;0, Sayfa2!$E$1, "Bulunamadı")))))</f>
        <v>SALI</v>
      </c>
    </row>
    <row r="1222" spans="1:5" hidden="1" x14ac:dyDescent="0.25">
      <c r="A1222" t="s">
        <v>2886</v>
      </c>
      <c r="B1222" t="s">
        <v>1336</v>
      </c>
      <c r="C1222" t="s">
        <v>2885</v>
      </c>
      <c r="D1222" s="4" t="s">
        <v>3084</v>
      </c>
      <c r="E1222" t="str">
        <f>IF(COUNTIF(Sayfa2!$A$2:$A$8,"*"&amp;D1222&amp;"*")&gt;0, Sayfa2!$A$1,
 IF(COUNTIF(Sayfa2!$B$2:$B$8, "*"&amp;D1222&amp;"*")&gt;0, Sayfa2!$B$1,
 IF(COUNTIF(Sayfa2!$C$2:$C$8, "*"&amp;D1222&amp;"*")&gt;0, Sayfa2!$C$1,
 IF(COUNTIF(Sayfa2!$D$2:$D$8,"*"&amp;D1222&amp;"*")&gt;0, Sayfa2!$D$1,
 IF(COUNTIF(Sayfa2!$E$2:$E$8, "*"&amp;D1222&amp;"*")&gt;0, Sayfa2!$E$1, "Bulunamadı")))))</f>
        <v>SALI</v>
      </c>
    </row>
    <row r="1223" spans="1:5" hidden="1" x14ac:dyDescent="0.25">
      <c r="A1223" t="s">
        <v>2887</v>
      </c>
      <c r="B1223" t="s">
        <v>1337</v>
      </c>
      <c r="C1223" t="s">
        <v>2885</v>
      </c>
      <c r="D1223" s="4" t="s">
        <v>3084</v>
      </c>
      <c r="E1223" t="str">
        <f>IF(COUNTIF(Sayfa2!$A$2:$A$8,"*"&amp;D1223&amp;"*")&gt;0, Sayfa2!$A$1,
 IF(COUNTIF(Sayfa2!$B$2:$B$8, "*"&amp;D1223&amp;"*")&gt;0, Sayfa2!$B$1,
 IF(COUNTIF(Sayfa2!$C$2:$C$8, "*"&amp;D1223&amp;"*")&gt;0, Sayfa2!$C$1,
 IF(COUNTIF(Sayfa2!$D$2:$D$8,"*"&amp;D1223&amp;"*")&gt;0, Sayfa2!$D$1,
 IF(COUNTIF(Sayfa2!$E$2:$E$8, "*"&amp;D1223&amp;"*")&gt;0, Sayfa2!$E$1, "Bulunamadı")))))</f>
        <v>SALI</v>
      </c>
    </row>
    <row r="1224" spans="1:5" hidden="1" x14ac:dyDescent="0.25">
      <c r="A1224" t="s">
        <v>2888</v>
      </c>
      <c r="B1224" t="s">
        <v>1338</v>
      </c>
      <c r="C1224" t="s">
        <v>2889</v>
      </c>
      <c r="D1224" s="4" t="s">
        <v>3086</v>
      </c>
      <c r="E1224" t="str">
        <f>IF(COUNTIF(Sayfa2!$A$2:$A$8,"*"&amp;D1224&amp;"*")&gt;0, Sayfa2!$A$1,
 IF(COUNTIF(Sayfa2!$B$2:$B$8, "*"&amp;D1224&amp;"*")&gt;0, Sayfa2!$B$1,
 IF(COUNTIF(Sayfa2!$C$2:$C$8, "*"&amp;D1224&amp;"*")&gt;0, Sayfa2!$C$1,
 IF(COUNTIF(Sayfa2!$D$2:$D$8,"*"&amp;D1224&amp;"*")&gt;0, Sayfa2!$D$1,
 IF(COUNTIF(Sayfa2!$E$2:$E$8, "*"&amp;D1224&amp;"*")&gt;0, Sayfa2!$E$1, "Bulunamadı")))))</f>
        <v>PERŞEMBE</v>
      </c>
    </row>
    <row r="1225" spans="1:5" hidden="1" x14ac:dyDescent="0.25">
      <c r="A1225" t="s">
        <v>2890</v>
      </c>
      <c r="B1225" t="s">
        <v>1126</v>
      </c>
      <c r="C1225" t="s">
        <v>2889</v>
      </c>
      <c r="D1225" s="4" t="s">
        <v>3086</v>
      </c>
      <c r="E1225" t="str">
        <f>IF(COUNTIF(Sayfa2!$A$2:$A$8,"*"&amp;D1225&amp;"*")&gt;0, Sayfa2!$A$1,
 IF(COUNTIF(Sayfa2!$B$2:$B$8, "*"&amp;D1225&amp;"*")&gt;0, Sayfa2!$B$1,
 IF(COUNTIF(Sayfa2!$C$2:$C$8, "*"&amp;D1225&amp;"*")&gt;0, Sayfa2!$C$1,
 IF(COUNTIF(Sayfa2!$D$2:$D$8,"*"&amp;D1225&amp;"*")&gt;0, Sayfa2!$D$1,
 IF(COUNTIF(Sayfa2!$E$2:$E$8, "*"&amp;D1225&amp;"*")&gt;0, Sayfa2!$E$1, "Bulunamadı")))))</f>
        <v>PERŞEMBE</v>
      </c>
    </row>
    <row r="1226" spans="1:5" hidden="1" x14ac:dyDescent="0.25">
      <c r="A1226" t="s">
        <v>2891</v>
      </c>
      <c r="B1226" t="s">
        <v>1339</v>
      </c>
      <c r="C1226" t="s">
        <v>2889</v>
      </c>
      <c r="D1226" s="4" t="s">
        <v>3086</v>
      </c>
      <c r="E1226" t="str">
        <f>IF(COUNTIF(Sayfa2!$A$2:$A$8,"*"&amp;D1226&amp;"*")&gt;0, Sayfa2!$A$1,
 IF(COUNTIF(Sayfa2!$B$2:$B$8, "*"&amp;D1226&amp;"*")&gt;0, Sayfa2!$B$1,
 IF(COUNTIF(Sayfa2!$C$2:$C$8, "*"&amp;D1226&amp;"*")&gt;0, Sayfa2!$C$1,
 IF(COUNTIF(Sayfa2!$D$2:$D$8,"*"&amp;D1226&amp;"*")&gt;0, Sayfa2!$D$1,
 IF(COUNTIF(Sayfa2!$E$2:$E$8, "*"&amp;D1226&amp;"*")&gt;0, Sayfa2!$E$1, "Bulunamadı")))))</f>
        <v>PERŞEMBE</v>
      </c>
    </row>
    <row r="1227" spans="1:5" hidden="1" x14ac:dyDescent="0.25">
      <c r="A1227" t="s">
        <v>2892</v>
      </c>
      <c r="B1227" t="s">
        <v>1340</v>
      </c>
      <c r="C1227" t="s">
        <v>2889</v>
      </c>
      <c r="D1227" s="4" t="s">
        <v>3086</v>
      </c>
      <c r="E1227" t="str">
        <f>IF(COUNTIF(Sayfa2!$A$2:$A$8,"*"&amp;D1227&amp;"*")&gt;0, Sayfa2!$A$1,
 IF(COUNTIF(Sayfa2!$B$2:$B$8, "*"&amp;D1227&amp;"*")&gt;0, Sayfa2!$B$1,
 IF(COUNTIF(Sayfa2!$C$2:$C$8, "*"&amp;D1227&amp;"*")&gt;0, Sayfa2!$C$1,
 IF(COUNTIF(Sayfa2!$D$2:$D$8,"*"&amp;D1227&amp;"*")&gt;0, Sayfa2!$D$1,
 IF(COUNTIF(Sayfa2!$E$2:$E$8, "*"&amp;D1227&amp;"*")&gt;0, Sayfa2!$E$1, "Bulunamadı")))))</f>
        <v>PERŞEMBE</v>
      </c>
    </row>
    <row r="1228" spans="1:5" hidden="1" x14ac:dyDescent="0.25">
      <c r="A1228" t="s">
        <v>2893</v>
      </c>
      <c r="B1228" t="s">
        <v>1341</v>
      </c>
      <c r="C1228" t="s">
        <v>2889</v>
      </c>
      <c r="D1228" s="4" t="s">
        <v>3086</v>
      </c>
      <c r="E1228" t="str">
        <f>IF(COUNTIF(Sayfa2!$A$2:$A$8,"*"&amp;D1228&amp;"*")&gt;0, Sayfa2!$A$1,
 IF(COUNTIF(Sayfa2!$B$2:$B$8, "*"&amp;D1228&amp;"*")&gt;0, Sayfa2!$B$1,
 IF(COUNTIF(Sayfa2!$C$2:$C$8, "*"&amp;D1228&amp;"*")&gt;0, Sayfa2!$C$1,
 IF(COUNTIF(Sayfa2!$D$2:$D$8,"*"&amp;D1228&amp;"*")&gt;0, Sayfa2!$D$1,
 IF(COUNTIF(Sayfa2!$E$2:$E$8, "*"&amp;D1228&amp;"*")&gt;0, Sayfa2!$E$1, "Bulunamadı")))))</f>
        <v>PERŞEMBE</v>
      </c>
    </row>
    <row r="1229" spans="1:5" hidden="1" x14ac:dyDescent="0.25">
      <c r="A1229" t="s">
        <v>2894</v>
      </c>
      <c r="B1229" t="s">
        <v>1342</v>
      </c>
      <c r="C1229" t="s">
        <v>2889</v>
      </c>
      <c r="D1229" s="4" t="s">
        <v>3086</v>
      </c>
      <c r="E1229" t="str">
        <f>IF(COUNTIF(Sayfa2!$A$2:$A$8,"*"&amp;D1229&amp;"*")&gt;0, Sayfa2!$A$1,
 IF(COUNTIF(Sayfa2!$B$2:$B$8, "*"&amp;D1229&amp;"*")&gt;0, Sayfa2!$B$1,
 IF(COUNTIF(Sayfa2!$C$2:$C$8, "*"&amp;D1229&amp;"*")&gt;0, Sayfa2!$C$1,
 IF(COUNTIF(Sayfa2!$D$2:$D$8,"*"&amp;D1229&amp;"*")&gt;0, Sayfa2!$D$1,
 IF(COUNTIF(Sayfa2!$E$2:$E$8, "*"&amp;D1229&amp;"*")&gt;0, Sayfa2!$E$1, "Bulunamadı")))))</f>
        <v>PERŞEMBE</v>
      </c>
    </row>
    <row r="1230" spans="1:5" hidden="1" x14ac:dyDescent="0.25">
      <c r="A1230" t="s">
        <v>2895</v>
      </c>
      <c r="B1230" t="s">
        <v>1343</v>
      </c>
      <c r="C1230" t="s">
        <v>2889</v>
      </c>
      <c r="D1230" s="4" t="s">
        <v>3086</v>
      </c>
      <c r="E1230" t="str">
        <f>IF(COUNTIF(Sayfa2!$A$2:$A$8,"*"&amp;D1230&amp;"*")&gt;0, Sayfa2!$A$1,
 IF(COUNTIF(Sayfa2!$B$2:$B$8, "*"&amp;D1230&amp;"*")&gt;0, Sayfa2!$B$1,
 IF(COUNTIF(Sayfa2!$C$2:$C$8, "*"&amp;D1230&amp;"*")&gt;0, Sayfa2!$C$1,
 IF(COUNTIF(Sayfa2!$D$2:$D$8,"*"&amp;D1230&amp;"*")&gt;0, Sayfa2!$D$1,
 IF(COUNTIF(Sayfa2!$E$2:$E$8, "*"&amp;D1230&amp;"*")&gt;0, Sayfa2!$E$1, "Bulunamadı")))))</f>
        <v>PERŞEMBE</v>
      </c>
    </row>
    <row r="1231" spans="1:5" hidden="1" x14ac:dyDescent="0.25">
      <c r="A1231" t="s">
        <v>2896</v>
      </c>
      <c r="B1231" t="s">
        <v>1344</v>
      </c>
      <c r="C1231" t="s">
        <v>2889</v>
      </c>
      <c r="D1231" s="4" t="s">
        <v>3086</v>
      </c>
      <c r="E1231" t="str">
        <f>IF(COUNTIF(Sayfa2!$A$2:$A$8,"*"&amp;D1231&amp;"*")&gt;0, Sayfa2!$A$1,
 IF(COUNTIF(Sayfa2!$B$2:$B$8, "*"&amp;D1231&amp;"*")&gt;0, Sayfa2!$B$1,
 IF(COUNTIF(Sayfa2!$C$2:$C$8, "*"&amp;D1231&amp;"*")&gt;0, Sayfa2!$C$1,
 IF(COUNTIF(Sayfa2!$D$2:$D$8,"*"&amp;D1231&amp;"*")&gt;0, Sayfa2!$D$1,
 IF(COUNTIF(Sayfa2!$E$2:$E$8, "*"&amp;D1231&amp;"*")&gt;0, Sayfa2!$E$1, "Bulunamadı")))))</f>
        <v>PERŞEMBE</v>
      </c>
    </row>
    <row r="1232" spans="1:5" hidden="1" x14ac:dyDescent="0.25">
      <c r="A1232" t="s">
        <v>2897</v>
      </c>
      <c r="B1232" t="s">
        <v>1345</v>
      </c>
      <c r="C1232" t="s">
        <v>2889</v>
      </c>
      <c r="D1232" s="4" t="s">
        <v>3086</v>
      </c>
      <c r="E1232" t="str">
        <f>IF(COUNTIF(Sayfa2!$A$2:$A$8,"*"&amp;D1232&amp;"*")&gt;0, Sayfa2!$A$1,
 IF(COUNTIF(Sayfa2!$B$2:$B$8, "*"&amp;D1232&amp;"*")&gt;0, Sayfa2!$B$1,
 IF(COUNTIF(Sayfa2!$C$2:$C$8, "*"&amp;D1232&amp;"*")&gt;0, Sayfa2!$C$1,
 IF(COUNTIF(Sayfa2!$D$2:$D$8,"*"&amp;D1232&amp;"*")&gt;0, Sayfa2!$D$1,
 IF(COUNTIF(Sayfa2!$E$2:$E$8, "*"&amp;D1232&amp;"*")&gt;0, Sayfa2!$E$1, "Bulunamadı")))))</f>
        <v>PERŞEMBE</v>
      </c>
    </row>
    <row r="1233" spans="1:5" hidden="1" x14ac:dyDescent="0.25">
      <c r="A1233" t="s">
        <v>2898</v>
      </c>
      <c r="B1233" t="s">
        <v>1346</v>
      </c>
      <c r="C1233" t="s">
        <v>2889</v>
      </c>
      <c r="D1233" s="4" t="s">
        <v>3086</v>
      </c>
      <c r="E1233" t="str">
        <f>IF(COUNTIF(Sayfa2!$A$2:$A$8,"*"&amp;D1233&amp;"*")&gt;0, Sayfa2!$A$1,
 IF(COUNTIF(Sayfa2!$B$2:$B$8, "*"&amp;D1233&amp;"*")&gt;0, Sayfa2!$B$1,
 IF(COUNTIF(Sayfa2!$C$2:$C$8, "*"&amp;D1233&amp;"*")&gt;0, Sayfa2!$C$1,
 IF(COUNTIF(Sayfa2!$D$2:$D$8,"*"&amp;D1233&amp;"*")&gt;0, Sayfa2!$D$1,
 IF(COUNTIF(Sayfa2!$E$2:$E$8, "*"&amp;D1233&amp;"*")&gt;0, Sayfa2!$E$1, "Bulunamadı")))))</f>
        <v>PERŞEMBE</v>
      </c>
    </row>
    <row r="1234" spans="1:5" hidden="1" x14ac:dyDescent="0.25">
      <c r="A1234" t="s">
        <v>2899</v>
      </c>
      <c r="B1234" t="s">
        <v>1347</v>
      </c>
      <c r="C1234" t="s">
        <v>2889</v>
      </c>
      <c r="D1234" s="4" t="s">
        <v>3086</v>
      </c>
      <c r="E1234" t="str">
        <f>IF(COUNTIF(Sayfa2!$A$2:$A$8,"*"&amp;D1234&amp;"*")&gt;0, Sayfa2!$A$1,
 IF(COUNTIF(Sayfa2!$B$2:$B$8, "*"&amp;D1234&amp;"*")&gt;0, Sayfa2!$B$1,
 IF(COUNTIF(Sayfa2!$C$2:$C$8, "*"&amp;D1234&amp;"*")&gt;0, Sayfa2!$C$1,
 IF(COUNTIF(Sayfa2!$D$2:$D$8,"*"&amp;D1234&amp;"*")&gt;0, Sayfa2!$D$1,
 IF(COUNTIF(Sayfa2!$E$2:$E$8, "*"&amp;D1234&amp;"*")&gt;0, Sayfa2!$E$1, "Bulunamadı")))))</f>
        <v>PERŞEMBE</v>
      </c>
    </row>
    <row r="1235" spans="1:5" hidden="1" x14ac:dyDescent="0.25">
      <c r="A1235" t="s">
        <v>2900</v>
      </c>
      <c r="B1235" t="s">
        <v>1348</v>
      </c>
      <c r="C1235" t="s">
        <v>2889</v>
      </c>
      <c r="D1235" s="4" t="s">
        <v>3086</v>
      </c>
      <c r="E1235" t="str">
        <f>IF(COUNTIF(Sayfa2!$A$2:$A$8,"*"&amp;D1235&amp;"*")&gt;0, Sayfa2!$A$1,
 IF(COUNTIF(Sayfa2!$B$2:$B$8, "*"&amp;D1235&amp;"*")&gt;0, Sayfa2!$B$1,
 IF(COUNTIF(Sayfa2!$C$2:$C$8, "*"&amp;D1235&amp;"*")&gt;0, Sayfa2!$C$1,
 IF(COUNTIF(Sayfa2!$D$2:$D$8,"*"&amp;D1235&amp;"*")&gt;0, Sayfa2!$D$1,
 IF(COUNTIF(Sayfa2!$E$2:$E$8, "*"&amp;D1235&amp;"*")&gt;0, Sayfa2!$E$1, "Bulunamadı")))))</f>
        <v>PERŞEMBE</v>
      </c>
    </row>
    <row r="1236" spans="1:5" hidden="1" x14ac:dyDescent="0.25">
      <c r="A1236" t="s">
        <v>2901</v>
      </c>
      <c r="B1236" t="s">
        <v>1349</v>
      </c>
      <c r="C1236" t="s">
        <v>2889</v>
      </c>
      <c r="D1236" s="4" t="s">
        <v>3086</v>
      </c>
      <c r="E1236" t="str">
        <f>IF(COUNTIF(Sayfa2!$A$2:$A$8,"*"&amp;D1236&amp;"*")&gt;0, Sayfa2!$A$1,
 IF(COUNTIF(Sayfa2!$B$2:$B$8, "*"&amp;D1236&amp;"*")&gt;0, Sayfa2!$B$1,
 IF(COUNTIF(Sayfa2!$C$2:$C$8, "*"&amp;D1236&amp;"*")&gt;0, Sayfa2!$C$1,
 IF(COUNTIF(Sayfa2!$D$2:$D$8,"*"&amp;D1236&amp;"*")&gt;0, Sayfa2!$D$1,
 IF(COUNTIF(Sayfa2!$E$2:$E$8, "*"&amp;D1236&amp;"*")&gt;0, Sayfa2!$E$1, "Bulunamadı")))))</f>
        <v>PERŞEMBE</v>
      </c>
    </row>
    <row r="1237" spans="1:5" hidden="1" x14ac:dyDescent="0.25">
      <c r="A1237" t="s">
        <v>2902</v>
      </c>
      <c r="B1237" t="s">
        <v>1350</v>
      </c>
      <c r="C1237" t="s">
        <v>2889</v>
      </c>
      <c r="D1237" s="4" t="s">
        <v>3086</v>
      </c>
      <c r="E1237" t="str">
        <f>IF(COUNTIF(Sayfa2!$A$2:$A$8,"*"&amp;D1237&amp;"*")&gt;0, Sayfa2!$A$1,
 IF(COUNTIF(Sayfa2!$B$2:$B$8, "*"&amp;D1237&amp;"*")&gt;0, Sayfa2!$B$1,
 IF(COUNTIF(Sayfa2!$C$2:$C$8, "*"&amp;D1237&amp;"*")&gt;0, Sayfa2!$C$1,
 IF(COUNTIF(Sayfa2!$D$2:$D$8,"*"&amp;D1237&amp;"*")&gt;0, Sayfa2!$D$1,
 IF(COUNTIF(Sayfa2!$E$2:$E$8, "*"&amp;D1237&amp;"*")&gt;0, Sayfa2!$E$1, "Bulunamadı")))))</f>
        <v>PERŞEMBE</v>
      </c>
    </row>
    <row r="1238" spans="1:5" hidden="1" x14ac:dyDescent="0.25">
      <c r="A1238" t="s">
        <v>2903</v>
      </c>
      <c r="B1238" t="s">
        <v>1351</v>
      </c>
      <c r="C1238" t="s">
        <v>2889</v>
      </c>
      <c r="D1238" s="4" t="s">
        <v>3086</v>
      </c>
      <c r="E1238" t="str">
        <f>IF(COUNTIF(Sayfa2!$A$2:$A$8,"*"&amp;D1238&amp;"*")&gt;0, Sayfa2!$A$1,
 IF(COUNTIF(Sayfa2!$B$2:$B$8, "*"&amp;D1238&amp;"*")&gt;0, Sayfa2!$B$1,
 IF(COUNTIF(Sayfa2!$C$2:$C$8, "*"&amp;D1238&amp;"*")&gt;0, Sayfa2!$C$1,
 IF(COUNTIF(Sayfa2!$D$2:$D$8,"*"&amp;D1238&amp;"*")&gt;0, Sayfa2!$D$1,
 IF(COUNTIF(Sayfa2!$E$2:$E$8, "*"&amp;D1238&amp;"*")&gt;0, Sayfa2!$E$1, "Bulunamadı")))))</f>
        <v>PERŞEMBE</v>
      </c>
    </row>
    <row r="1239" spans="1:5" hidden="1" x14ac:dyDescent="0.25">
      <c r="A1239" t="s">
        <v>2904</v>
      </c>
      <c r="B1239" t="s">
        <v>1352</v>
      </c>
      <c r="C1239" t="s">
        <v>2889</v>
      </c>
      <c r="D1239" s="4" t="s">
        <v>3086</v>
      </c>
      <c r="E1239" t="str">
        <f>IF(COUNTIF(Sayfa2!$A$2:$A$8,"*"&amp;D1239&amp;"*")&gt;0, Sayfa2!$A$1,
 IF(COUNTIF(Sayfa2!$B$2:$B$8, "*"&amp;D1239&amp;"*")&gt;0, Sayfa2!$B$1,
 IF(COUNTIF(Sayfa2!$C$2:$C$8, "*"&amp;D1239&amp;"*")&gt;0, Sayfa2!$C$1,
 IF(COUNTIF(Sayfa2!$D$2:$D$8,"*"&amp;D1239&amp;"*")&gt;0, Sayfa2!$D$1,
 IF(COUNTIF(Sayfa2!$E$2:$E$8, "*"&amp;D1239&amp;"*")&gt;0, Sayfa2!$E$1, "Bulunamadı")))))</f>
        <v>PERŞEMBE</v>
      </c>
    </row>
    <row r="1240" spans="1:5" hidden="1" x14ac:dyDescent="0.25">
      <c r="A1240" t="s">
        <v>2905</v>
      </c>
      <c r="B1240" t="s">
        <v>1353</v>
      </c>
      <c r="C1240" t="s">
        <v>2889</v>
      </c>
      <c r="D1240" s="4" t="s">
        <v>3086</v>
      </c>
      <c r="E1240" t="str">
        <f>IF(COUNTIF(Sayfa2!$A$2:$A$8,"*"&amp;D1240&amp;"*")&gt;0, Sayfa2!$A$1,
 IF(COUNTIF(Sayfa2!$B$2:$B$8, "*"&amp;D1240&amp;"*")&gt;0, Sayfa2!$B$1,
 IF(COUNTIF(Sayfa2!$C$2:$C$8, "*"&amp;D1240&amp;"*")&gt;0, Sayfa2!$C$1,
 IF(COUNTIF(Sayfa2!$D$2:$D$8,"*"&amp;D1240&amp;"*")&gt;0, Sayfa2!$D$1,
 IF(COUNTIF(Sayfa2!$E$2:$E$8, "*"&amp;D1240&amp;"*")&gt;0, Sayfa2!$E$1, "Bulunamadı")))))</f>
        <v>PERŞEMBE</v>
      </c>
    </row>
    <row r="1241" spans="1:5" hidden="1" x14ac:dyDescent="0.25">
      <c r="A1241" t="s">
        <v>2906</v>
      </c>
      <c r="B1241" t="s">
        <v>1354</v>
      </c>
      <c r="C1241" t="s">
        <v>2889</v>
      </c>
      <c r="D1241" s="4" t="s">
        <v>3086</v>
      </c>
      <c r="E1241" t="str">
        <f>IF(COUNTIF(Sayfa2!$A$2:$A$8,"*"&amp;D1241&amp;"*")&gt;0, Sayfa2!$A$1,
 IF(COUNTIF(Sayfa2!$B$2:$B$8, "*"&amp;D1241&amp;"*")&gt;0, Sayfa2!$B$1,
 IF(COUNTIF(Sayfa2!$C$2:$C$8, "*"&amp;D1241&amp;"*")&gt;0, Sayfa2!$C$1,
 IF(COUNTIF(Sayfa2!$D$2:$D$8,"*"&amp;D1241&amp;"*")&gt;0, Sayfa2!$D$1,
 IF(COUNTIF(Sayfa2!$E$2:$E$8, "*"&amp;D1241&amp;"*")&gt;0, Sayfa2!$E$1, "Bulunamadı")))))</f>
        <v>PERŞEMBE</v>
      </c>
    </row>
    <row r="1242" spans="1:5" hidden="1" x14ac:dyDescent="0.25">
      <c r="A1242" t="s">
        <v>2907</v>
      </c>
      <c r="B1242" t="s">
        <v>1355</v>
      </c>
      <c r="C1242" t="s">
        <v>2889</v>
      </c>
      <c r="D1242" s="4" t="s">
        <v>3086</v>
      </c>
      <c r="E1242" t="str">
        <f>IF(COUNTIF(Sayfa2!$A$2:$A$8,"*"&amp;D1242&amp;"*")&gt;0, Sayfa2!$A$1,
 IF(COUNTIF(Sayfa2!$B$2:$B$8, "*"&amp;D1242&amp;"*")&gt;0, Sayfa2!$B$1,
 IF(COUNTIF(Sayfa2!$C$2:$C$8, "*"&amp;D1242&amp;"*")&gt;0, Sayfa2!$C$1,
 IF(COUNTIF(Sayfa2!$D$2:$D$8,"*"&amp;D1242&amp;"*")&gt;0, Sayfa2!$D$1,
 IF(COUNTIF(Sayfa2!$E$2:$E$8, "*"&amp;D1242&amp;"*")&gt;0, Sayfa2!$E$1, "Bulunamadı")))))</f>
        <v>PERŞEMBE</v>
      </c>
    </row>
    <row r="1243" spans="1:5" hidden="1" x14ac:dyDescent="0.25">
      <c r="A1243" t="s">
        <v>2908</v>
      </c>
      <c r="B1243" t="s">
        <v>1356</v>
      </c>
      <c r="C1243" t="s">
        <v>2889</v>
      </c>
      <c r="D1243" s="4" t="s">
        <v>3086</v>
      </c>
      <c r="E1243" t="str">
        <f>IF(COUNTIF(Sayfa2!$A$2:$A$8,"*"&amp;D1243&amp;"*")&gt;0, Sayfa2!$A$1,
 IF(COUNTIF(Sayfa2!$B$2:$B$8, "*"&amp;D1243&amp;"*")&gt;0, Sayfa2!$B$1,
 IF(COUNTIF(Sayfa2!$C$2:$C$8, "*"&amp;D1243&amp;"*")&gt;0, Sayfa2!$C$1,
 IF(COUNTIF(Sayfa2!$D$2:$D$8,"*"&amp;D1243&amp;"*")&gt;0, Sayfa2!$D$1,
 IF(COUNTIF(Sayfa2!$E$2:$E$8, "*"&amp;D1243&amp;"*")&gt;0, Sayfa2!$E$1, "Bulunamadı")))))</f>
        <v>PERŞEMBE</v>
      </c>
    </row>
    <row r="1244" spans="1:5" hidden="1" x14ac:dyDescent="0.25">
      <c r="A1244" t="s">
        <v>1854</v>
      </c>
      <c r="B1244" t="s">
        <v>1357</v>
      </c>
      <c r="C1244" t="s">
        <v>2889</v>
      </c>
      <c r="D1244" s="4" t="s">
        <v>3086</v>
      </c>
      <c r="E1244" t="str">
        <f>IF(COUNTIF(Sayfa2!$A$2:$A$8,"*"&amp;D1244&amp;"*")&gt;0, Sayfa2!$A$1,
 IF(COUNTIF(Sayfa2!$B$2:$B$8, "*"&amp;D1244&amp;"*")&gt;0, Sayfa2!$B$1,
 IF(COUNTIF(Sayfa2!$C$2:$C$8, "*"&amp;D1244&amp;"*")&gt;0, Sayfa2!$C$1,
 IF(COUNTIF(Sayfa2!$D$2:$D$8,"*"&amp;D1244&amp;"*")&gt;0, Sayfa2!$D$1,
 IF(COUNTIF(Sayfa2!$E$2:$E$8, "*"&amp;D1244&amp;"*")&gt;0, Sayfa2!$E$1, "Bulunamadı")))))</f>
        <v>PERŞEMBE</v>
      </c>
    </row>
    <row r="1245" spans="1:5" hidden="1" x14ac:dyDescent="0.25">
      <c r="A1245" t="s">
        <v>2909</v>
      </c>
      <c r="B1245" t="s">
        <v>1358</v>
      </c>
      <c r="C1245" t="s">
        <v>2889</v>
      </c>
      <c r="D1245" s="4" t="s">
        <v>3086</v>
      </c>
      <c r="E1245" t="str">
        <f>IF(COUNTIF(Sayfa2!$A$2:$A$8,"*"&amp;D1245&amp;"*")&gt;0, Sayfa2!$A$1,
 IF(COUNTIF(Sayfa2!$B$2:$B$8, "*"&amp;D1245&amp;"*")&gt;0, Sayfa2!$B$1,
 IF(COUNTIF(Sayfa2!$C$2:$C$8, "*"&amp;D1245&amp;"*")&gt;0, Sayfa2!$C$1,
 IF(COUNTIF(Sayfa2!$D$2:$D$8,"*"&amp;D1245&amp;"*")&gt;0, Sayfa2!$D$1,
 IF(COUNTIF(Sayfa2!$E$2:$E$8, "*"&amp;D1245&amp;"*")&gt;0, Sayfa2!$E$1, "Bulunamadı")))))</f>
        <v>PERŞEMBE</v>
      </c>
    </row>
    <row r="1246" spans="1:5" hidden="1" x14ac:dyDescent="0.25">
      <c r="A1246" t="s">
        <v>2910</v>
      </c>
      <c r="B1246" t="s">
        <v>1359</v>
      </c>
      <c r="C1246" t="s">
        <v>2889</v>
      </c>
      <c r="D1246" s="4" t="s">
        <v>3086</v>
      </c>
      <c r="E1246" t="str">
        <f>IF(COUNTIF(Sayfa2!$A$2:$A$8,"*"&amp;D1246&amp;"*")&gt;0, Sayfa2!$A$1,
 IF(COUNTIF(Sayfa2!$B$2:$B$8, "*"&amp;D1246&amp;"*")&gt;0, Sayfa2!$B$1,
 IF(COUNTIF(Sayfa2!$C$2:$C$8, "*"&amp;D1246&amp;"*")&gt;0, Sayfa2!$C$1,
 IF(COUNTIF(Sayfa2!$D$2:$D$8,"*"&amp;D1246&amp;"*")&gt;0, Sayfa2!$D$1,
 IF(COUNTIF(Sayfa2!$E$2:$E$8, "*"&amp;D1246&amp;"*")&gt;0, Sayfa2!$E$1, "Bulunamadı")))))</f>
        <v>PERŞEMBE</v>
      </c>
    </row>
    <row r="1247" spans="1:5" hidden="1" x14ac:dyDescent="0.25">
      <c r="A1247" t="s">
        <v>2911</v>
      </c>
      <c r="B1247" t="s">
        <v>1360</v>
      </c>
      <c r="C1247" t="s">
        <v>2889</v>
      </c>
      <c r="D1247" s="4" t="s">
        <v>3086</v>
      </c>
      <c r="E1247" t="str">
        <f>IF(COUNTIF(Sayfa2!$A$2:$A$8,"*"&amp;D1247&amp;"*")&gt;0, Sayfa2!$A$1,
 IF(COUNTIF(Sayfa2!$B$2:$B$8, "*"&amp;D1247&amp;"*")&gt;0, Sayfa2!$B$1,
 IF(COUNTIF(Sayfa2!$C$2:$C$8, "*"&amp;D1247&amp;"*")&gt;0, Sayfa2!$C$1,
 IF(COUNTIF(Sayfa2!$D$2:$D$8,"*"&amp;D1247&amp;"*")&gt;0, Sayfa2!$D$1,
 IF(COUNTIF(Sayfa2!$E$2:$E$8, "*"&amp;D1247&amp;"*")&gt;0, Sayfa2!$E$1, "Bulunamadı")))))</f>
        <v>PERŞEMBE</v>
      </c>
    </row>
    <row r="1248" spans="1:5" hidden="1" x14ac:dyDescent="0.25">
      <c r="A1248" t="s">
        <v>2912</v>
      </c>
      <c r="B1248" t="s">
        <v>1361</v>
      </c>
      <c r="C1248" t="s">
        <v>2889</v>
      </c>
      <c r="D1248" s="4" t="s">
        <v>3086</v>
      </c>
      <c r="E1248" t="str">
        <f>IF(COUNTIF(Sayfa2!$A$2:$A$8,"*"&amp;D1248&amp;"*")&gt;0, Sayfa2!$A$1,
 IF(COUNTIF(Sayfa2!$B$2:$B$8, "*"&amp;D1248&amp;"*")&gt;0, Sayfa2!$B$1,
 IF(COUNTIF(Sayfa2!$C$2:$C$8, "*"&amp;D1248&amp;"*")&gt;0, Sayfa2!$C$1,
 IF(COUNTIF(Sayfa2!$D$2:$D$8,"*"&amp;D1248&amp;"*")&gt;0, Sayfa2!$D$1,
 IF(COUNTIF(Sayfa2!$E$2:$E$8, "*"&amp;D1248&amp;"*")&gt;0, Sayfa2!$E$1, "Bulunamadı")))))</f>
        <v>PERŞEMBE</v>
      </c>
    </row>
    <row r="1249" spans="1:5" hidden="1" x14ac:dyDescent="0.25">
      <c r="A1249" t="s">
        <v>2913</v>
      </c>
      <c r="B1249" t="s">
        <v>1362</v>
      </c>
      <c r="C1249" t="s">
        <v>2889</v>
      </c>
      <c r="D1249" s="4" t="s">
        <v>3086</v>
      </c>
      <c r="E1249" t="str">
        <f>IF(COUNTIF(Sayfa2!$A$2:$A$8,"*"&amp;D1249&amp;"*")&gt;0, Sayfa2!$A$1,
 IF(COUNTIF(Sayfa2!$B$2:$B$8, "*"&amp;D1249&amp;"*")&gt;0, Sayfa2!$B$1,
 IF(COUNTIF(Sayfa2!$C$2:$C$8, "*"&amp;D1249&amp;"*")&gt;0, Sayfa2!$C$1,
 IF(COUNTIF(Sayfa2!$D$2:$D$8,"*"&amp;D1249&amp;"*")&gt;0, Sayfa2!$D$1,
 IF(COUNTIF(Sayfa2!$E$2:$E$8, "*"&amp;D1249&amp;"*")&gt;0, Sayfa2!$E$1, "Bulunamadı")))))</f>
        <v>PERŞEMBE</v>
      </c>
    </row>
    <row r="1250" spans="1:5" hidden="1" x14ac:dyDescent="0.25">
      <c r="A1250" t="s">
        <v>2914</v>
      </c>
      <c r="B1250" t="s">
        <v>1363</v>
      </c>
      <c r="C1250" t="s">
        <v>2889</v>
      </c>
      <c r="D1250" s="4" t="s">
        <v>3086</v>
      </c>
      <c r="E1250" t="str">
        <f>IF(COUNTIF(Sayfa2!$A$2:$A$8,"*"&amp;D1250&amp;"*")&gt;0, Sayfa2!$A$1,
 IF(COUNTIF(Sayfa2!$B$2:$B$8, "*"&amp;D1250&amp;"*")&gt;0, Sayfa2!$B$1,
 IF(COUNTIF(Sayfa2!$C$2:$C$8, "*"&amp;D1250&amp;"*")&gt;0, Sayfa2!$C$1,
 IF(COUNTIF(Sayfa2!$D$2:$D$8,"*"&amp;D1250&amp;"*")&gt;0, Sayfa2!$D$1,
 IF(COUNTIF(Sayfa2!$E$2:$E$8, "*"&amp;D1250&amp;"*")&gt;0, Sayfa2!$E$1, "Bulunamadı")))))</f>
        <v>PERŞEMBE</v>
      </c>
    </row>
    <row r="1251" spans="1:5" hidden="1" x14ac:dyDescent="0.25">
      <c r="A1251" t="s">
        <v>2915</v>
      </c>
      <c r="B1251" t="s">
        <v>1364</v>
      </c>
      <c r="C1251" t="s">
        <v>2916</v>
      </c>
      <c r="D1251" s="4" t="s">
        <v>3089</v>
      </c>
      <c r="E1251" t="str">
        <f>IF(COUNTIF(Sayfa2!$A$2:$A$8,"*"&amp;D1251&amp;"*")&gt;0, Sayfa2!$A$1,
 IF(COUNTIF(Sayfa2!$B$2:$B$8, "*"&amp;D1251&amp;"*")&gt;0, Sayfa2!$B$1,
 IF(COUNTIF(Sayfa2!$C$2:$C$8, "*"&amp;D1251&amp;"*")&gt;0, Sayfa2!$C$1,
 IF(COUNTIF(Sayfa2!$D$2:$D$8,"*"&amp;D1251&amp;"*")&gt;0, Sayfa2!$D$1,
 IF(COUNTIF(Sayfa2!$E$2:$E$8, "*"&amp;D1251&amp;"*")&gt;0, Sayfa2!$E$1, "Bulunamadı")))))</f>
        <v>SALI</v>
      </c>
    </row>
    <row r="1252" spans="1:5" hidden="1" x14ac:dyDescent="0.25">
      <c r="A1252" t="s">
        <v>2917</v>
      </c>
      <c r="B1252" t="s">
        <v>1366</v>
      </c>
      <c r="C1252" t="s">
        <v>2918</v>
      </c>
      <c r="D1252" s="4" t="s">
        <v>3089</v>
      </c>
      <c r="E1252" t="str">
        <f>IF(COUNTIF(Sayfa2!$A$2:$A$8,"*"&amp;D1252&amp;"*")&gt;0, Sayfa2!$A$1,
 IF(COUNTIF(Sayfa2!$B$2:$B$8, "*"&amp;D1252&amp;"*")&gt;0, Sayfa2!$B$1,
 IF(COUNTIF(Sayfa2!$C$2:$C$8, "*"&amp;D1252&amp;"*")&gt;0, Sayfa2!$C$1,
 IF(COUNTIF(Sayfa2!$D$2:$D$8,"*"&amp;D1252&amp;"*")&gt;0, Sayfa2!$D$1,
 IF(COUNTIF(Sayfa2!$E$2:$E$8, "*"&amp;D1252&amp;"*")&gt;0, Sayfa2!$E$1, "Bulunamadı")))))</f>
        <v>SALI</v>
      </c>
    </row>
    <row r="1253" spans="1:5" hidden="1" x14ac:dyDescent="0.25">
      <c r="A1253" t="s">
        <v>2919</v>
      </c>
      <c r="B1253" t="s">
        <v>1367</v>
      </c>
      <c r="C1253" t="s">
        <v>2920</v>
      </c>
      <c r="D1253" s="4" t="s">
        <v>3084</v>
      </c>
      <c r="E1253" t="str">
        <f>IF(COUNTIF(Sayfa2!$A$2:$A$8,"*"&amp;D1253&amp;"*")&gt;0, Sayfa2!$A$1,
 IF(COUNTIF(Sayfa2!$B$2:$B$8, "*"&amp;D1253&amp;"*")&gt;0, Sayfa2!$B$1,
 IF(COUNTIF(Sayfa2!$C$2:$C$8, "*"&amp;D1253&amp;"*")&gt;0, Sayfa2!$C$1,
 IF(COUNTIF(Sayfa2!$D$2:$D$8,"*"&amp;D1253&amp;"*")&gt;0, Sayfa2!$D$1,
 IF(COUNTIF(Sayfa2!$E$2:$E$8, "*"&amp;D1253&amp;"*")&gt;0, Sayfa2!$E$1, "Bulunamadı")))))</f>
        <v>SALI</v>
      </c>
    </row>
    <row r="1254" spans="1:5" hidden="1" x14ac:dyDescent="0.25">
      <c r="A1254" t="s">
        <v>2921</v>
      </c>
      <c r="B1254" t="s">
        <v>1368</v>
      </c>
      <c r="C1254" t="s">
        <v>2920</v>
      </c>
      <c r="D1254" s="4" t="s">
        <v>3084</v>
      </c>
      <c r="E1254" t="str">
        <f>IF(COUNTIF(Sayfa2!$A$2:$A$8,"*"&amp;D1254&amp;"*")&gt;0, Sayfa2!$A$1,
 IF(COUNTIF(Sayfa2!$B$2:$B$8, "*"&amp;D1254&amp;"*")&gt;0, Sayfa2!$B$1,
 IF(COUNTIF(Sayfa2!$C$2:$C$8, "*"&amp;D1254&amp;"*")&gt;0, Sayfa2!$C$1,
 IF(COUNTIF(Sayfa2!$D$2:$D$8,"*"&amp;D1254&amp;"*")&gt;0, Sayfa2!$D$1,
 IF(COUNTIF(Sayfa2!$E$2:$E$8, "*"&amp;D1254&amp;"*")&gt;0, Sayfa2!$E$1, "Bulunamadı")))))</f>
        <v>SALI</v>
      </c>
    </row>
    <row r="1255" spans="1:5" hidden="1" x14ac:dyDescent="0.25">
      <c r="A1255" t="s">
        <v>2922</v>
      </c>
      <c r="B1255" t="s">
        <v>200</v>
      </c>
      <c r="C1255" t="s">
        <v>2923</v>
      </c>
      <c r="D1255" s="4" t="s">
        <v>3089</v>
      </c>
      <c r="E1255" t="str">
        <f>IF(COUNTIF(Sayfa2!$A$2:$A$8,"*"&amp;D1255&amp;"*")&gt;0, Sayfa2!$A$1,
 IF(COUNTIF(Sayfa2!$B$2:$B$8, "*"&amp;D1255&amp;"*")&gt;0, Sayfa2!$B$1,
 IF(COUNTIF(Sayfa2!$C$2:$C$8, "*"&amp;D1255&amp;"*")&gt;0, Sayfa2!$C$1,
 IF(COUNTIF(Sayfa2!$D$2:$D$8,"*"&amp;D1255&amp;"*")&gt;0, Sayfa2!$D$1,
 IF(COUNTIF(Sayfa2!$E$2:$E$8, "*"&amp;D1255&amp;"*")&gt;0, Sayfa2!$E$1, "Bulunamadı")))))</f>
        <v>SALI</v>
      </c>
    </row>
    <row r="1256" spans="1:5" hidden="1" x14ac:dyDescent="0.25">
      <c r="A1256" t="s">
        <v>2924</v>
      </c>
      <c r="B1256" t="s">
        <v>1370</v>
      </c>
      <c r="C1256" t="s">
        <v>2925</v>
      </c>
      <c r="D1256" s="4" t="s">
        <v>3089</v>
      </c>
      <c r="E1256" t="str">
        <f>IF(COUNTIF(Sayfa2!$A$2:$A$8,"*"&amp;D1256&amp;"*")&gt;0, Sayfa2!$A$1,
 IF(COUNTIF(Sayfa2!$B$2:$B$8, "*"&amp;D1256&amp;"*")&gt;0, Sayfa2!$B$1,
 IF(COUNTIF(Sayfa2!$C$2:$C$8, "*"&amp;D1256&amp;"*")&gt;0, Sayfa2!$C$1,
 IF(COUNTIF(Sayfa2!$D$2:$D$8,"*"&amp;D1256&amp;"*")&gt;0, Sayfa2!$D$1,
 IF(COUNTIF(Sayfa2!$E$2:$E$8, "*"&amp;D1256&amp;"*")&gt;0, Sayfa2!$E$1, "Bulunamadı")))))</f>
        <v>SALI</v>
      </c>
    </row>
    <row r="1257" spans="1:5" hidden="1" x14ac:dyDescent="0.25">
      <c r="A1257" t="s">
        <v>2926</v>
      </c>
      <c r="B1257" t="s">
        <v>1371</v>
      </c>
      <c r="C1257" t="s">
        <v>2925</v>
      </c>
      <c r="D1257" s="4" t="s">
        <v>3089</v>
      </c>
      <c r="E1257" t="str">
        <f>IF(COUNTIF(Sayfa2!$A$2:$A$8,"*"&amp;D1257&amp;"*")&gt;0, Sayfa2!$A$1,
 IF(COUNTIF(Sayfa2!$B$2:$B$8, "*"&amp;D1257&amp;"*")&gt;0, Sayfa2!$B$1,
 IF(COUNTIF(Sayfa2!$C$2:$C$8, "*"&amp;D1257&amp;"*")&gt;0, Sayfa2!$C$1,
 IF(COUNTIF(Sayfa2!$D$2:$D$8,"*"&amp;D1257&amp;"*")&gt;0, Sayfa2!$D$1,
 IF(COUNTIF(Sayfa2!$E$2:$E$8, "*"&amp;D1257&amp;"*")&gt;0, Sayfa2!$E$1, "Bulunamadı")))))</f>
        <v>SALI</v>
      </c>
    </row>
    <row r="1258" spans="1:5" x14ac:dyDescent="0.25">
      <c r="A1258" t="s">
        <v>2927</v>
      </c>
      <c r="B1258" t="s">
        <v>1372</v>
      </c>
      <c r="C1258" t="s">
        <v>2928</v>
      </c>
      <c r="D1258" s="4" t="s">
        <v>3103</v>
      </c>
      <c r="E1258" t="str">
        <f>IF(COUNTIF(Sayfa2!$A$2:$A$8,"*"&amp;D1258&amp;"*")&gt;0, Sayfa2!$A$1,
 IF(COUNTIF(Sayfa2!$B$2:$B$8, "*"&amp;D1258&amp;"*")&gt;0, Sayfa2!$B$1,
 IF(COUNTIF(Sayfa2!$C$2:$C$8, "*"&amp;D1258&amp;"*")&gt;0, Sayfa2!$C$1,
 IF(COUNTIF(Sayfa2!$D$2:$D$8,"*"&amp;D1258&amp;"*")&gt;0, Sayfa2!$D$1,
 IF(COUNTIF(Sayfa2!$E$2:$E$8, "*"&amp;D1258&amp;"*")&gt;0, Sayfa2!$E$1, "Bulunamadı")))))</f>
        <v>Bulunamadı</v>
      </c>
    </row>
    <row r="1259" spans="1:5" x14ac:dyDescent="0.25">
      <c r="A1259" t="s">
        <v>1862</v>
      </c>
      <c r="B1259" t="s">
        <v>1373</v>
      </c>
      <c r="C1259" t="s">
        <v>2928</v>
      </c>
      <c r="D1259" s="4" t="s">
        <v>3103</v>
      </c>
      <c r="E1259" t="str">
        <f>IF(COUNTIF(Sayfa2!$A$2:$A$8,"*"&amp;D1259&amp;"*")&gt;0, Sayfa2!$A$1,
 IF(COUNTIF(Sayfa2!$B$2:$B$8, "*"&amp;D1259&amp;"*")&gt;0, Sayfa2!$B$1,
 IF(COUNTIF(Sayfa2!$C$2:$C$8, "*"&amp;D1259&amp;"*")&gt;0, Sayfa2!$C$1,
 IF(COUNTIF(Sayfa2!$D$2:$D$8,"*"&amp;D1259&amp;"*")&gt;0, Sayfa2!$D$1,
 IF(COUNTIF(Sayfa2!$E$2:$E$8, "*"&amp;D1259&amp;"*")&gt;0, Sayfa2!$E$1, "Bulunamadı")))))</f>
        <v>Bulunamadı</v>
      </c>
    </row>
    <row r="1260" spans="1:5" hidden="1" x14ac:dyDescent="0.25">
      <c r="A1260" t="s">
        <v>2929</v>
      </c>
      <c r="B1260" t="s">
        <v>1374</v>
      </c>
      <c r="C1260" t="s">
        <v>2925</v>
      </c>
      <c r="D1260" s="4" t="s">
        <v>3089</v>
      </c>
      <c r="E1260" t="str">
        <f>IF(COUNTIF(Sayfa2!$A$2:$A$8,"*"&amp;D1260&amp;"*")&gt;0, Sayfa2!$A$1,
 IF(COUNTIF(Sayfa2!$B$2:$B$8, "*"&amp;D1260&amp;"*")&gt;0, Sayfa2!$B$1,
 IF(COUNTIF(Sayfa2!$C$2:$C$8, "*"&amp;D1260&amp;"*")&gt;0, Sayfa2!$C$1,
 IF(COUNTIF(Sayfa2!$D$2:$D$8,"*"&amp;D1260&amp;"*")&gt;0, Sayfa2!$D$1,
 IF(COUNTIF(Sayfa2!$E$2:$E$8, "*"&amp;D1260&amp;"*")&gt;0, Sayfa2!$E$1, "Bulunamadı")))))</f>
        <v>SALI</v>
      </c>
    </row>
    <row r="1261" spans="1:5" hidden="1" x14ac:dyDescent="0.25">
      <c r="A1261" t="s">
        <v>2930</v>
      </c>
      <c r="B1261" t="s">
        <v>1375</v>
      </c>
      <c r="C1261" t="s">
        <v>2925</v>
      </c>
      <c r="D1261" s="4" t="s">
        <v>3089</v>
      </c>
      <c r="E1261" t="str">
        <f>IF(COUNTIF(Sayfa2!$A$2:$A$8,"*"&amp;D1261&amp;"*")&gt;0, Sayfa2!$A$1,
 IF(COUNTIF(Sayfa2!$B$2:$B$8, "*"&amp;D1261&amp;"*")&gt;0, Sayfa2!$B$1,
 IF(COUNTIF(Sayfa2!$C$2:$C$8, "*"&amp;D1261&amp;"*")&gt;0, Sayfa2!$C$1,
 IF(COUNTIF(Sayfa2!$D$2:$D$8,"*"&amp;D1261&amp;"*")&gt;0, Sayfa2!$D$1,
 IF(COUNTIF(Sayfa2!$E$2:$E$8, "*"&amp;D1261&amp;"*")&gt;0, Sayfa2!$E$1, "Bulunamadı")))))</f>
        <v>SALI</v>
      </c>
    </row>
    <row r="1262" spans="1:5" hidden="1" x14ac:dyDescent="0.25">
      <c r="A1262" t="s">
        <v>2931</v>
      </c>
      <c r="B1262" t="s">
        <v>1376</v>
      </c>
      <c r="C1262" t="s">
        <v>2925</v>
      </c>
      <c r="D1262" s="4" t="s">
        <v>3089</v>
      </c>
      <c r="E1262" t="str">
        <f>IF(COUNTIF(Sayfa2!$A$2:$A$8,"*"&amp;D1262&amp;"*")&gt;0, Sayfa2!$A$1,
 IF(COUNTIF(Sayfa2!$B$2:$B$8, "*"&amp;D1262&amp;"*")&gt;0, Sayfa2!$B$1,
 IF(COUNTIF(Sayfa2!$C$2:$C$8, "*"&amp;D1262&amp;"*")&gt;0, Sayfa2!$C$1,
 IF(COUNTIF(Sayfa2!$D$2:$D$8,"*"&amp;D1262&amp;"*")&gt;0, Sayfa2!$D$1,
 IF(COUNTIF(Sayfa2!$E$2:$E$8, "*"&amp;D1262&amp;"*")&gt;0, Sayfa2!$E$1, "Bulunamadı")))))</f>
        <v>SALI</v>
      </c>
    </row>
    <row r="1263" spans="1:5" hidden="1" x14ac:dyDescent="0.25">
      <c r="A1263" t="s">
        <v>2932</v>
      </c>
      <c r="B1263" t="s">
        <v>1377</v>
      </c>
      <c r="C1263" t="s">
        <v>2925</v>
      </c>
      <c r="D1263" s="4" t="s">
        <v>3089</v>
      </c>
      <c r="E1263" t="str">
        <f>IF(COUNTIF(Sayfa2!$A$2:$A$8,"*"&amp;D1263&amp;"*")&gt;0, Sayfa2!$A$1,
 IF(COUNTIF(Sayfa2!$B$2:$B$8, "*"&amp;D1263&amp;"*")&gt;0, Sayfa2!$B$1,
 IF(COUNTIF(Sayfa2!$C$2:$C$8, "*"&amp;D1263&amp;"*")&gt;0, Sayfa2!$C$1,
 IF(COUNTIF(Sayfa2!$D$2:$D$8,"*"&amp;D1263&amp;"*")&gt;0, Sayfa2!$D$1,
 IF(COUNTIF(Sayfa2!$E$2:$E$8, "*"&amp;D1263&amp;"*")&gt;0, Sayfa2!$E$1, "Bulunamadı")))))</f>
        <v>SALI</v>
      </c>
    </row>
    <row r="1264" spans="1:5" hidden="1" x14ac:dyDescent="0.25">
      <c r="A1264" t="s">
        <v>2933</v>
      </c>
      <c r="B1264" t="s">
        <v>1378</v>
      </c>
      <c r="C1264" t="s">
        <v>2925</v>
      </c>
      <c r="D1264" s="4" t="s">
        <v>3089</v>
      </c>
      <c r="E1264" t="str">
        <f>IF(COUNTIF(Sayfa2!$A$2:$A$8,"*"&amp;D1264&amp;"*")&gt;0, Sayfa2!$A$1,
 IF(COUNTIF(Sayfa2!$B$2:$B$8, "*"&amp;D1264&amp;"*")&gt;0, Sayfa2!$B$1,
 IF(COUNTIF(Sayfa2!$C$2:$C$8, "*"&amp;D1264&amp;"*")&gt;0, Sayfa2!$C$1,
 IF(COUNTIF(Sayfa2!$D$2:$D$8,"*"&amp;D1264&amp;"*")&gt;0, Sayfa2!$D$1,
 IF(COUNTIF(Sayfa2!$E$2:$E$8, "*"&amp;D1264&amp;"*")&gt;0, Sayfa2!$E$1, "Bulunamadı")))))</f>
        <v>SALI</v>
      </c>
    </row>
    <row r="1265" spans="1:5" hidden="1" x14ac:dyDescent="0.25">
      <c r="A1265" t="s">
        <v>2934</v>
      </c>
      <c r="B1265" t="s">
        <v>1379</v>
      </c>
      <c r="C1265" t="s">
        <v>2935</v>
      </c>
      <c r="D1265" s="4" t="s">
        <v>3086</v>
      </c>
      <c r="E1265" t="str">
        <f>IF(COUNTIF(Sayfa2!$A$2:$A$8,"*"&amp;D1265&amp;"*")&gt;0, Sayfa2!$A$1,
 IF(COUNTIF(Sayfa2!$B$2:$B$8, "*"&amp;D1265&amp;"*")&gt;0, Sayfa2!$B$1,
 IF(COUNTIF(Sayfa2!$C$2:$C$8, "*"&amp;D1265&amp;"*")&gt;0, Sayfa2!$C$1,
 IF(COUNTIF(Sayfa2!$D$2:$D$8,"*"&amp;D1265&amp;"*")&gt;0, Sayfa2!$D$1,
 IF(COUNTIF(Sayfa2!$E$2:$E$8, "*"&amp;D1265&amp;"*")&gt;0, Sayfa2!$E$1, "Bulunamadı")))))</f>
        <v>PERŞEMBE</v>
      </c>
    </row>
    <row r="1266" spans="1:5" hidden="1" x14ac:dyDescent="0.25">
      <c r="A1266" t="s">
        <v>2936</v>
      </c>
      <c r="B1266" t="s">
        <v>1381</v>
      </c>
      <c r="C1266" t="s">
        <v>2937</v>
      </c>
      <c r="D1266" s="4" t="s">
        <v>3089</v>
      </c>
      <c r="E1266" t="str">
        <f>IF(COUNTIF(Sayfa2!$A$2:$A$8,"*"&amp;D1266&amp;"*")&gt;0, Sayfa2!$A$1,
 IF(COUNTIF(Sayfa2!$B$2:$B$8, "*"&amp;D1266&amp;"*")&gt;0, Sayfa2!$B$1,
 IF(COUNTIF(Sayfa2!$C$2:$C$8, "*"&amp;D1266&amp;"*")&gt;0, Sayfa2!$C$1,
 IF(COUNTIF(Sayfa2!$D$2:$D$8,"*"&amp;D1266&amp;"*")&gt;0, Sayfa2!$D$1,
 IF(COUNTIF(Sayfa2!$E$2:$E$8, "*"&amp;D1266&amp;"*")&gt;0, Sayfa2!$E$1, "Bulunamadı")))))</f>
        <v>SALI</v>
      </c>
    </row>
    <row r="1267" spans="1:5" hidden="1" x14ac:dyDescent="0.25">
      <c r="A1267" t="s">
        <v>2938</v>
      </c>
      <c r="B1267" t="s">
        <v>1382</v>
      </c>
      <c r="C1267" t="s">
        <v>2939</v>
      </c>
      <c r="D1267" s="4" t="s">
        <v>3087</v>
      </c>
      <c r="E1267" t="str">
        <f>IF(COUNTIF(Sayfa2!$A$2:$A$8,"*"&amp;D1267&amp;"*")&gt;0, Sayfa2!$A$1,
 IF(COUNTIF(Sayfa2!$B$2:$B$8, "*"&amp;D1267&amp;"*")&gt;0, Sayfa2!$B$1,
 IF(COUNTIF(Sayfa2!$C$2:$C$8, "*"&amp;D1267&amp;"*")&gt;0, Sayfa2!$C$1,
 IF(COUNTIF(Sayfa2!$D$2:$D$8,"*"&amp;D1267&amp;"*")&gt;0, Sayfa2!$D$1,
 IF(COUNTIF(Sayfa2!$E$2:$E$8, "*"&amp;D1267&amp;"*")&gt;0, Sayfa2!$E$1, "Bulunamadı")))))</f>
        <v>CUMA</v>
      </c>
    </row>
    <row r="1268" spans="1:5" hidden="1" x14ac:dyDescent="0.25">
      <c r="A1268" t="s">
        <v>2940</v>
      </c>
      <c r="B1268" t="s">
        <v>1383</v>
      </c>
      <c r="C1268" t="s">
        <v>2941</v>
      </c>
      <c r="D1268" s="4" t="s">
        <v>3085</v>
      </c>
      <c r="E1268" t="str">
        <f>IF(COUNTIF(Sayfa2!$A$2:$A$8,"*"&amp;D1268&amp;"*")&gt;0, Sayfa2!$A$1,
 IF(COUNTIF(Sayfa2!$B$2:$B$8, "*"&amp;D1268&amp;"*")&gt;0, Sayfa2!$B$1,
 IF(COUNTIF(Sayfa2!$C$2:$C$8, "*"&amp;D1268&amp;"*")&gt;0, Sayfa2!$C$1,
 IF(COUNTIF(Sayfa2!$D$2:$D$8,"*"&amp;D1268&amp;"*")&gt;0, Sayfa2!$D$1,
 IF(COUNTIF(Sayfa2!$E$2:$E$8, "*"&amp;D1268&amp;"*")&gt;0, Sayfa2!$E$1, "Bulunamadı")))))</f>
        <v>ÇARŞAMBA</v>
      </c>
    </row>
    <row r="1269" spans="1:5" hidden="1" x14ac:dyDescent="0.25">
      <c r="A1269" t="s">
        <v>2942</v>
      </c>
      <c r="B1269" t="s">
        <v>1384</v>
      </c>
      <c r="C1269" t="s">
        <v>2941</v>
      </c>
      <c r="D1269" s="4" t="s">
        <v>3085</v>
      </c>
      <c r="E1269" t="str">
        <f>IF(COUNTIF(Sayfa2!$A$2:$A$8,"*"&amp;D1269&amp;"*")&gt;0, Sayfa2!$A$1,
 IF(COUNTIF(Sayfa2!$B$2:$B$8, "*"&amp;D1269&amp;"*")&gt;0, Sayfa2!$B$1,
 IF(COUNTIF(Sayfa2!$C$2:$C$8, "*"&amp;D1269&amp;"*")&gt;0, Sayfa2!$C$1,
 IF(COUNTIF(Sayfa2!$D$2:$D$8,"*"&amp;D1269&amp;"*")&gt;0, Sayfa2!$D$1,
 IF(COUNTIF(Sayfa2!$E$2:$E$8, "*"&amp;D1269&amp;"*")&gt;0, Sayfa2!$E$1, "Bulunamadı")))))</f>
        <v>ÇARŞAMBA</v>
      </c>
    </row>
    <row r="1270" spans="1:5" hidden="1" x14ac:dyDescent="0.25">
      <c r="A1270" t="s">
        <v>2943</v>
      </c>
      <c r="B1270" t="s">
        <v>1385</v>
      </c>
      <c r="C1270" t="s">
        <v>2941</v>
      </c>
      <c r="D1270" s="4" t="s">
        <v>3085</v>
      </c>
      <c r="E1270" t="str">
        <f>IF(COUNTIF(Sayfa2!$A$2:$A$8,"*"&amp;D1270&amp;"*")&gt;0, Sayfa2!$A$1,
 IF(COUNTIF(Sayfa2!$B$2:$B$8, "*"&amp;D1270&amp;"*")&gt;0, Sayfa2!$B$1,
 IF(COUNTIF(Sayfa2!$C$2:$C$8, "*"&amp;D1270&amp;"*")&gt;0, Sayfa2!$C$1,
 IF(COUNTIF(Sayfa2!$D$2:$D$8,"*"&amp;D1270&amp;"*")&gt;0, Sayfa2!$D$1,
 IF(COUNTIF(Sayfa2!$E$2:$E$8, "*"&amp;D1270&amp;"*")&gt;0, Sayfa2!$E$1, "Bulunamadı")))))</f>
        <v>ÇARŞAMBA</v>
      </c>
    </row>
    <row r="1271" spans="1:5" hidden="1" x14ac:dyDescent="0.25">
      <c r="A1271" t="s">
        <v>2944</v>
      </c>
      <c r="B1271" t="s">
        <v>1386</v>
      </c>
      <c r="C1271" t="s">
        <v>2941</v>
      </c>
      <c r="D1271" s="4" t="s">
        <v>3085</v>
      </c>
      <c r="E1271" t="str">
        <f>IF(COUNTIF(Sayfa2!$A$2:$A$8,"*"&amp;D1271&amp;"*")&gt;0, Sayfa2!$A$1,
 IF(COUNTIF(Sayfa2!$B$2:$B$8, "*"&amp;D1271&amp;"*")&gt;0, Sayfa2!$B$1,
 IF(COUNTIF(Sayfa2!$C$2:$C$8, "*"&amp;D1271&amp;"*")&gt;0, Sayfa2!$C$1,
 IF(COUNTIF(Sayfa2!$D$2:$D$8,"*"&amp;D1271&amp;"*")&gt;0, Sayfa2!$D$1,
 IF(COUNTIF(Sayfa2!$E$2:$E$8, "*"&amp;D1271&amp;"*")&gt;0, Sayfa2!$E$1, "Bulunamadı")))))</f>
        <v>ÇARŞAMBA</v>
      </c>
    </row>
    <row r="1272" spans="1:5" hidden="1" x14ac:dyDescent="0.25">
      <c r="A1272" t="s">
        <v>2945</v>
      </c>
      <c r="B1272" t="s">
        <v>1387</v>
      </c>
      <c r="C1272" t="s">
        <v>2941</v>
      </c>
      <c r="D1272" s="4" t="s">
        <v>3085</v>
      </c>
      <c r="E1272" t="str">
        <f>IF(COUNTIF(Sayfa2!$A$2:$A$8,"*"&amp;D1272&amp;"*")&gt;0, Sayfa2!$A$1,
 IF(COUNTIF(Sayfa2!$B$2:$B$8, "*"&amp;D1272&amp;"*")&gt;0, Sayfa2!$B$1,
 IF(COUNTIF(Sayfa2!$C$2:$C$8, "*"&amp;D1272&amp;"*")&gt;0, Sayfa2!$C$1,
 IF(COUNTIF(Sayfa2!$D$2:$D$8,"*"&amp;D1272&amp;"*")&gt;0, Sayfa2!$D$1,
 IF(COUNTIF(Sayfa2!$E$2:$E$8, "*"&amp;D1272&amp;"*")&gt;0, Sayfa2!$E$1, "Bulunamadı")))))</f>
        <v>ÇARŞAMBA</v>
      </c>
    </row>
    <row r="1273" spans="1:5" hidden="1" x14ac:dyDescent="0.25">
      <c r="A1273" t="s">
        <v>2946</v>
      </c>
      <c r="B1273" t="s">
        <v>1388</v>
      </c>
      <c r="C1273" t="s">
        <v>2941</v>
      </c>
      <c r="D1273" s="4" t="s">
        <v>3085</v>
      </c>
      <c r="E1273" t="str">
        <f>IF(COUNTIF(Sayfa2!$A$2:$A$8,"*"&amp;D1273&amp;"*")&gt;0, Sayfa2!$A$1,
 IF(COUNTIF(Sayfa2!$B$2:$B$8, "*"&amp;D1273&amp;"*")&gt;0, Sayfa2!$B$1,
 IF(COUNTIF(Sayfa2!$C$2:$C$8, "*"&amp;D1273&amp;"*")&gt;0, Sayfa2!$C$1,
 IF(COUNTIF(Sayfa2!$D$2:$D$8,"*"&amp;D1273&amp;"*")&gt;0, Sayfa2!$D$1,
 IF(COUNTIF(Sayfa2!$E$2:$E$8, "*"&amp;D1273&amp;"*")&gt;0, Sayfa2!$E$1, "Bulunamadı")))))</f>
        <v>ÇARŞAMBA</v>
      </c>
    </row>
    <row r="1274" spans="1:5" hidden="1" x14ac:dyDescent="0.25">
      <c r="A1274" t="s">
        <v>2947</v>
      </c>
      <c r="B1274" t="s">
        <v>1389</v>
      </c>
      <c r="C1274" t="s">
        <v>2941</v>
      </c>
      <c r="D1274" s="4" t="s">
        <v>3085</v>
      </c>
      <c r="E1274" t="str">
        <f>IF(COUNTIF(Sayfa2!$A$2:$A$8,"*"&amp;D1274&amp;"*")&gt;0, Sayfa2!$A$1,
 IF(COUNTIF(Sayfa2!$B$2:$B$8, "*"&amp;D1274&amp;"*")&gt;0, Sayfa2!$B$1,
 IF(COUNTIF(Sayfa2!$C$2:$C$8, "*"&amp;D1274&amp;"*")&gt;0, Sayfa2!$C$1,
 IF(COUNTIF(Sayfa2!$D$2:$D$8,"*"&amp;D1274&amp;"*")&gt;0, Sayfa2!$D$1,
 IF(COUNTIF(Sayfa2!$E$2:$E$8, "*"&amp;D1274&amp;"*")&gt;0, Sayfa2!$E$1, "Bulunamadı")))))</f>
        <v>ÇARŞAMBA</v>
      </c>
    </row>
    <row r="1275" spans="1:5" hidden="1" x14ac:dyDescent="0.25">
      <c r="A1275" t="s">
        <v>2948</v>
      </c>
      <c r="B1275" t="s">
        <v>1390</v>
      </c>
      <c r="C1275" t="s">
        <v>2941</v>
      </c>
      <c r="D1275" s="4" t="s">
        <v>3085</v>
      </c>
      <c r="E1275" t="str">
        <f>IF(COUNTIF(Sayfa2!$A$2:$A$8,"*"&amp;D1275&amp;"*")&gt;0, Sayfa2!$A$1,
 IF(COUNTIF(Sayfa2!$B$2:$B$8, "*"&amp;D1275&amp;"*")&gt;0, Sayfa2!$B$1,
 IF(COUNTIF(Sayfa2!$C$2:$C$8, "*"&amp;D1275&amp;"*")&gt;0, Sayfa2!$C$1,
 IF(COUNTIF(Sayfa2!$D$2:$D$8,"*"&amp;D1275&amp;"*")&gt;0, Sayfa2!$D$1,
 IF(COUNTIF(Sayfa2!$E$2:$E$8, "*"&amp;D1275&amp;"*")&gt;0, Sayfa2!$E$1, "Bulunamadı")))))</f>
        <v>ÇARŞAMBA</v>
      </c>
    </row>
    <row r="1276" spans="1:5" hidden="1" x14ac:dyDescent="0.25">
      <c r="A1276" t="s">
        <v>2949</v>
      </c>
      <c r="B1276" t="s">
        <v>1391</v>
      </c>
      <c r="C1276" t="s">
        <v>2941</v>
      </c>
      <c r="D1276" s="4" t="s">
        <v>3085</v>
      </c>
      <c r="E1276" t="str">
        <f>IF(COUNTIF(Sayfa2!$A$2:$A$8,"*"&amp;D1276&amp;"*")&gt;0, Sayfa2!$A$1,
 IF(COUNTIF(Sayfa2!$B$2:$B$8, "*"&amp;D1276&amp;"*")&gt;0, Sayfa2!$B$1,
 IF(COUNTIF(Sayfa2!$C$2:$C$8, "*"&amp;D1276&amp;"*")&gt;0, Sayfa2!$C$1,
 IF(COUNTIF(Sayfa2!$D$2:$D$8,"*"&amp;D1276&amp;"*")&gt;0, Sayfa2!$D$1,
 IF(COUNTIF(Sayfa2!$E$2:$E$8, "*"&amp;D1276&amp;"*")&gt;0, Sayfa2!$E$1, "Bulunamadı")))))</f>
        <v>ÇARŞAMBA</v>
      </c>
    </row>
    <row r="1277" spans="1:5" hidden="1" x14ac:dyDescent="0.25">
      <c r="A1277" t="s">
        <v>2950</v>
      </c>
      <c r="B1277" t="s">
        <v>1392</v>
      </c>
      <c r="C1277" t="s">
        <v>2941</v>
      </c>
      <c r="D1277" s="4" t="s">
        <v>3085</v>
      </c>
      <c r="E1277" t="str">
        <f>IF(COUNTIF(Sayfa2!$A$2:$A$8,"*"&amp;D1277&amp;"*")&gt;0, Sayfa2!$A$1,
 IF(COUNTIF(Sayfa2!$B$2:$B$8, "*"&amp;D1277&amp;"*")&gt;0, Sayfa2!$B$1,
 IF(COUNTIF(Sayfa2!$C$2:$C$8, "*"&amp;D1277&amp;"*")&gt;0, Sayfa2!$C$1,
 IF(COUNTIF(Sayfa2!$D$2:$D$8,"*"&amp;D1277&amp;"*")&gt;0, Sayfa2!$D$1,
 IF(COUNTIF(Sayfa2!$E$2:$E$8, "*"&amp;D1277&amp;"*")&gt;0, Sayfa2!$E$1, "Bulunamadı")))))</f>
        <v>ÇARŞAMBA</v>
      </c>
    </row>
    <row r="1278" spans="1:5" hidden="1" x14ac:dyDescent="0.25">
      <c r="A1278" t="s">
        <v>2951</v>
      </c>
      <c r="B1278" t="s">
        <v>1393</v>
      </c>
      <c r="C1278" t="s">
        <v>2941</v>
      </c>
      <c r="D1278" s="4" t="s">
        <v>3085</v>
      </c>
      <c r="E1278" t="str">
        <f>IF(COUNTIF(Sayfa2!$A$2:$A$8,"*"&amp;D1278&amp;"*")&gt;0, Sayfa2!$A$1,
 IF(COUNTIF(Sayfa2!$B$2:$B$8, "*"&amp;D1278&amp;"*")&gt;0, Sayfa2!$B$1,
 IF(COUNTIF(Sayfa2!$C$2:$C$8, "*"&amp;D1278&amp;"*")&gt;0, Sayfa2!$C$1,
 IF(COUNTIF(Sayfa2!$D$2:$D$8,"*"&amp;D1278&amp;"*")&gt;0, Sayfa2!$D$1,
 IF(COUNTIF(Sayfa2!$E$2:$E$8, "*"&amp;D1278&amp;"*")&gt;0, Sayfa2!$E$1, "Bulunamadı")))))</f>
        <v>ÇARŞAMBA</v>
      </c>
    </row>
    <row r="1279" spans="1:5" hidden="1" x14ac:dyDescent="0.25">
      <c r="A1279" t="s">
        <v>2952</v>
      </c>
      <c r="B1279" t="s">
        <v>1394</v>
      </c>
      <c r="C1279" t="s">
        <v>2941</v>
      </c>
      <c r="D1279" s="4" t="s">
        <v>3085</v>
      </c>
      <c r="E1279" t="str">
        <f>IF(COUNTIF(Sayfa2!$A$2:$A$8,"*"&amp;D1279&amp;"*")&gt;0, Sayfa2!$A$1,
 IF(COUNTIF(Sayfa2!$B$2:$B$8, "*"&amp;D1279&amp;"*")&gt;0, Sayfa2!$B$1,
 IF(COUNTIF(Sayfa2!$C$2:$C$8, "*"&amp;D1279&amp;"*")&gt;0, Sayfa2!$C$1,
 IF(COUNTIF(Sayfa2!$D$2:$D$8,"*"&amp;D1279&amp;"*")&gt;0, Sayfa2!$D$1,
 IF(COUNTIF(Sayfa2!$E$2:$E$8, "*"&amp;D1279&amp;"*")&gt;0, Sayfa2!$E$1, "Bulunamadı")))))</f>
        <v>ÇARŞAMBA</v>
      </c>
    </row>
    <row r="1280" spans="1:5" hidden="1" x14ac:dyDescent="0.25">
      <c r="A1280" t="s">
        <v>2953</v>
      </c>
      <c r="B1280" t="s">
        <v>1395</v>
      </c>
      <c r="C1280" t="s">
        <v>2941</v>
      </c>
      <c r="D1280" s="4" t="s">
        <v>3085</v>
      </c>
      <c r="E1280" t="str">
        <f>IF(COUNTIF(Sayfa2!$A$2:$A$8,"*"&amp;D1280&amp;"*")&gt;0, Sayfa2!$A$1,
 IF(COUNTIF(Sayfa2!$B$2:$B$8, "*"&amp;D1280&amp;"*")&gt;0, Sayfa2!$B$1,
 IF(COUNTIF(Sayfa2!$C$2:$C$8, "*"&amp;D1280&amp;"*")&gt;0, Sayfa2!$C$1,
 IF(COUNTIF(Sayfa2!$D$2:$D$8,"*"&amp;D1280&amp;"*")&gt;0, Sayfa2!$D$1,
 IF(COUNTIF(Sayfa2!$E$2:$E$8, "*"&amp;D1280&amp;"*")&gt;0, Sayfa2!$E$1, "Bulunamadı")))))</f>
        <v>ÇARŞAMBA</v>
      </c>
    </row>
    <row r="1281" spans="1:5" hidden="1" x14ac:dyDescent="0.25">
      <c r="A1281" t="s">
        <v>2954</v>
      </c>
      <c r="B1281" t="s">
        <v>1396</v>
      </c>
      <c r="C1281" t="s">
        <v>2941</v>
      </c>
      <c r="D1281" s="4" t="s">
        <v>3085</v>
      </c>
      <c r="E1281" t="str">
        <f>IF(COUNTIF(Sayfa2!$A$2:$A$8,"*"&amp;D1281&amp;"*")&gt;0, Sayfa2!$A$1,
 IF(COUNTIF(Sayfa2!$B$2:$B$8, "*"&amp;D1281&amp;"*")&gt;0, Sayfa2!$B$1,
 IF(COUNTIF(Sayfa2!$C$2:$C$8, "*"&amp;D1281&amp;"*")&gt;0, Sayfa2!$C$1,
 IF(COUNTIF(Sayfa2!$D$2:$D$8,"*"&amp;D1281&amp;"*")&gt;0, Sayfa2!$D$1,
 IF(COUNTIF(Sayfa2!$E$2:$E$8, "*"&amp;D1281&amp;"*")&gt;0, Sayfa2!$E$1, "Bulunamadı")))))</f>
        <v>ÇARŞAMBA</v>
      </c>
    </row>
    <row r="1282" spans="1:5" hidden="1" x14ac:dyDescent="0.25">
      <c r="A1282" t="s">
        <v>2955</v>
      </c>
      <c r="B1282" t="s">
        <v>1397</v>
      </c>
      <c r="C1282" t="s">
        <v>2941</v>
      </c>
      <c r="D1282" s="4" t="s">
        <v>3085</v>
      </c>
      <c r="E1282" t="str">
        <f>IF(COUNTIF(Sayfa2!$A$2:$A$8,"*"&amp;D1282&amp;"*")&gt;0, Sayfa2!$A$1,
 IF(COUNTIF(Sayfa2!$B$2:$B$8, "*"&amp;D1282&amp;"*")&gt;0, Sayfa2!$B$1,
 IF(COUNTIF(Sayfa2!$C$2:$C$8, "*"&amp;D1282&amp;"*")&gt;0, Sayfa2!$C$1,
 IF(COUNTIF(Sayfa2!$D$2:$D$8,"*"&amp;D1282&amp;"*")&gt;0, Sayfa2!$D$1,
 IF(COUNTIF(Sayfa2!$E$2:$E$8, "*"&amp;D1282&amp;"*")&gt;0, Sayfa2!$E$1, "Bulunamadı")))))</f>
        <v>ÇARŞAMBA</v>
      </c>
    </row>
    <row r="1283" spans="1:5" hidden="1" x14ac:dyDescent="0.25">
      <c r="A1283" t="s">
        <v>2956</v>
      </c>
      <c r="B1283" t="s">
        <v>1398</v>
      </c>
      <c r="C1283" t="s">
        <v>2941</v>
      </c>
      <c r="D1283" s="4" t="s">
        <v>3085</v>
      </c>
      <c r="E1283" t="str">
        <f>IF(COUNTIF(Sayfa2!$A$2:$A$8,"*"&amp;D1283&amp;"*")&gt;0, Sayfa2!$A$1,
 IF(COUNTIF(Sayfa2!$B$2:$B$8, "*"&amp;D1283&amp;"*")&gt;0, Sayfa2!$B$1,
 IF(COUNTIF(Sayfa2!$C$2:$C$8, "*"&amp;D1283&amp;"*")&gt;0, Sayfa2!$C$1,
 IF(COUNTIF(Sayfa2!$D$2:$D$8,"*"&amp;D1283&amp;"*")&gt;0, Sayfa2!$D$1,
 IF(COUNTIF(Sayfa2!$E$2:$E$8, "*"&amp;D1283&amp;"*")&gt;0, Sayfa2!$E$1, "Bulunamadı")))))</f>
        <v>ÇARŞAMBA</v>
      </c>
    </row>
    <row r="1284" spans="1:5" hidden="1" x14ac:dyDescent="0.25">
      <c r="A1284" t="s">
        <v>2957</v>
      </c>
      <c r="B1284" t="s">
        <v>1399</v>
      </c>
      <c r="C1284" t="s">
        <v>2941</v>
      </c>
      <c r="D1284" s="4" t="s">
        <v>3085</v>
      </c>
      <c r="E1284" t="str">
        <f>IF(COUNTIF(Sayfa2!$A$2:$A$8,"*"&amp;D1284&amp;"*")&gt;0, Sayfa2!$A$1,
 IF(COUNTIF(Sayfa2!$B$2:$B$8, "*"&amp;D1284&amp;"*")&gt;0, Sayfa2!$B$1,
 IF(COUNTIF(Sayfa2!$C$2:$C$8, "*"&amp;D1284&amp;"*")&gt;0, Sayfa2!$C$1,
 IF(COUNTIF(Sayfa2!$D$2:$D$8,"*"&amp;D1284&amp;"*")&gt;0, Sayfa2!$D$1,
 IF(COUNTIF(Sayfa2!$E$2:$E$8, "*"&amp;D1284&amp;"*")&gt;0, Sayfa2!$E$1, "Bulunamadı")))))</f>
        <v>ÇARŞAMBA</v>
      </c>
    </row>
    <row r="1285" spans="1:5" hidden="1" x14ac:dyDescent="0.25">
      <c r="A1285" t="s">
        <v>2958</v>
      </c>
      <c r="B1285" t="s">
        <v>1400</v>
      </c>
      <c r="C1285" t="s">
        <v>2941</v>
      </c>
      <c r="D1285" s="4" t="s">
        <v>3085</v>
      </c>
      <c r="E1285" t="str">
        <f>IF(COUNTIF(Sayfa2!$A$2:$A$8,"*"&amp;D1285&amp;"*")&gt;0, Sayfa2!$A$1,
 IF(COUNTIF(Sayfa2!$B$2:$B$8, "*"&amp;D1285&amp;"*")&gt;0, Sayfa2!$B$1,
 IF(COUNTIF(Sayfa2!$C$2:$C$8, "*"&amp;D1285&amp;"*")&gt;0, Sayfa2!$C$1,
 IF(COUNTIF(Sayfa2!$D$2:$D$8,"*"&amp;D1285&amp;"*")&gt;0, Sayfa2!$D$1,
 IF(COUNTIF(Sayfa2!$E$2:$E$8, "*"&amp;D1285&amp;"*")&gt;0, Sayfa2!$E$1, "Bulunamadı")))))</f>
        <v>ÇARŞAMBA</v>
      </c>
    </row>
    <row r="1286" spans="1:5" hidden="1" x14ac:dyDescent="0.25">
      <c r="A1286" t="s">
        <v>2959</v>
      </c>
      <c r="B1286" t="s">
        <v>1401</v>
      </c>
      <c r="C1286" t="s">
        <v>2941</v>
      </c>
      <c r="D1286" s="4" t="s">
        <v>3085</v>
      </c>
      <c r="E1286" t="str">
        <f>IF(COUNTIF(Sayfa2!$A$2:$A$8,"*"&amp;D1286&amp;"*")&gt;0, Sayfa2!$A$1,
 IF(COUNTIF(Sayfa2!$B$2:$B$8, "*"&amp;D1286&amp;"*")&gt;0, Sayfa2!$B$1,
 IF(COUNTIF(Sayfa2!$C$2:$C$8, "*"&amp;D1286&amp;"*")&gt;0, Sayfa2!$C$1,
 IF(COUNTIF(Sayfa2!$D$2:$D$8,"*"&amp;D1286&amp;"*")&gt;0, Sayfa2!$D$1,
 IF(COUNTIF(Sayfa2!$E$2:$E$8, "*"&amp;D1286&amp;"*")&gt;0, Sayfa2!$E$1, "Bulunamadı")))))</f>
        <v>ÇARŞAMBA</v>
      </c>
    </row>
    <row r="1287" spans="1:5" hidden="1" x14ac:dyDescent="0.25">
      <c r="A1287" t="s">
        <v>2960</v>
      </c>
      <c r="B1287" t="s">
        <v>1402</v>
      </c>
      <c r="C1287" t="s">
        <v>2941</v>
      </c>
      <c r="D1287" s="4" t="s">
        <v>3085</v>
      </c>
      <c r="E1287" t="str">
        <f>IF(COUNTIF(Sayfa2!$A$2:$A$8,"*"&amp;D1287&amp;"*")&gt;0, Sayfa2!$A$1,
 IF(COUNTIF(Sayfa2!$B$2:$B$8, "*"&amp;D1287&amp;"*")&gt;0, Sayfa2!$B$1,
 IF(COUNTIF(Sayfa2!$C$2:$C$8, "*"&amp;D1287&amp;"*")&gt;0, Sayfa2!$C$1,
 IF(COUNTIF(Sayfa2!$D$2:$D$8,"*"&amp;D1287&amp;"*")&gt;0, Sayfa2!$D$1,
 IF(COUNTIF(Sayfa2!$E$2:$E$8, "*"&amp;D1287&amp;"*")&gt;0, Sayfa2!$E$1, "Bulunamadı")))))</f>
        <v>ÇARŞAMBA</v>
      </c>
    </row>
    <row r="1288" spans="1:5" hidden="1" x14ac:dyDescent="0.25">
      <c r="A1288" t="s">
        <v>2961</v>
      </c>
      <c r="B1288" t="s">
        <v>1403</v>
      </c>
      <c r="C1288" t="s">
        <v>2941</v>
      </c>
      <c r="D1288" s="4" t="s">
        <v>3085</v>
      </c>
      <c r="E1288" t="str">
        <f>IF(COUNTIF(Sayfa2!$A$2:$A$8,"*"&amp;D1288&amp;"*")&gt;0, Sayfa2!$A$1,
 IF(COUNTIF(Sayfa2!$B$2:$B$8, "*"&amp;D1288&amp;"*")&gt;0, Sayfa2!$B$1,
 IF(COUNTIF(Sayfa2!$C$2:$C$8, "*"&amp;D1288&amp;"*")&gt;0, Sayfa2!$C$1,
 IF(COUNTIF(Sayfa2!$D$2:$D$8,"*"&amp;D1288&amp;"*")&gt;0, Sayfa2!$D$1,
 IF(COUNTIF(Sayfa2!$E$2:$E$8, "*"&amp;D1288&amp;"*")&gt;0, Sayfa2!$E$1, "Bulunamadı")))))</f>
        <v>ÇARŞAMBA</v>
      </c>
    </row>
    <row r="1289" spans="1:5" hidden="1" x14ac:dyDescent="0.25">
      <c r="A1289" t="s">
        <v>2962</v>
      </c>
      <c r="B1289" t="s">
        <v>1404</v>
      </c>
      <c r="C1289" t="s">
        <v>2941</v>
      </c>
      <c r="D1289" s="4" t="s">
        <v>3085</v>
      </c>
      <c r="E1289" t="str">
        <f>IF(COUNTIF(Sayfa2!$A$2:$A$8,"*"&amp;D1289&amp;"*")&gt;0, Sayfa2!$A$1,
 IF(COUNTIF(Sayfa2!$B$2:$B$8, "*"&amp;D1289&amp;"*")&gt;0, Sayfa2!$B$1,
 IF(COUNTIF(Sayfa2!$C$2:$C$8, "*"&amp;D1289&amp;"*")&gt;0, Sayfa2!$C$1,
 IF(COUNTIF(Sayfa2!$D$2:$D$8,"*"&amp;D1289&amp;"*")&gt;0, Sayfa2!$D$1,
 IF(COUNTIF(Sayfa2!$E$2:$E$8, "*"&amp;D1289&amp;"*")&gt;0, Sayfa2!$E$1, "Bulunamadı")))))</f>
        <v>ÇARŞAMBA</v>
      </c>
    </row>
    <row r="1290" spans="1:5" hidden="1" x14ac:dyDescent="0.25">
      <c r="A1290" t="s">
        <v>2963</v>
      </c>
      <c r="B1290" t="s">
        <v>1405</v>
      </c>
      <c r="C1290" t="s">
        <v>2941</v>
      </c>
      <c r="D1290" s="4" t="s">
        <v>3085</v>
      </c>
      <c r="E1290" t="str">
        <f>IF(COUNTIF(Sayfa2!$A$2:$A$8,"*"&amp;D1290&amp;"*")&gt;0, Sayfa2!$A$1,
 IF(COUNTIF(Sayfa2!$B$2:$B$8, "*"&amp;D1290&amp;"*")&gt;0, Sayfa2!$B$1,
 IF(COUNTIF(Sayfa2!$C$2:$C$8, "*"&amp;D1290&amp;"*")&gt;0, Sayfa2!$C$1,
 IF(COUNTIF(Sayfa2!$D$2:$D$8,"*"&amp;D1290&amp;"*")&gt;0, Sayfa2!$D$1,
 IF(COUNTIF(Sayfa2!$E$2:$E$8, "*"&amp;D1290&amp;"*")&gt;0, Sayfa2!$E$1, "Bulunamadı")))))</f>
        <v>ÇARŞAMBA</v>
      </c>
    </row>
    <row r="1291" spans="1:5" hidden="1" x14ac:dyDescent="0.25">
      <c r="A1291" t="s">
        <v>2964</v>
      </c>
      <c r="B1291" t="s">
        <v>1406</v>
      </c>
      <c r="C1291" t="s">
        <v>2941</v>
      </c>
      <c r="D1291" s="4" t="s">
        <v>3085</v>
      </c>
      <c r="E1291" t="str">
        <f>IF(COUNTIF(Sayfa2!$A$2:$A$8,"*"&amp;D1291&amp;"*")&gt;0, Sayfa2!$A$1,
 IF(COUNTIF(Sayfa2!$B$2:$B$8, "*"&amp;D1291&amp;"*")&gt;0, Sayfa2!$B$1,
 IF(COUNTIF(Sayfa2!$C$2:$C$8, "*"&amp;D1291&amp;"*")&gt;0, Sayfa2!$C$1,
 IF(COUNTIF(Sayfa2!$D$2:$D$8,"*"&amp;D1291&amp;"*")&gt;0, Sayfa2!$D$1,
 IF(COUNTIF(Sayfa2!$E$2:$E$8, "*"&amp;D1291&amp;"*")&gt;0, Sayfa2!$E$1, "Bulunamadı")))))</f>
        <v>ÇARŞAMBA</v>
      </c>
    </row>
    <row r="1292" spans="1:5" hidden="1" x14ac:dyDescent="0.25">
      <c r="A1292" t="s">
        <v>2965</v>
      </c>
      <c r="B1292" t="s">
        <v>1407</v>
      </c>
      <c r="C1292" t="s">
        <v>2966</v>
      </c>
      <c r="D1292" s="4" t="s">
        <v>3089</v>
      </c>
      <c r="E1292" t="str">
        <f>IF(COUNTIF(Sayfa2!$A$2:$A$8,"*"&amp;D1292&amp;"*")&gt;0, Sayfa2!$A$1,
 IF(COUNTIF(Sayfa2!$B$2:$B$8, "*"&amp;D1292&amp;"*")&gt;0, Sayfa2!$B$1,
 IF(COUNTIF(Sayfa2!$C$2:$C$8, "*"&amp;D1292&amp;"*")&gt;0, Sayfa2!$C$1,
 IF(COUNTIF(Sayfa2!$D$2:$D$8,"*"&amp;D1292&amp;"*")&gt;0, Sayfa2!$D$1,
 IF(COUNTIF(Sayfa2!$E$2:$E$8, "*"&amp;D1292&amp;"*")&gt;0, Sayfa2!$E$1, "Bulunamadı")))))</f>
        <v>SALI</v>
      </c>
    </row>
    <row r="1293" spans="1:5" hidden="1" x14ac:dyDescent="0.25">
      <c r="A1293" t="s">
        <v>2967</v>
      </c>
      <c r="B1293" t="s">
        <v>1409</v>
      </c>
      <c r="C1293" t="s">
        <v>2968</v>
      </c>
      <c r="D1293" s="4" t="s">
        <v>3089</v>
      </c>
      <c r="E1293" t="str">
        <f>IF(COUNTIF(Sayfa2!$A$2:$A$8,"*"&amp;D1293&amp;"*")&gt;0, Sayfa2!$A$1,
 IF(COUNTIF(Sayfa2!$B$2:$B$8, "*"&amp;D1293&amp;"*")&gt;0, Sayfa2!$B$1,
 IF(COUNTIF(Sayfa2!$C$2:$C$8, "*"&amp;D1293&amp;"*")&gt;0, Sayfa2!$C$1,
 IF(COUNTIF(Sayfa2!$D$2:$D$8,"*"&amp;D1293&amp;"*")&gt;0, Sayfa2!$D$1,
 IF(COUNTIF(Sayfa2!$E$2:$E$8, "*"&amp;D1293&amp;"*")&gt;0, Sayfa2!$E$1, "Bulunamadı")))))</f>
        <v>SALI</v>
      </c>
    </row>
    <row r="1294" spans="1:5" hidden="1" x14ac:dyDescent="0.25">
      <c r="A1294" t="s">
        <v>2969</v>
      </c>
      <c r="B1294" t="s">
        <v>1412</v>
      </c>
      <c r="C1294" t="s">
        <v>2970</v>
      </c>
      <c r="D1294" s="4" t="s">
        <v>3089</v>
      </c>
      <c r="E1294" t="str">
        <f>IF(COUNTIF(Sayfa2!$A$2:$A$8,"*"&amp;D1294&amp;"*")&gt;0, Sayfa2!$A$1,
 IF(COUNTIF(Sayfa2!$B$2:$B$8, "*"&amp;D1294&amp;"*")&gt;0, Sayfa2!$B$1,
 IF(COUNTIF(Sayfa2!$C$2:$C$8, "*"&amp;D1294&amp;"*")&gt;0, Sayfa2!$C$1,
 IF(COUNTIF(Sayfa2!$D$2:$D$8,"*"&amp;D1294&amp;"*")&gt;0, Sayfa2!$D$1,
 IF(COUNTIF(Sayfa2!$E$2:$E$8, "*"&amp;D1294&amp;"*")&gt;0, Sayfa2!$E$1, "Bulunamadı")))))</f>
        <v>SALI</v>
      </c>
    </row>
    <row r="1295" spans="1:5" hidden="1" x14ac:dyDescent="0.25">
      <c r="A1295" t="s">
        <v>2971</v>
      </c>
      <c r="B1295" t="s">
        <v>1414</v>
      </c>
      <c r="C1295" t="s">
        <v>2970</v>
      </c>
      <c r="D1295" s="4" t="s">
        <v>3089</v>
      </c>
      <c r="E1295" t="str">
        <f>IF(COUNTIF(Sayfa2!$A$2:$A$8,"*"&amp;D1295&amp;"*")&gt;0, Sayfa2!$A$1,
 IF(COUNTIF(Sayfa2!$B$2:$B$8, "*"&amp;D1295&amp;"*")&gt;0, Sayfa2!$B$1,
 IF(COUNTIF(Sayfa2!$C$2:$C$8, "*"&amp;D1295&amp;"*")&gt;0, Sayfa2!$C$1,
 IF(COUNTIF(Sayfa2!$D$2:$D$8,"*"&amp;D1295&amp;"*")&gt;0, Sayfa2!$D$1,
 IF(COUNTIF(Sayfa2!$E$2:$E$8, "*"&amp;D1295&amp;"*")&gt;0, Sayfa2!$E$1, "Bulunamadı")))))</f>
        <v>SALI</v>
      </c>
    </row>
    <row r="1296" spans="1:5" hidden="1" x14ac:dyDescent="0.25">
      <c r="A1296" t="s">
        <v>2972</v>
      </c>
      <c r="B1296" t="s">
        <v>1415</v>
      </c>
      <c r="C1296" t="s">
        <v>2970</v>
      </c>
      <c r="D1296" s="4" t="s">
        <v>3089</v>
      </c>
      <c r="E1296" t="str">
        <f>IF(COUNTIF(Sayfa2!$A$2:$A$8,"*"&amp;D1296&amp;"*")&gt;0, Sayfa2!$A$1,
 IF(COUNTIF(Sayfa2!$B$2:$B$8, "*"&amp;D1296&amp;"*")&gt;0, Sayfa2!$B$1,
 IF(COUNTIF(Sayfa2!$C$2:$C$8, "*"&amp;D1296&amp;"*")&gt;0, Sayfa2!$C$1,
 IF(COUNTIF(Sayfa2!$D$2:$D$8,"*"&amp;D1296&amp;"*")&gt;0, Sayfa2!$D$1,
 IF(COUNTIF(Sayfa2!$E$2:$E$8, "*"&amp;D1296&amp;"*")&gt;0, Sayfa2!$E$1, "Bulunamadı")))))</f>
        <v>SALI</v>
      </c>
    </row>
    <row r="1297" spans="1:5" hidden="1" x14ac:dyDescent="0.25">
      <c r="A1297" t="s">
        <v>2973</v>
      </c>
      <c r="B1297" t="s">
        <v>1416</v>
      </c>
      <c r="C1297" t="s">
        <v>2974</v>
      </c>
      <c r="D1297" s="4" t="s">
        <v>3086</v>
      </c>
      <c r="E1297" t="str">
        <f>IF(COUNTIF(Sayfa2!$A$2:$A$8,"*"&amp;D1297&amp;"*")&gt;0, Sayfa2!$A$1,
 IF(COUNTIF(Sayfa2!$B$2:$B$8, "*"&amp;D1297&amp;"*")&gt;0, Sayfa2!$B$1,
 IF(COUNTIF(Sayfa2!$C$2:$C$8, "*"&amp;D1297&amp;"*")&gt;0, Sayfa2!$C$1,
 IF(COUNTIF(Sayfa2!$D$2:$D$8,"*"&amp;D1297&amp;"*")&gt;0, Sayfa2!$D$1,
 IF(COUNTIF(Sayfa2!$E$2:$E$8, "*"&amp;D1297&amp;"*")&gt;0, Sayfa2!$E$1, "Bulunamadı")))))</f>
        <v>PERŞEMBE</v>
      </c>
    </row>
    <row r="1298" spans="1:5" hidden="1" x14ac:dyDescent="0.25">
      <c r="A1298" t="s">
        <v>2975</v>
      </c>
      <c r="B1298" t="s">
        <v>1419</v>
      </c>
      <c r="C1298" t="s">
        <v>2976</v>
      </c>
      <c r="D1298" s="4" t="s">
        <v>3089</v>
      </c>
      <c r="E1298" t="str">
        <f>IF(COUNTIF(Sayfa2!$A$2:$A$8,"*"&amp;D1298&amp;"*")&gt;0, Sayfa2!$A$1,
 IF(COUNTIF(Sayfa2!$B$2:$B$8, "*"&amp;D1298&amp;"*")&gt;0, Sayfa2!$B$1,
 IF(COUNTIF(Sayfa2!$C$2:$C$8, "*"&amp;D1298&amp;"*")&gt;0, Sayfa2!$C$1,
 IF(COUNTIF(Sayfa2!$D$2:$D$8,"*"&amp;D1298&amp;"*")&gt;0, Sayfa2!$D$1,
 IF(COUNTIF(Sayfa2!$E$2:$E$8, "*"&amp;D1298&amp;"*")&gt;0, Sayfa2!$E$1, "Bulunamadı")))))</f>
        <v>SALI</v>
      </c>
    </row>
    <row r="1299" spans="1:5" hidden="1" x14ac:dyDescent="0.25">
      <c r="A1299" t="s">
        <v>2977</v>
      </c>
      <c r="B1299" t="s">
        <v>1421</v>
      </c>
      <c r="C1299" t="s">
        <v>2976</v>
      </c>
      <c r="D1299" s="4" t="s">
        <v>3089</v>
      </c>
      <c r="E1299" t="str">
        <f>IF(COUNTIF(Sayfa2!$A$2:$A$8,"*"&amp;D1299&amp;"*")&gt;0, Sayfa2!$A$1,
 IF(COUNTIF(Sayfa2!$B$2:$B$8, "*"&amp;D1299&amp;"*")&gt;0, Sayfa2!$B$1,
 IF(COUNTIF(Sayfa2!$C$2:$C$8, "*"&amp;D1299&amp;"*")&gt;0, Sayfa2!$C$1,
 IF(COUNTIF(Sayfa2!$D$2:$D$8,"*"&amp;D1299&amp;"*")&gt;0, Sayfa2!$D$1,
 IF(COUNTIF(Sayfa2!$E$2:$E$8, "*"&amp;D1299&amp;"*")&gt;0, Sayfa2!$E$1, "Bulunamadı")))))</f>
        <v>SALI</v>
      </c>
    </row>
    <row r="1300" spans="1:5" hidden="1" x14ac:dyDescent="0.25">
      <c r="A1300" t="s">
        <v>2978</v>
      </c>
      <c r="B1300" t="s">
        <v>1422</v>
      </c>
      <c r="C1300" t="s">
        <v>2979</v>
      </c>
      <c r="D1300" s="4" t="s">
        <v>3088</v>
      </c>
      <c r="E1300" t="str">
        <f>IF(COUNTIF(Sayfa2!$A$2:$A$8,"*"&amp;D1300&amp;"*")&gt;0, Sayfa2!$A$1,
 IF(COUNTIF(Sayfa2!$B$2:$B$8, "*"&amp;D1300&amp;"*")&gt;0, Sayfa2!$B$1,
 IF(COUNTIF(Sayfa2!$C$2:$C$8, "*"&amp;D1300&amp;"*")&gt;0, Sayfa2!$C$1,
 IF(COUNTIF(Sayfa2!$D$2:$D$8,"*"&amp;D1300&amp;"*")&gt;0, Sayfa2!$D$1,
 IF(COUNTIF(Sayfa2!$E$2:$E$8, "*"&amp;D1300&amp;"*")&gt;0, Sayfa2!$E$1, "Bulunamadı")))))</f>
        <v>PAZARTESİ</v>
      </c>
    </row>
    <row r="1301" spans="1:5" hidden="1" x14ac:dyDescent="0.25">
      <c r="A1301" t="s">
        <v>2980</v>
      </c>
      <c r="B1301" t="s">
        <v>1423</v>
      </c>
      <c r="C1301" t="s">
        <v>2979</v>
      </c>
      <c r="D1301" s="4" t="s">
        <v>3088</v>
      </c>
      <c r="E1301" t="str">
        <f>IF(COUNTIF(Sayfa2!$A$2:$A$8,"*"&amp;D1301&amp;"*")&gt;0, Sayfa2!$A$1,
 IF(COUNTIF(Sayfa2!$B$2:$B$8, "*"&amp;D1301&amp;"*")&gt;0, Sayfa2!$B$1,
 IF(COUNTIF(Sayfa2!$C$2:$C$8, "*"&amp;D1301&amp;"*")&gt;0, Sayfa2!$C$1,
 IF(COUNTIF(Sayfa2!$D$2:$D$8,"*"&amp;D1301&amp;"*")&gt;0, Sayfa2!$D$1,
 IF(COUNTIF(Sayfa2!$E$2:$E$8, "*"&amp;D1301&amp;"*")&gt;0, Sayfa2!$E$1, "Bulunamadı")))))</f>
        <v>PAZARTESİ</v>
      </c>
    </row>
    <row r="1302" spans="1:5" hidden="1" x14ac:dyDescent="0.25">
      <c r="A1302" t="s">
        <v>2981</v>
      </c>
      <c r="B1302" t="s">
        <v>1424</v>
      </c>
      <c r="C1302" t="s">
        <v>2979</v>
      </c>
      <c r="D1302" s="4" t="s">
        <v>3088</v>
      </c>
      <c r="E1302" t="str">
        <f>IF(COUNTIF(Sayfa2!$A$2:$A$8,"*"&amp;D1302&amp;"*")&gt;0, Sayfa2!$A$1,
 IF(COUNTIF(Sayfa2!$B$2:$B$8, "*"&amp;D1302&amp;"*")&gt;0, Sayfa2!$B$1,
 IF(COUNTIF(Sayfa2!$C$2:$C$8, "*"&amp;D1302&amp;"*")&gt;0, Sayfa2!$C$1,
 IF(COUNTIF(Sayfa2!$D$2:$D$8,"*"&amp;D1302&amp;"*")&gt;0, Sayfa2!$D$1,
 IF(COUNTIF(Sayfa2!$E$2:$E$8, "*"&amp;D1302&amp;"*")&gt;0, Sayfa2!$E$1, "Bulunamadı")))))</f>
        <v>PAZARTESİ</v>
      </c>
    </row>
    <row r="1303" spans="1:5" hidden="1" x14ac:dyDescent="0.25">
      <c r="A1303" t="s">
        <v>2982</v>
      </c>
      <c r="B1303" t="s">
        <v>1425</v>
      </c>
      <c r="C1303" t="s">
        <v>2979</v>
      </c>
      <c r="D1303" s="4" t="s">
        <v>3088</v>
      </c>
      <c r="E1303" t="str">
        <f>IF(COUNTIF(Sayfa2!$A$2:$A$8,"*"&amp;D1303&amp;"*")&gt;0, Sayfa2!$A$1,
 IF(COUNTIF(Sayfa2!$B$2:$B$8, "*"&amp;D1303&amp;"*")&gt;0, Sayfa2!$B$1,
 IF(COUNTIF(Sayfa2!$C$2:$C$8, "*"&amp;D1303&amp;"*")&gt;0, Sayfa2!$C$1,
 IF(COUNTIF(Sayfa2!$D$2:$D$8,"*"&amp;D1303&amp;"*")&gt;0, Sayfa2!$D$1,
 IF(COUNTIF(Sayfa2!$E$2:$E$8, "*"&amp;D1303&amp;"*")&gt;0, Sayfa2!$E$1, "Bulunamadı")))))</f>
        <v>PAZARTESİ</v>
      </c>
    </row>
    <row r="1304" spans="1:5" hidden="1" x14ac:dyDescent="0.25">
      <c r="A1304" t="s">
        <v>2983</v>
      </c>
      <c r="B1304" t="s">
        <v>1426</v>
      </c>
      <c r="C1304" t="s">
        <v>2984</v>
      </c>
      <c r="D1304" s="4" t="s">
        <v>3087</v>
      </c>
      <c r="E1304" t="str">
        <f>IF(COUNTIF(Sayfa2!$A$2:$A$8,"*"&amp;D1304&amp;"*")&gt;0, Sayfa2!$A$1,
 IF(COUNTIF(Sayfa2!$B$2:$B$8, "*"&amp;D1304&amp;"*")&gt;0, Sayfa2!$B$1,
 IF(COUNTIF(Sayfa2!$C$2:$C$8, "*"&amp;D1304&amp;"*")&gt;0, Sayfa2!$C$1,
 IF(COUNTIF(Sayfa2!$D$2:$D$8,"*"&amp;D1304&amp;"*")&gt;0, Sayfa2!$D$1,
 IF(COUNTIF(Sayfa2!$E$2:$E$8, "*"&amp;D1304&amp;"*")&gt;0, Sayfa2!$E$1, "Bulunamadı")))))</f>
        <v>CUMA</v>
      </c>
    </row>
    <row r="1305" spans="1:5" hidden="1" x14ac:dyDescent="0.25">
      <c r="A1305" t="s">
        <v>2985</v>
      </c>
      <c r="B1305" t="s">
        <v>1427</v>
      </c>
      <c r="C1305" t="s">
        <v>2984</v>
      </c>
      <c r="D1305" s="4" t="s">
        <v>3087</v>
      </c>
      <c r="E1305" t="str">
        <f>IF(COUNTIF(Sayfa2!$A$2:$A$8,"*"&amp;D1305&amp;"*")&gt;0, Sayfa2!$A$1,
 IF(COUNTIF(Sayfa2!$B$2:$B$8, "*"&amp;D1305&amp;"*")&gt;0, Sayfa2!$B$1,
 IF(COUNTIF(Sayfa2!$C$2:$C$8, "*"&amp;D1305&amp;"*")&gt;0, Sayfa2!$C$1,
 IF(COUNTIF(Sayfa2!$D$2:$D$8,"*"&amp;D1305&amp;"*")&gt;0, Sayfa2!$D$1,
 IF(COUNTIF(Sayfa2!$E$2:$E$8, "*"&amp;D1305&amp;"*")&gt;0, Sayfa2!$E$1, "Bulunamadı")))))</f>
        <v>CUMA</v>
      </c>
    </row>
    <row r="1306" spans="1:5" hidden="1" x14ac:dyDescent="0.25">
      <c r="A1306" t="s">
        <v>2986</v>
      </c>
      <c r="B1306" t="s">
        <v>1428</v>
      </c>
      <c r="C1306" t="s">
        <v>2984</v>
      </c>
      <c r="D1306" s="4" t="s">
        <v>3087</v>
      </c>
      <c r="E1306" t="str">
        <f>IF(COUNTIF(Sayfa2!$A$2:$A$8,"*"&amp;D1306&amp;"*")&gt;0, Sayfa2!$A$1,
 IF(COUNTIF(Sayfa2!$B$2:$B$8, "*"&amp;D1306&amp;"*")&gt;0, Sayfa2!$B$1,
 IF(COUNTIF(Sayfa2!$C$2:$C$8, "*"&amp;D1306&amp;"*")&gt;0, Sayfa2!$C$1,
 IF(COUNTIF(Sayfa2!$D$2:$D$8,"*"&amp;D1306&amp;"*")&gt;0, Sayfa2!$D$1,
 IF(COUNTIF(Sayfa2!$E$2:$E$8, "*"&amp;D1306&amp;"*")&gt;0, Sayfa2!$E$1, "Bulunamadı")))))</f>
        <v>CUMA</v>
      </c>
    </row>
    <row r="1307" spans="1:5" hidden="1" x14ac:dyDescent="0.25">
      <c r="A1307" t="s">
        <v>2987</v>
      </c>
      <c r="B1307" t="s">
        <v>1429</v>
      </c>
      <c r="C1307" t="s">
        <v>2984</v>
      </c>
      <c r="D1307" s="4" t="s">
        <v>3087</v>
      </c>
      <c r="E1307" t="str">
        <f>IF(COUNTIF(Sayfa2!$A$2:$A$8,"*"&amp;D1307&amp;"*")&gt;0, Sayfa2!$A$1,
 IF(COUNTIF(Sayfa2!$B$2:$B$8, "*"&amp;D1307&amp;"*")&gt;0, Sayfa2!$B$1,
 IF(COUNTIF(Sayfa2!$C$2:$C$8, "*"&amp;D1307&amp;"*")&gt;0, Sayfa2!$C$1,
 IF(COUNTIF(Sayfa2!$D$2:$D$8,"*"&amp;D1307&amp;"*")&gt;0, Sayfa2!$D$1,
 IF(COUNTIF(Sayfa2!$E$2:$E$8, "*"&amp;D1307&amp;"*")&gt;0, Sayfa2!$E$1, "Bulunamadı")))))</f>
        <v>CUMA</v>
      </c>
    </row>
    <row r="1308" spans="1:5" hidden="1" x14ac:dyDescent="0.25">
      <c r="A1308" t="s">
        <v>2988</v>
      </c>
      <c r="B1308" t="s">
        <v>1430</v>
      </c>
      <c r="C1308" t="s">
        <v>2984</v>
      </c>
      <c r="D1308" s="4" t="s">
        <v>3087</v>
      </c>
      <c r="E1308" t="str">
        <f>IF(COUNTIF(Sayfa2!$A$2:$A$8,"*"&amp;D1308&amp;"*")&gt;0, Sayfa2!$A$1,
 IF(COUNTIF(Sayfa2!$B$2:$B$8, "*"&amp;D1308&amp;"*")&gt;0, Sayfa2!$B$1,
 IF(COUNTIF(Sayfa2!$C$2:$C$8, "*"&amp;D1308&amp;"*")&gt;0, Sayfa2!$C$1,
 IF(COUNTIF(Sayfa2!$D$2:$D$8,"*"&amp;D1308&amp;"*")&gt;0, Sayfa2!$D$1,
 IF(COUNTIF(Sayfa2!$E$2:$E$8, "*"&amp;D1308&amp;"*")&gt;0, Sayfa2!$E$1, "Bulunamadı")))))</f>
        <v>CUMA</v>
      </c>
    </row>
    <row r="1309" spans="1:5" hidden="1" x14ac:dyDescent="0.25">
      <c r="A1309" t="s">
        <v>2989</v>
      </c>
      <c r="B1309" t="s">
        <v>1431</v>
      </c>
      <c r="C1309" t="s">
        <v>2984</v>
      </c>
      <c r="D1309" s="4" t="s">
        <v>3087</v>
      </c>
      <c r="E1309" t="str">
        <f>IF(COUNTIF(Sayfa2!$A$2:$A$8,"*"&amp;D1309&amp;"*")&gt;0, Sayfa2!$A$1,
 IF(COUNTIF(Sayfa2!$B$2:$B$8, "*"&amp;D1309&amp;"*")&gt;0, Sayfa2!$B$1,
 IF(COUNTIF(Sayfa2!$C$2:$C$8, "*"&amp;D1309&amp;"*")&gt;0, Sayfa2!$C$1,
 IF(COUNTIF(Sayfa2!$D$2:$D$8,"*"&amp;D1309&amp;"*")&gt;0, Sayfa2!$D$1,
 IF(COUNTIF(Sayfa2!$E$2:$E$8, "*"&amp;D1309&amp;"*")&gt;0, Sayfa2!$E$1, "Bulunamadı")))))</f>
        <v>CUMA</v>
      </c>
    </row>
    <row r="1310" spans="1:5" hidden="1" x14ac:dyDescent="0.25">
      <c r="A1310" t="s">
        <v>2990</v>
      </c>
      <c r="B1310" t="s">
        <v>1432</v>
      </c>
      <c r="C1310" t="s">
        <v>2984</v>
      </c>
      <c r="D1310" s="4" t="s">
        <v>3087</v>
      </c>
      <c r="E1310" t="str">
        <f>IF(COUNTIF(Sayfa2!$A$2:$A$8,"*"&amp;D1310&amp;"*")&gt;0, Sayfa2!$A$1,
 IF(COUNTIF(Sayfa2!$B$2:$B$8, "*"&amp;D1310&amp;"*")&gt;0, Sayfa2!$B$1,
 IF(COUNTIF(Sayfa2!$C$2:$C$8, "*"&amp;D1310&amp;"*")&gt;0, Sayfa2!$C$1,
 IF(COUNTIF(Sayfa2!$D$2:$D$8,"*"&amp;D1310&amp;"*")&gt;0, Sayfa2!$D$1,
 IF(COUNTIF(Sayfa2!$E$2:$E$8, "*"&amp;D1310&amp;"*")&gt;0, Sayfa2!$E$1, "Bulunamadı")))))</f>
        <v>CUMA</v>
      </c>
    </row>
    <row r="1311" spans="1:5" hidden="1" x14ac:dyDescent="0.25">
      <c r="A1311" t="s">
        <v>2991</v>
      </c>
      <c r="B1311" t="s">
        <v>1433</v>
      </c>
      <c r="C1311" t="s">
        <v>2984</v>
      </c>
      <c r="D1311" s="4" t="s">
        <v>3087</v>
      </c>
      <c r="E1311" t="str">
        <f>IF(COUNTIF(Sayfa2!$A$2:$A$8,"*"&amp;D1311&amp;"*")&gt;0, Sayfa2!$A$1,
 IF(COUNTIF(Sayfa2!$B$2:$B$8, "*"&amp;D1311&amp;"*")&gt;0, Sayfa2!$B$1,
 IF(COUNTIF(Sayfa2!$C$2:$C$8, "*"&amp;D1311&amp;"*")&gt;0, Sayfa2!$C$1,
 IF(COUNTIF(Sayfa2!$D$2:$D$8,"*"&amp;D1311&amp;"*")&gt;0, Sayfa2!$D$1,
 IF(COUNTIF(Sayfa2!$E$2:$E$8, "*"&amp;D1311&amp;"*")&gt;0, Sayfa2!$E$1, "Bulunamadı")))))</f>
        <v>CUMA</v>
      </c>
    </row>
    <row r="1312" spans="1:5" hidden="1" x14ac:dyDescent="0.25">
      <c r="A1312" t="s">
        <v>2992</v>
      </c>
      <c r="B1312" t="s">
        <v>1434</v>
      </c>
      <c r="C1312" t="s">
        <v>2984</v>
      </c>
      <c r="D1312" s="4" t="s">
        <v>3087</v>
      </c>
      <c r="E1312" t="str">
        <f>IF(COUNTIF(Sayfa2!$A$2:$A$8,"*"&amp;D1312&amp;"*")&gt;0, Sayfa2!$A$1,
 IF(COUNTIF(Sayfa2!$B$2:$B$8, "*"&amp;D1312&amp;"*")&gt;0, Sayfa2!$B$1,
 IF(COUNTIF(Sayfa2!$C$2:$C$8, "*"&amp;D1312&amp;"*")&gt;0, Sayfa2!$C$1,
 IF(COUNTIF(Sayfa2!$D$2:$D$8,"*"&amp;D1312&amp;"*")&gt;0, Sayfa2!$D$1,
 IF(COUNTIF(Sayfa2!$E$2:$E$8, "*"&amp;D1312&amp;"*")&gt;0, Sayfa2!$E$1, "Bulunamadı")))))</f>
        <v>CUMA</v>
      </c>
    </row>
    <row r="1313" spans="1:5" hidden="1" x14ac:dyDescent="0.25">
      <c r="A1313" t="s">
        <v>2993</v>
      </c>
      <c r="B1313" t="s">
        <v>1435</v>
      </c>
      <c r="C1313" t="s">
        <v>2984</v>
      </c>
      <c r="D1313" s="4" t="s">
        <v>3087</v>
      </c>
      <c r="E1313" t="str">
        <f>IF(COUNTIF(Sayfa2!$A$2:$A$8,"*"&amp;D1313&amp;"*")&gt;0, Sayfa2!$A$1,
 IF(COUNTIF(Sayfa2!$B$2:$B$8, "*"&amp;D1313&amp;"*")&gt;0, Sayfa2!$B$1,
 IF(COUNTIF(Sayfa2!$C$2:$C$8, "*"&amp;D1313&amp;"*")&gt;0, Sayfa2!$C$1,
 IF(COUNTIF(Sayfa2!$D$2:$D$8,"*"&amp;D1313&amp;"*")&gt;0, Sayfa2!$D$1,
 IF(COUNTIF(Sayfa2!$E$2:$E$8, "*"&amp;D1313&amp;"*")&gt;0, Sayfa2!$E$1, "Bulunamadı")))))</f>
        <v>CUMA</v>
      </c>
    </row>
    <row r="1314" spans="1:5" hidden="1" x14ac:dyDescent="0.25">
      <c r="A1314" t="s">
        <v>2994</v>
      </c>
      <c r="B1314" t="s">
        <v>1436</v>
      </c>
      <c r="C1314" t="s">
        <v>2984</v>
      </c>
      <c r="D1314" s="4" t="s">
        <v>3087</v>
      </c>
      <c r="E1314" t="str">
        <f>IF(COUNTIF(Sayfa2!$A$2:$A$8,"*"&amp;D1314&amp;"*")&gt;0, Sayfa2!$A$1,
 IF(COUNTIF(Sayfa2!$B$2:$B$8, "*"&amp;D1314&amp;"*")&gt;0, Sayfa2!$B$1,
 IF(COUNTIF(Sayfa2!$C$2:$C$8, "*"&amp;D1314&amp;"*")&gt;0, Sayfa2!$C$1,
 IF(COUNTIF(Sayfa2!$D$2:$D$8,"*"&amp;D1314&amp;"*")&gt;0, Sayfa2!$D$1,
 IF(COUNTIF(Sayfa2!$E$2:$E$8, "*"&amp;D1314&amp;"*")&gt;0, Sayfa2!$E$1, "Bulunamadı")))))</f>
        <v>CUMA</v>
      </c>
    </row>
    <row r="1315" spans="1:5" hidden="1" x14ac:dyDescent="0.25">
      <c r="A1315" t="s">
        <v>2995</v>
      </c>
      <c r="B1315" t="s">
        <v>1437</v>
      </c>
      <c r="C1315" t="s">
        <v>2984</v>
      </c>
      <c r="D1315" s="4" t="s">
        <v>3087</v>
      </c>
      <c r="E1315" t="str">
        <f>IF(COUNTIF(Sayfa2!$A$2:$A$8,"*"&amp;D1315&amp;"*")&gt;0, Sayfa2!$A$1,
 IF(COUNTIF(Sayfa2!$B$2:$B$8, "*"&amp;D1315&amp;"*")&gt;0, Sayfa2!$B$1,
 IF(COUNTIF(Sayfa2!$C$2:$C$8, "*"&amp;D1315&amp;"*")&gt;0, Sayfa2!$C$1,
 IF(COUNTIF(Sayfa2!$D$2:$D$8,"*"&amp;D1315&amp;"*")&gt;0, Sayfa2!$D$1,
 IF(COUNTIF(Sayfa2!$E$2:$E$8, "*"&amp;D1315&amp;"*")&gt;0, Sayfa2!$E$1, "Bulunamadı")))))</f>
        <v>CUMA</v>
      </c>
    </row>
    <row r="1316" spans="1:5" hidden="1" x14ac:dyDescent="0.25">
      <c r="A1316" t="s">
        <v>2996</v>
      </c>
      <c r="B1316" t="s">
        <v>1438</v>
      </c>
      <c r="C1316" t="s">
        <v>2984</v>
      </c>
      <c r="D1316" s="4" t="s">
        <v>3087</v>
      </c>
      <c r="E1316" t="str">
        <f>IF(COUNTIF(Sayfa2!$A$2:$A$8,"*"&amp;D1316&amp;"*")&gt;0, Sayfa2!$A$1,
 IF(COUNTIF(Sayfa2!$B$2:$B$8, "*"&amp;D1316&amp;"*")&gt;0, Sayfa2!$B$1,
 IF(COUNTIF(Sayfa2!$C$2:$C$8, "*"&amp;D1316&amp;"*")&gt;0, Sayfa2!$C$1,
 IF(COUNTIF(Sayfa2!$D$2:$D$8,"*"&amp;D1316&amp;"*")&gt;0, Sayfa2!$D$1,
 IF(COUNTIF(Sayfa2!$E$2:$E$8, "*"&amp;D1316&amp;"*")&gt;0, Sayfa2!$E$1, "Bulunamadı")))))</f>
        <v>CUMA</v>
      </c>
    </row>
    <row r="1317" spans="1:5" hidden="1" x14ac:dyDescent="0.25">
      <c r="A1317" t="s">
        <v>2997</v>
      </c>
      <c r="B1317" t="s">
        <v>1439</v>
      </c>
      <c r="C1317" t="s">
        <v>2984</v>
      </c>
      <c r="D1317" s="4" t="s">
        <v>3087</v>
      </c>
      <c r="E1317" t="str">
        <f>IF(COUNTIF(Sayfa2!$A$2:$A$8,"*"&amp;D1317&amp;"*")&gt;0, Sayfa2!$A$1,
 IF(COUNTIF(Sayfa2!$B$2:$B$8, "*"&amp;D1317&amp;"*")&gt;0, Sayfa2!$B$1,
 IF(COUNTIF(Sayfa2!$C$2:$C$8, "*"&amp;D1317&amp;"*")&gt;0, Sayfa2!$C$1,
 IF(COUNTIF(Sayfa2!$D$2:$D$8,"*"&amp;D1317&amp;"*")&gt;0, Sayfa2!$D$1,
 IF(COUNTIF(Sayfa2!$E$2:$E$8, "*"&amp;D1317&amp;"*")&gt;0, Sayfa2!$E$1, "Bulunamadı")))))</f>
        <v>CUMA</v>
      </c>
    </row>
    <row r="1318" spans="1:5" hidden="1" x14ac:dyDescent="0.25">
      <c r="A1318" t="s">
        <v>2998</v>
      </c>
      <c r="B1318" t="s">
        <v>1440</v>
      </c>
      <c r="C1318" t="s">
        <v>2984</v>
      </c>
      <c r="D1318" s="4" t="s">
        <v>3087</v>
      </c>
      <c r="E1318" t="str">
        <f>IF(COUNTIF(Sayfa2!$A$2:$A$8,"*"&amp;D1318&amp;"*")&gt;0, Sayfa2!$A$1,
 IF(COUNTIF(Sayfa2!$B$2:$B$8, "*"&amp;D1318&amp;"*")&gt;0, Sayfa2!$B$1,
 IF(COUNTIF(Sayfa2!$C$2:$C$8, "*"&amp;D1318&amp;"*")&gt;0, Sayfa2!$C$1,
 IF(COUNTIF(Sayfa2!$D$2:$D$8,"*"&amp;D1318&amp;"*")&gt;0, Sayfa2!$D$1,
 IF(COUNTIF(Sayfa2!$E$2:$E$8, "*"&amp;D1318&amp;"*")&gt;0, Sayfa2!$E$1, "Bulunamadı")))))</f>
        <v>CUMA</v>
      </c>
    </row>
    <row r="1319" spans="1:5" hidden="1" x14ac:dyDescent="0.25">
      <c r="A1319" t="s">
        <v>2999</v>
      </c>
      <c r="B1319" t="s">
        <v>1441</v>
      </c>
      <c r="C1319" t="s">
        <v>2984</v>
      </c>
      <c r="D1319" s="4" t="s">
        <v>3087</v>
      </c>
      <c r="E1319" t="str">
        <f>IF(COUNTIF(Sayfa2!$A$2:$A$8,"*"&amp;D1319&amp;"*")&gt;0, Sayfa2!$A$1,
 IF(COUNTIF(Sayfa2!$B$2:$B$8, "*"&amp;D1319&amp;"*")&gt;0, Sayfa2!$B$1,
 IF(COUNTIF(Sayfa2!$C$2:$C$8, "*"&amp;D1319&amp;"*")&gt;0, Sayfa2!$C$1,
 IF(COUNTIF(Sayfa2!$D$2:$D$8,"*"&amp;D1319&amp;"*")&gt;0, Sayfa2!$D$1,
 IF(COUNTIF(Sayfa2!$E$2:$E$8, "*"&amp;D1319&amp;"*")&gt;0, Sayfa2!$E$1, "Bulunamadı")))))</f>
        <v>CUMA</v>
      </c>
    </row>
    <row r="1320" spans="1:5" hidden="1" x14ac:dyDescent="0.25">
      <c r="A1320" t="s">
        <v>3000</v>
      </c>
      <c r="B1320" t="s">
        <v>1442</v>
      </c>
      <c r="C1320" t="s">
        <v>2984</v>
      </c>
      <c r="D1320" s="4" t="s">
        <v>3087</v>
      </c>
      <c r="E1320" t="str">
        <f>IF(COUNTIF(Sayfa2!$A$2:$A$8,"*"&amp;D1320&amp;"*")&gt;0, Sayfa2!$A$1,
 IF(COUNTIF(Sayfa2!$B$2:$B$8, "*"&amp;D1320&amp;"*")&gt;0, Sayfa2!$B$1,
 IF(COUNTIF(Sayfa2!$C$2:$C$8, "*"&amp;D1320&amp;"*")&gt;0, Sayfa2!$C$1,
 IF(COUNTIF(Sayfa2!$D$2:$D$8,"*"&amp;D1320&amp;"*")&gt;0, Sayfa2!$D$1,
 IF(COUNTIF(Sayfa2!$E$2:$E$8, "*"&amp;D1320&amp;"*")&gt;0, Sayfa2!$E$1, "Bulunamadı")))))</f>
        <v>CUMA</v>
      </c>
    </row>
    <row r="1321" spans="1:5" hidden="1" x14ac:dyDescent="0.25">
      <c r="A1321" t="s">
        <v>3001</v>
      </c>
      <c r="B1321" t="s">
        <v>1443</v>
      </c>
      <c r="C1321" t="s">
        <v>2984</v>
      </c>
      <c r="D1321" s="4" t="s">
        <v>3087</v>
      </c>
      <c r="E1321" t="str">
        <f>IF(COUNTIF(Sayfa2!$A$2:$A$8,"*"&amp;D1321&amp;"*")&gt;0, Sayfa2!$A$1,
 IF(COUNTIF(Sayfa2!$B$2:$B$8, "*"&amp;D1321&amp;"*")&gt;0, Sayfa2!$B$1,
 IF(COUNTIF(Sayfa2!$C$2:$C$8, "*"&amp;D1321&amp;"*")&gt;0, Sayfa2!$C$1,
 IF(COUNTIF(Sayfa2!$D$2:$D$8,"*"&amp;D1321&amp;"*")&gt;0, Sayfa2!$D$1,
 IF(COUNTIF(Sayfa2!$E$2:$E$8, "*"&amp;D1321&amp;"*")&gt;0, Sayfa2!$E$1, "Bulunamadı")))))</f>
        <v>CUMA</v>
      </c>
    </row>
    <row r="1322" spans="1:5" hidden="1" x14ac:dyDescent="0.25">
      <c r="A1322" t="s">
        <v>3002</v>
      </c>
      <c r="B1322" t="s">
        <v>1444</v>
      </c>
      <c r="C1322" t="s">
        <v>2984</v>
      </c>
      <c r="D1322" s="4" t="s">
        <v>3087</v>
      </c>
      <c r="E1322" t="str">
        <f>IF(COUNTIF(Sayfa2!$A$2:$A$8,"*"&amp;D1322&amp;"*")&gt;0, Sayfa2!$A$1,
 IF(COUNTIF(Sayfa2!$B$2:$B$8, "*"&amp;D1322&amp;"*")&gt;0, Sayfa2!$B$1,
 IF(COUNTIF(Sayfa2!$C$2:$C$8, "*"&amp;D1322&amp;"*")&gt;0, Sayfa2!$C$1,
 IF(COUNTIF(Sayfa2!$D$2:$D$8,"*"&amp;D1322&amp;"*")&gt;0, Sayfa2!$D$1,
 IF(COUNTIF(Sayfa2!$E$2:$E$8, "*"&amp;D1322&amp;"*")&gt;0, Sayfa2!$E$1, "Bulunamadı")))))</f>
        <v>CUMA</v>
      </c>
    </row>
    <row r="1323" spans="1:5" hidden="1" x14ac:dyDescent="0.25">
      <c r="A1323" t="s">
        <v>3003</v>
      </c>
      <c r="B1323" t="s">
        <v>1445</v>
      </c>
      <c r="C1323" t="s">
        <v>2984</v>
      </c>
      <c r="D1323" s="4" t="s">
        <v>3087</v>
      </c>
      <c r="E1323" t="str">
        <f>IF(COUNTIF(Sayfa2!$A$2:$A$8,"*"&amp;D1323&amp;"*")&gt;0, Sayfa2!$A$1,
 IF(COUNTIF(Sayfa2!$B$2:$B$8, "*"&amp;D1323&amp;"*")&gt;0, Sayfa2!$B$1,
 IF(COUNTIF(Sayfa2!$C$2:$C$8, "*"&amp;D1323&amp;"*")&gt;0, Sayfa2!$C$1,
 IF(COUNTIF(Sayfa2!$D$2:$D$8,"*"&amp;D1323&amp;"*")&gt;0, Sayfa2!$D$1,
 IF(COUNTIF(Sayfa2!$E$2:$E$8, "*"&amp;D1323&amp;"*")&gt;0, Sayfa2!$E$1, "Bulunamadı")))))</f>
        <v>CUMA</v>
      </c>
    </row>
    <row r="1324" spans="1:5" x14ac:dyDescent="0.25">
      <c r="A1324" t="s">
        <v>3004</v>
      </c>
      <c r="B1324" t="s">
        <v>1446</v>
      </c>
      <c r="C1324" t="s">
        <v>3005</v>
      </c>
      <c r="D1324" s="4" t="s">
        <v>3103</v>
      </c>
      <c r="E1324" t="str">
        <f>IF(COUNTIF(Sayfa2!$A$2:$A$8,"*"&amp;D1324&amp;"*")&gt;0, Sayfa2!$A$1,
 IF(COUNTIF(Sayfa2!$B$2:$B$8, "*"&amp;D1324&amp;"*")&gt;0, Sayfa2!$B$1,
 IF(COUNTIF(Sayfa2!$C$2:$C$8, "*"&amp;D1324&amp;"*")&gt;0, Sayfa2!$C$1,
 IF(COUNTIF(Sayfa2!$D$2:$D$8,"*"&amp;D1324&amp;"*")&gt;0, Sayfa2!$D$1,
 IF(COUNTIF(Sayfa2!$E$2:$E$8, "*"&amp;D1324&amp;"*")&gt;0, Sayfa2!$E$1, "Bulunamadı")))))</f>
        <v>Bulunamadı</v>
      </c>
    </row>
    <row r="1325" spans="1:5" hidden="1" x14ac:dyDescent="0.25">
      <c r="A1325" t="s">
        <v>3006</v>
      </c>
      <c r="B1325" t="s">
        <v>1448</v>
      </c>
      <c r="C1325" t="s">
        <v>2984</v>
      </c>
      <c r="D1325" s="4" t="s">
        <v>3087</v>
      </c>
      <c r="E1325" t="str">
        <f>IF(COUNTIF(Sayfa2!$A$2:$A$8,"*"&amp;D1325&amp;"*")&gt;0, Sayfa2!$A$1,
 IF(COUNTIF(Sayfa2!$B$2:$B$8, "*"&amp;D1325&amp;"*")&gt;0, Sayfa2!$B$1,
 IF(COUNTIF(Sayfa2!$C$2:$C$8, "*"&amp;D1325&amp;"*")&gt;0, Sayfa2!$C$1,
 IF(COUNTIF(Sayfa2!$D$2:$D$8,"*"&amp;D1325&amp;"*")&gt;0, Sayfa2!$D$1,
 IF(COUNTIF(Sayfa2!$E$2:$E$8, "*"&amp;D1325&amp;"*")&gt;0, Sayfa2!$E$1, "Bulunamadı")))))</f>
        <v>CUMA</v>
      </c>
    </row>
    <row r="1326" spans="1:5" hidden="1" x14ac:dyDescent="0.25">
      <c r="A1326" t="s">
        <v>3007</v>
      </c>
      <c r="B1326" t="s">
        <v>1449</v>
      </c>
      <c r="C1326" t="s">
        <v>2984</v>
      </c>
      <c r="D1326" s="4" t="s">
        <v>3087</v>
      </c>
      <c r="E1326" t="str">
        <f>IF(COUNTIF(Sayfa2!$A$2:$A$8,"*"&amp;D1326&amp;"*")&gt;0, Sayfa2!$A$1,
 IF(COUNTIF(Sayfa2!$B$2:$B$8, "*"&amp;D1326&amp;"*")&gt;0, Sayfa2!$B$1,
 IF(COUNTIF(Sayfa2!$C$2:$C$8, "*"&amp;D1326&amp;"*")&gt;0, Sayfa2!$C$1,
 IF(COUNTIF(Sayfa2!$D$2:$D$8,"*"&amp;D1326&amp;"*")&gt;0, Sayfa2!$D$1,
 IF(COUNTIF(Sayfa2!$E$2:$E$8, "*"&amp;D1326&amp;"*")&gt;0, Sayfa2!$E$1, "Bulunamadı")))))</f>
        <v>CUMA</v>
      </c>
    </row>
    <row r="1327" spans="1:5" hidden="1" x14ac:dyDescent="0.25">
      <c r="A1327" t="s">
        <v>3008</v>
      </c>
      <c r="B1327" t="s">
        <v>1450</v>
      </c>
      <c r="C1327" t="s">
        <v>2984</v>
      </c>
      <c r="D1327" s="4" t="s">
        <v>3087</v>
      </c>
      <c r="E1327" t="str">
        <f>IF(COUNTIF(Sayfa2!$A$2:$A$8,"*"&amp;D1327&amp;"*")&gt;0, Sayfa2!$A$1,
 IF(COUNTIF(Sayfa2!$B$2:$B$8, "*"&amp;D1327&amp;"*")&gt;0, Sayfa2!$B$1,
 IF(COUNTIF(Sayfa2!$C$2:$C$8, "*"&amp;D1327&amp;"*")&gt;0, Sayfa2!$C$1,
 IF(COUNTIF(Sayfa2!$D$2:$D$8,"*"&amp;D1327&amp;"*")&gt;0, Sayfa2!$D$1,
 IF(COUNTIF(Sayfa2!$E$2:$E$8, "*"&amp;D1327&amp;"*")&gt;0, Sayfa2!$E$1, "Bulunamadı")))))</f>
        <v>CUMA</v>
      </c>
    </row>
    <row r="1328" spans="1:5" hidden="1" x14ac:dyDescent="0.25">
      <c r="A1328" t="s">
        <v>3009</v>
      </c>
      <c r="B1328" t="s">
        <v>1451</v>
      </c>
      <c r="C1328" t="s">
        <v>2984</v>
      </c>
      <c r="D1328" s="4" t="s">
        <v>3087</v>
      </c>
      <c r="E1328" t="str">
        <f>IF(COUNTIF(Sayfa2!$A$2:$A$8,"*"&amp;D1328&amp;"*")&gt;0, Sayfa2!$A$1,
 IF(COUNTIF(Sayfa2!$B$2:$B$8, "*"&amp;D1328&amp;"*")&gt;0, Sayfa2!$B$1,
 IF(COUNTIF(Sayfa2!$C$2:$C$8, "*"&amp;D1328&amp;"*")&gt;0, Sayfa2!$C$1,
 IF(COUNTIF(Sayfa2!$D$2:$D$8,"*"&amp;D1328&amp;"*")&gt;0, Sayfa2!$D$1,
 IF(COUNTIF(Sayfa2!$E$2:$E$8, "*"&amp;D1328&amp;"*")&gt;0, Sayfa2!$E$1, "Bulunamadı")))))</f>
        <v>CUMA</v>
      </c>
    </row>
    <row r="1329" spans="1:5" hidden="1" x14ac:dyDescent="0.25">
      <c r="A1329" t="s">
        <v>3010</v>
      </c>
      <c r="B1329" t="s">
        <v>1452</v>
      </c>
      <c r="C1329" t="s">
        <v>2984</v>
      </c>
      <c r="D1329" s="4" t="s">
        <v>3087</v>
      </c>
      <c r="E1329" t="str">
        <f>IF(COUNTIF(Sayfa2!$A$2:$A$8,"*"&amp;D1329&amp;"*")&gt;0, Sayfa2!$A$1,
 IF(COUNTIF(Sayfa2!$B$2:$B$8, "*"&amp;D1329&amp;"*")&gt;0, Sayfa2!$B$1,
 IF(COUNTIF(Sayfa2!$C$2:$C$8, "*"&amp;D1329&amp;"*")&gt;0, Sayfa2!$C$1,
 IF(COUNTIF(Sayfa2!$D$2:$D$8,"*"&amp;D1329&amp;"*")&gt;0, Sayfa2!$D$1,
 IF(COUNTIF(Sayfa2!$E$2:$E$8, "*"&amp;D1329&amp;"*")&gt;0, Sayfa2!$E$1, "Bulunamadı")))))</f>
        <v>CUMA</v>
      </c>
    </row>
    <row r="1330" spans="1:5" hidden="1" x14ac:dyDescent="0.25">
      <c r="A1330" t="s">
        <v>3011</v>
      </c>
      <c r="B1330" t="s">
        <v>1453</v>
      </c>
      <c r="C1330" t="s">
        <v>2984</v>
      </c>
      <c r="D1330" s="4" t="s">
        <v>3087</v>
      </c>
      <c r="E1330" t="str">
        <f>IF(COUNTIF(Sayfa2!$A$2:$A$8,"*"&amp;D1330&amp;"*")&gt;0, Sayfa2!$A$1,
 IF(COUNTIF(Sayfa2!$B$2:$B$8, "*"&amp;D1330&amp;"*")&gt;0, Sayfa2!$B$1,
 IF(COUNTIF(Sayfa2!$C$2:$C$8, "*"&amp;D1330&amp;"*")&gt;0, Sayfa2!$C$1,
 IF(COUNTIF(Sayfa2!$D$2:$D$8,"*"&amp;D1330&amp;"*")&gt;0, Sayfa2!$D$1,
 IF(COUNTIF(Sayfa2!$E$2:$E$8, "*"&amp;D1330&amp;"*")&gt;0, Sayfa2!$E$1, "Bulunamadı")))))</f>
        <v>CUMA</v>
      </c>
    </row>
    <row r="1331" spans="1:5" hidden="1" x14ac:dyDescent="0.25">
      <c r="A1331" t="s">
        <v>3012</v>
      </c>
      <c r="B1331" t="s">
        <v>1454</v>
      </c>
      <c r="C1331" t="s">
        <v>2984</v>
      </c>
      <c r="D1331" s="4" t="s">
        <v>3087</v>
      </c>
      <c r="E1331" t="str">
        <f>IF(COUNTIF(Sayfa2!$A$2:$A$8,"*"&amp;D1331&amp;"*")&gt;0, Sayfa2!$A$1,
 IF(COUNTIF(Sayfa2!$B$2:$B$8, "*"&amp;D1331&amp;"*")&gt;0, Sayfa2!$B$1,
 IF(COUNTIF(Sayfa2!$C$2:$C$8, "*"&amp;D1331&amp;"*")&gt;0, Sayfa2!$C$1,
 IF(COUNTIF(Sayfa2!$D$2:$D$8,"*"&amp;D1331&amp;"*")&gt;0, Sayfa2!$D$1,
 IF(COUNTIF(Sayfa2!$E$2:$E$8, "*"&amp;D1331&amp;"*")&gt;0, Sayfa2!$E$1, "Bulunamadı")))))</f>
        <v>CUMA</v>
      </c>
    </row>
    <row r="1332" spans="1:5" hidden="1" x14ac:dyDescent="0.25">
      <c r="A1332" t="s">
        <v>3013</v>
      </c>
      <c r="B1332" t="s">
        <v>1455</v>
      </c>
      <c r="C1332" t="s">
        <v>3014</v>
      </c>
      <c r="D1332" s="4" t="s">
        <v>3088</v>
      </c>
      <c r="E1332" t="str">
        <f>IF(COUNTIF(Sayfa2!$A$2:$A$8,"*"&amp;D1332&amp;"*")&gt;0, Sayfa2!$A$1,
 IF(COUNTIF(Sayfa2!$B$2:$B$8, "*"&amp;D1332&amp;"*")&gt;0, Sayfa2!$B$1,
 IF(COUNTIF(Sayfa2!$C$2:$C$8, "*"&amp;D1332&amp;"*")&gt;0, Sayfa2!$C$1,
 IF(COUNTIF(Sayfa2!$D$2:$D$8,"*"&amp;D1332&amp;"*")&gt;0, Sayfa2!$D$1,
 IF(COUNTIF(Sayfa2!$E$2:$E$8, "*"&amp;D1332&amp;"*")&gt;0, Sayfa2!$E$1, "Bulunamadı")))))</f>
        <v>PAZARTESİ</v>
      </c>
    </row>
    <row r="1333" spans="1:5" hidden="1" x14ac:dyDescent="0.25">
      <c r="A1333" t="s">
        <v>3015</v>
      </c>
      <c r="B1333" t="s">
        <v>1456</v>
      </c>
      <c r="C1333" t="s">
        <v>3014</v>
      </c>
      <c r="D1333" s="4" t="s">
        <v>3088</v>
      </c>
      <c r="E1333" t="str">
        <f>IF(COUNTIF(Sayfa2!$A$2:$A$8,"*"&amp;D1333&amp;"*")&gt;0, Sayfa2!$A$1,
 IF(COUNTIF(Sayfa2!$B$2:$B$8, "*"&amp;D1333&amp;"*")&gt;0, Sayfa2!$B$1,
 IF(COUNTIF(Sayfa2!$C$2:$C$8, "*"&amp;D1333&amp;"*")&gt;0, Sayfa2!$C$1,
 IF(COUNTIF(Sayfa2!$D$2:$D$8,"*"&amp;D1333&amp;"*")&gt;0, Sayfa2!$D$1,
 IF(COUNTIF(Sayfa2!$E$2:$E$8, "*"&amp;D1333&amp;"*")&gt;0, Sayfa2!$E$1, "Bulunamadı")))))</f>
        <v>PAZARTESİ</v>
      </c>
    </row>
    <row r="1334" spans="1:5" hidden="1" x14ac:dyDescent="0.25">
      <c r="A1334" t="s">
        <v>3016</v>
      </c>
      <c r="B1334" t="s">
        <v>1457</v>
      </c>
      <c r="C1334" t="s">
        <v>3014</v>
      </c>
      <c r="D1334" s="4" t="s">
        <v>3088</v>
      </c>
      <c r="E1334" t="str">
        <f>IF(COUNTIF(Sayfa2!$A$2:$A$8,"*"&amp;D1334&amp;"*")&gt;0, Sayfa2!$A$1,
 IF(COUNTIF(Sayfa2!$B$2:$B$8, "*"&amp;D1334&amp;"*")&gt;0, Sayfa2!$B$1,
 IF(COUNTIF(Sayfa2!$C$2:$C$8, "*"&amp;D1334&amp;"*")&gt;0, Sayfa2!$C$1,
 IF(COUNTIF(Sayfa2!$D$2:$D$8,"*"&amp;D1334&amp;"*")&gt;0, Sayfa2!$D$1,
 IF(COUNTIF(Sayfa2!$E$2:$E$8, "*"&amp;D1334&amp;"*")&gt;0, Sayfa2!$E$1, "Bulunamadı")))))</f>
        <v>PAZARTESİ</v>
      </c>
    </row>
    <row r="1335" spans="1:5" hidden="1" x14ac:dyDescent="0.25">
      <c r="A1335" t="s">
        <v>3017</v>
      </c>
      <c r="B1335" t="s">
        <v>1458</v>
      </c>
      <c r="C1335" t="s">
        <v>3014</v>
      </c>
      <c r="D1335" s="4" t="s">
        <v>3088</v>
      </c>
      <c r="E1335" t="str">
        <f>IF(COUNTIF(Sayfa2!$A$2:$A$8,"*"&amp;D1335&amp;"*")&gt;0, Sayfa2!$A$1,
 IF(COUNTIF(Sayfa2!$B$2:$B$8, "*"&amp;D1335&amp;"*")&gt;0, Sayfa2!$B$1,
 IF(COUNTIF(Sayfa2!$C$2:$C$8, "*"&amp;D1335&amp;"*")&gt;0, Sayfa2!$C$1,
 IF(COUNTIF(Sayfa2!$D$2:$D$8,"*"&amp;D1335&amp;"*")&gt;0, Sayfa2!$D$1,
 IF(COUNTIF(Sayfa2!$E$2:$E$8, "*"&amp;D1335&amp;"*")&gt;0, Sayfa2!$E$1, "Bulunamadı")))))</f>
        <v>PAZARTESİ</v>
      </c>
    </row>
    <row r="1336" spans="1:5" hidden="1" x14ac:dyDescent="0.25">
      <c r="A1336" t="s">
        <v>3018</v>
      </c>
      <c r="B1336" t="s">
        <v>1459</v>
      </c>
      <c r="C1336" t="s">
        <v>3014</v>
      </c>
      <c r="D1336" s="4" t="s">
        <v>3088</v>
      </c>
      <c r="E1336" t="str">
        <f>IF(COUNTIF(Sayfa2!$A$2:$A$8,"*"&amp;D1336&amp;"*")&gt;0, Sayfa2!$A$1,
 IF(COUNTIF(Sayfa2!$B$2:$B$8, "*"&amp;D1336&amp;"*")&gt;0, Sayfa2!$B$1,
 IF(COUNTIF(Sayfa2!$C$2:$C$8, "*"&amp;D1336&amp;"*")&gt;0, Sayfa2!$C$1,
 IF(COUNTIF(Sayfa2!$D$2:$D$8,"*"&amp;D1336&amp;"*")&gt;0, Sayfa2!$D$1,
 IF(COUNTIF(Sayfa2!$E$2:$E$8, "*"&amp;D1336&amp;"*")&gt;0, Sayfa2!$E$1, "Bulunamadı")))))</f>
        <v>PAZARTESİ</v>
      </c>
    </row>
    <row r="1337" spans="1:5" hidden="1" x14ac:dyDescent="0.25">
      <c r="A1337" t="s">
        <v>3019</v>
      </c>
      <c r="B1337" t="s">
        <v>1460</v>
      </c>
      <c r="C1337" t="s">
        <v>3020</v>
      </c>
      <c r="D1337" s="4" t="s">
        <v>3088</v>
      </c>
      <c r="E1337" t="str">
        <f>IF(COUNTIF(Sayfa2!$A$2:$A$8,"*"&amp;D1337&amp;"*")&gt;0, Sayfa2!$A$1,
 IF(COUNTIF(Sayfa2!$B$2:$B$8, "*"&amp;D1337&amp;"*")&gt;0, Sayfa2!$B$1,
 IF(COUNTIF(Sayfa2!$C$2:$C$8, "*"&amp;D1337&amp;"*")&gt;0, Sayfa2!$C$1,
 IF(COUNTIF(Sayfa2!$D$2:$D$8,"*"&amp;D1337&amp;"*")&gt;0, Sayfa2!$D$1,
 IF(COUNTIF(Sayfa2!$E$2:$E$8, "*"&amp;D1337&amp;"*")&gt;0, Sayfa2!$E$1, "Bulunamadı")))))</f>
        <v>PAZARTESİ</v>
      </c>
    </row>
    <row r="1338" spans="1:5" hidden="1" x14ac:dyDescent="0.25">
      <c r="A1338" t="s">
        <v>3021</v>
      </c>
      <c r="B1338" t="s">
        <v>1461</v>
      </c>
      <c r="C1338" t="s">
        <v>3020</v>
      </c>
      <c r="D1338" s="4" t="s">
        <v>3088</v>
      </c>
      <c r="E1338" t="str">
        <f>IF(COUNTIF(Sayfa2!$A$2:$A$8,"*"&amp;D1338&amp;"*")&gt;0, Sayfa2!$A$1,
 IF(COUNTIF(Sayfa2!$B$2:$B$8, "*"&amp;D1338&amp;"*")&gt;0, Sayfa2!$B$1,
 IF(COUNTIF(Sayfa2!$C$2:$C$8, "*"&amp;D1338&amp;"*")&gt;0, Sayfa2!$C$1,
 IF(COUNTIF(Sayfa2!$D$2:$D$8,"*"&amp;D1338&amp;"*")&gt;0, Sayfa2!$D$1,
 IF(COUNTIF(Sayfa2!$E$2:$E$8, "*"&amp;D1338&amp;"*")&gt;0, Sayfa2!$E$1, "Bulunamadı")))))</f>
        <v>PAZARTESİ</v>
      </c>
    </row>
    <row r="1339" spans="1:5" hidden="1" x14ac:dyDescent="0.25">
      <c r="A1339" t="s">
        <v>2219</v>
      </c>
      <c r="B1339" t="s">
        <v>1462</v>
      </c>
      <c r="C1339" t="s">
        <v>3020</v>
      </c>
      <c r="D1339" s="4" t="s">
        <v>3088</v>
      </c>
      <c r="E1339" t="str">
        <f>IF(COUNTIF(Sayfa2!$A$2:$A$8,"*"&amp;D1339&amp;"*")&gt;0, Sayfa2!$A$1,
 IF(COUNTIF(Sayfa2!$B$2:$B$8, "*"&amp;D1339&amp;"*")&gt;0, Sayfa2!$B$1,
 IF(COUNTIF(Sayfa2!$C$2:$C$8, "*"&amp;D1339&amp;"*")&gt;0, Sayfa2!$C$1,
 IF(COUNTIF(Sayfa2!$D$2:$D$8,"*"&amp;D1339&amp;"*")&gt;0, Sayfa2!$D$1,
 IF(COUNTIF(Sayfa2!$E$2:$E$8, "*"&amp;D1339&amp;"*")&gt;0, Sayfa2!$E$1, "Bulunamadı")))))</f>
        <v>PAZARTESİ</v>
      </c>
    </row>
    <row r="1340" spans="1:5" hidden="1" x14ac:dyDescent="0.25">
      <c r="A1340" t="s">
        <v>3022</v>
      </c>
      <c r="B1340" t="s">
        <v>1463</v>
      </c>
      <c r="C1340" t="s">
        <v>3020</v>
      </c>
      <c r="D1340" s="4" t="s">
        <v>3088</v>
      </c>
      <c r="E1340" t="str">
        <f>IF(COUNTIF(Sayfa2!$A$2:$A$8,"*"&amp;D1340&amp;"*")&gt;0, Sayfa2!$A$1,
 IF(COUNTIF(Sayfa2!$B$2:$B$8, "*"&amp;D1340&amp;"*")&gt;0, Sayfa2!$B$1,
 IF(COUNTIF(Sayfa2!$C$2:$C$8, "*"&amp;D1340&amp;"*")&gt;0, Sayfa2!$C$1,
 IF(COUNTIF(Sayfa2!$D$2:$D$8,"*"&amp;D1340&amp;"*")&gt;0, Sayfa2!$D$1,
 IF(COUNTIF(Sayfa2!$E$2:$E$8, "*"&amp;D1340&amp;"*")&gt;0, Sayfa2!$E$1, "Bulunamadı")))))</f>
        <v>PAZARTESİ</v>
      </c>
    </row>
    <row r="1341" spans="1:5" hidden="1" x14ac:dyDescent="0.25">
      <c r="A1341" t="s">
        <v>3023</v>
      </c>
      <c r="B1341" t="s">
        <v>1464</v>
      </c>
      <c r="C1341" t="s">
        <v>3020</v>
      </c>
      <c r="D1341" s="4" t="s">
        <v>3088</v>
      </c>
      <c r="E1341" t="str">
        <f>IF(COUNTIF(Sayfa2!$A$2:$A$8,"*"&amp;D1341&amp;"*")&gt;0, Sayfa2!$A$1,
 IF(COUNTIF(Sayfa2!$B$2:$B$8, "*"&amp;D1341&amp;"*")&gt;0, Sayfa2!$B$1,
 IF(COUNTIF(Sayfa2!$C$2:$C$8, "*"&amp;D1341&amp;"*")&gt;0, Sayfa2!$C$1,
 IF(COUNTIF(Sayfa2!$D$2:$D$8,"*"&amp;D1341&amp;"*")&gt;0, Sayfa2!$D$1,
 IF(COUNTIF(Sayfa2!$E$2:$E$8, "*"&amp;D1341&amp;"*")&gt;0, Sayfa2!$E$1, "Bulunamadı")))))</f>
        <v>PAZARTESİ</v>
      </c>
    </row>
    <row r="1342" spans="1:5" hidden="1" x14ac:dyDescent="0.25">
      <c r="A1342" t="s">
        <v>3024</v>
      </c>
      <c r="B1342" t="s">
        <v>1465</v>
      </c>
      <c r="C1342" t="s">
        <v>3020</v>
      </c>
      <c r="D1342" s="4" t="s">
        <v>3088</v>
      </c>
      <c r="E1342" t="str">
        <f>IF(COUNTIF(Sayfa2!$A$2:$A$8,"*"&amp;D1342&amp;"*")&gt;0, Sayfa2!$A$1,
 IF(COUNTIF(Sayfa2!$B$2:$B$8, "*"&amp;D1342&amp;"*")&gt;0, Sayfa2!$B$1,
 IF(COUNTIF(Sayfa2!$C$2:$C$8, "*"&amp;D1342&amp;"*")&gt;0, Sayfa2!$C$1,
 IF(COUNTIF(Sayfa2!$D$2:$D$8,"*"&amp;D1342&amp;"*")&gt;0, Sayfa2!$D$1,
 IF(COUNTIF(Sayfa2!$E$2:$E$8, "*"&amp;D1342&amp;"*")&gt;0, Sayfa2!$E$1, "Bulunamadı")))))</f>
        <v>PAZARTESİ</v>
      </c>
    </row>
    <row r="1343" spans="1:5" hidden="1" x14ac:dyDescent="0.25">
      <c r="A1343" t="s">
        <v>3025</v>
      </c>
      <c r="B1343" t="s">
        <v>1466</v>
      </c>
      <c r="C1343" t="s">
        <v>3020</v>
      </c>
      <c r="D1343" s="4" t="s">
        <v>3088</v>
      </c>
      <c r="E1343" t="str">
        <f>IF(COUNTIF(Sayfa2!$A$2:$A$8,"*"&amp;D1343&amp;"*")&gt;0, Sayfa2!$A$1,
 IF(COUNTIF(Sayfa2!$B$2:$B$8, "*"&amp;D1343&amp;"*")&gt;0, Sayfa2!$B$1,
 IF(COUNTIF(Sayfa2!$C$2:$C$8, "*"&amp;D1343&amp;"*")&gt;0, Sayfa2!$C$1,
 IF(COUNTIF(Sayfa2!$D$2:$D$8,"*"&amp;D1343&amp;"*")&gt;0, Sayfa2!$D$1,
 IF(COUNTIF(Sayfa2!$E$2:$E$8, "*"&amp;D1343&amp;"*")&gt;0, Sayfa2!$E$1, "Bulunamadı")))))</f>
        <v>PAZARTESİ</v>
      </c>
    </row>
    <row r="1344" spans="1:5" hidden="1" x14ac:dyDescent="0.25">
      <c r="A1344" t="s">
        <v>3026</v>
      </c>
      <c r="B1344" t="s">
        <v>1467</v>
      </c>
      <c r="C1344" t="s">
        <v>3020</v>
      </c>
      <c r="D1344" s="4" t="s">
        <v>3088</v>
      </c>
      <c r="E1344" t="str">
        <f>IF(COUNTIF(Sayfa2!$A$2:$A$8,"*"&amp;D1344&amp;"*")&gt;0, Sayfa2!$A$1,
 IF(COUNTIF(Sayfa2!$B$2:$B$8, "*"&amp;D1344&amp;"*")&gt;0, Sayfa2!$B$1,
 IF(COUNTIF(Sayfa2!$C$2:$C$8, "*"&amp;D1344&amp;"*")&gt;0, Sayfa2!$C$1,
 IF(COUNTIF(Sayfa2!$D$2:$D$8,"*"&amp;D1344&amp;"*")&gt;0, Sayfa2!$D$1,
 IF(COUNTIF(Sayfa2!$E$2:$E$8, "*"&amp;D1344&amp;"*")&gt;0, Sayfa2!$E$1, "Bulunamadı")))))</f>
        <v>PAZARTESİ</v>
      </c>
    </row>
    <row r="1345" spans="1:5" hidden="1" x14ac:dyDescent="0.25">
      <c r="A1345" t="s">
        <v>3027</v>
      </c>
      <c r="B1345" t="s">
        <v>1468</v>
      </c>
      <c r="C1345" t="s">
        <v>3020</v>
      </c>
      <c r="D1345" s="4" t="s">
        <v>3088</v>
      </c>
      <c r="E1345" t="str">
        <f>IF(COUNTIF(Sayfa2!$A$2:$A$8,"*"&amp;D1345&amp;"*")&gt;0, Sayfa2!$A$1,
 IF(COUNTIF(Sayfa2!$B$2:$B$8, "*"&amp;D1345&amp;"*")&gt;0, Sayfa2!$B$1,
 IF(COUNTIF(Sayfa2!$C$2:$C$8, "*"&amp;D1345&amp;"*")&gt;0, Sayfa2!$C$1,
 IF(COUNTIF(Sayfa2!$D$2:$D$8,"*"&amp;D1345&amp;"*")&gt;0, Sayfa2!$D$1,
 IF(COUNTIF(Sayfa2!$E$2:$E$8, "*"&amp;D1345&amp;"*")&gt;0, Sayfa2!$E$1, "Bulunamadı")))))</f>
        <v>PAZARTESİ</v>
      </c>
    </row>
    <row r="1346" spans="1:5" hidden="1" x14ac:dyDescent="0.25">
      <c r="A1346" t="s">
        <v>3028</v>
      </c>
      <c r="B1346" t="s">
        <v>1469</v>
      </c>
      <c r="C1346" t="s">
        <v>3020</v>
      </c>
      <c r="D1346" s="4" t="s">
        <v>3088</v>
      </c>
      <c r="E1346" t="str">
        <f>IF(COUNTIF(Sayfa2!$A$2:$A$8,"*"&amp;D1346&amp;"*")&gt;0, Sayfa2!$A$1,
 IF(COUNTIF(Sayfa2!$B$2:$B$8, "*"&amp;D1346&amp;"*")&gt;0, Sayfa2!$B$1,
 IF(COUNTIF(Sayfa2!$C$2:$C$8, "*"&amp;D1346&amp;"*")&gt;0, Sayfa2!$C$1,
 IF(COUNTIF(Sayfa2!$D$2:$D$8,"*"&amp;D1346&amp;"*")&gt;0, Sayfa2!$D$1,
 IF(COUNTIF(Sayfa2!$E$2:$E$8, "*"&amp;D1346&amp;"*")&gt;0, Sayfa2!$E$1, "Bulunamadı")))))</f>
        <v>PAZARTESİ</v>
      </c>
    </row>
    <row r="1347" spans="1:5" hidden="1" x14ac:dyDescent="0.25">
      <c r="A1347" t="s">
        <v>3029</v>
      </c>
      <c r="B1347" t="s">
        <v>1470</v>
      </c>
      <c r="C1347" t="s">
        <v>3020</v>
      </c>
      <c r="D1347" s="4" t="s">
        <v>3088</v>
      </c>
      <c r="E1347" t="str">
        <f>IF(COUNTIF(Sayfa2!$A$2:$A$8,"*"&amp;D1347&amp;"*")&gt;0, Sayfa2!$A$1,
 IF(COUNTIF(Sayfa2!$B$2:$B$8, "*"&amp;D1347&amp;"*")&gt;0, Sayfa2!$B$1,
 IF(COUNTIF(Sayfa2!$C$2:$C$8, "*"&amp;D1347&amp;"*")&gt;0, Sayfa2!$C$1,
 IF(COUNTIF(Sayfa2!$D$2:$D$8,"*"&amp;D1347&amp;"*")&gt;0, Sayfa2!$D$1,
 IF(COUNTIF(Sayfa2!$E$2:$E$8, "*"&amp;D1347&amp;"*")&gt;0, Sayfa2!$E$1, "Bulunamadı")))))</f>
        <v>PAZARTESİ</v>
      </c>
    </row>
    <row r="1348" spans="1:5" hidden="1" x14ac:dyDescent="0.25">
      <c r="A1348" t="s">
        <v>3030</v>
      </c>
      <c r="B1348" t="s">
        <v>1471</v>
      </c>
      <c r="C1348" t="s">
        <v>3020</v>
      </c>
      <c r="D1348" s="4" t="s">
        <v>3088</v>
      </c>
      <c r="E1348" t="str">
        <f>IF(COUNTIF(Sayfa2!$A$2:$A$8,"*"&amp;D1348&amp;"*")&gt;0, Sayfa2!$A$1,
 IF(COUNTIF(Sayfa2!$B$2:$B$8, "*"&amp;D1348&amp;"*")&gt;0, Sayfa2!$B$1,
 IF(COUNTIF(Sayfa2!$C$2:$C$8, "*"&amp;D1348&amp;"*")&gt;0, Sayfa2!$C$1,
 IF(COUNTIF(Sayfa2!$D$2:$D$8,"*"&amp;D1348&amp;"*")&gt;0, Sayfa2!$D$1,
 IF(COUNTIF(Sayfa2!$E$2:$E$8, "*"&amp;D1348&amp;"*")&gt;0, Sayfa2!$E$1, "Bulunamadı")))))</f>
        <v>PAZARTESİ</v>
      </c>
    </row>
    <row r="1349" spans="1:5" hidden="1" x14ac:dyDescent="0.25">
      <c r="A1349" t="s">
        <v>3031</v>
      </c>
      <c r="B1349" t="s">
        <v>1472</v>
      </c>
      <c r="C1349" t="s">
        <v>3020</v>
      </c>
      <c r="D1349" s="4" t="s">
        <v>3088</v>
      </c>
      <c r="E1349" t="str">
        <f>IF(COUNTIF(Sayfa2!$A$2:$A$8,"*"&amp;D1349&amp;"*")&gt;0, Sayfa2!$A$1,
 IF(COUNTIF(Sayfa2!$B$2:$B$8, "*"&amp;D1349&amp;"*")&gt;0, Sayfa2!$B$1,
 IF(COUNTIF(Sayfa2!$C$2:$C$8, "*"&amp;D1349&amp;"*")&gt;0, Sayfa2!$C$1,
 IF(COUNTIF(Sayfa2!$D$2:$D$8,"*"&amp;D1349&amp;"*")&gt;0, Sayfa2!$D$1,
 IF(COUNTIF(Sayfa2!$E$2:$E$8, "*"&amp;D1349&amp;"*")&gt;0, Sayfa2!$E$1, "Bulunamadı")))))</f>
        <v>PAZARTESİ</v>
      </c>
    </row>
    <row r="1350" spans="1:5" hidden="1" x14ac:dyDescent="0.25">
      <c r="A1350" t="s">
        <v>3032</v>
      </c>
      <c r="B1350" t="s">
        <v>1473</v>
      </c>
      <c r="C1350" t="s">
        <v>3020</v>
      </c>
      <c r="D1350" s="4" t="s">
        <v>3088</v>
      </c>
      <c r="E1350" t="str">
        <f>IF(COUNTIF(Sayfa2!$A$2:$A$8,"*"&amp;D1350&amp;"*")&gt;0, Sayfa2!$A$1,
 IF(COUNTIF(Sayfa2!$B$2:$B$8, "*"&amp;D1350&amp;"*")&gt;0, Sayfa2!$B$1,
 IF(COUNTIF(Sayfa2!$C$2:$C$8, "*"&amp;D1350&amp;"*")&gt;0, Sayfa2!$C$1,
 IF(COUNTIF(Sayfa2!$D$2:$D$8,"*"&amp;D1350&amp;"*")&gt;0, Sayfa2!$D$1,
 IF(COUNTIF(Sayfa2!$E$2:$E$8, "*"&amp;D1350&amp;"*")&gt;0, Sayfa2!$E$1, "Bulunamadı")))))</f>
        <v>PAZARTESİ</v>
      </c>
    </row>
    <row r="1351" spans="1:5" hidden="1" x14ac:dyDescent="0.25">
      <c r="A1351" t="s">
        <v>3033</v>
      </c>
      <c r="B1351" t="s">
        <v>1474</v>
      </c>
      <c r="C1351" t="s">
        <v>3020</v>
      </c>
      <c r="D1351" s="4" t="s">
        <v>3088</v>
      </c>
      <c r="E1351" t="str">
        <f>IF(COUNTIF(Sayfa2!$A$2:$A$8,"*"&amp;D1351&amp;"*")&gt;0, Sayfa2!$A$1,
 IF(COUNTIF(Sayfa2!$B$2:$B$8, "*"&amp;D1351&amp;"*")&gt;0, Sayfa2!$B$1,
 IF(COUNTIF(Sayfa2!$C$2:$C$8, "*"&amp;D1351&amp;"*")&gt;0, Sayfa2!$C$1,
 IF(COUNTIF(Sayfa2!$D$2:$D$8,"*"&amp;D1351&amp;"*")&gt;0, Sayfa2!$D$1,
 IF(COUNTIF(Sayfa2!$E$2:$E$8, "*"&amp;D1351&amp;"*")&gt;0, Sayfa2!$E$1, "Bulunamadı")))))</f>
        <v>PAZARTESİ</v>
      </c>
    </row>
    <row r="1352" spans="1:5" hidden="1" x14ac:dyDescent="0.25">
      <c r="A1352" t="s">
        <v>3034</v>
      </c>
      <c r="B1352" t="s">
        <v>1475</v>
      </c>
      <c r="C1352" t="s">
        <v>3035</v>
      </c>
      <c r="D1352" s="4" t="s">
        <v>3087</v>
      </c>
      <c r="E1352" t="str">
        <f>IF(COUNTIF(Sayfa2!$A$2:$A$8,"*"&amp;D1352&amp;"*")&gt;0, Sayfa2!$A$1,
 IF(COUNTIF(Sayfa2!$B$2:$B$8, "*"&amp;D1352&amp;"*")&gt;0, Sayfa2!$B$1,
 IF(COUNTIF(Sayfa2!$C$2:$C$8, "*"&amp;D1352&amp;"*")&gt;0, Sayfa2!$C$1,
 IF(COUNTIF(Sayfa2!$D$2:$D$8,"*"&amp;D1352&amp;"*")&gt;0, Sayfa2!$D$1,
 IF(COUNTIF(Sayfa2!$E$2:$E$8, "*"&amp;D1352&amp;"*")&gt;0, Sayfa2!$E$1, "Bulunamadı")))))</f>
        <v>CUMA</v>
      </c>
    </row>
    <row r="1353" spans="1:5" hidden="1" x14ac:dyDescent="0.25">
      <c r="A1353" t="s">
        <v>3036</v>
      </c>
      <c r="B1353" t="s">
        <v>1476</v>
      </c>
      <c r="C1353" t="s">
        <v>3037</v>
      </c>
      <c r="D1353" s="4" t="s">
        <v>3088</v>
      </c>
      <c r="E1353" t="str">
        <f>IF(COUNTIF(Sayfa2!$A$2:$A$8,"*"&amp;D1353&amp;"*")&gt;0, Sayfa2!$A$1,
 IF(COUNTIF(Sayfa2!$B$2:$B$8, "*"&amp;D1353&amp;"*")&gt;0, Sayfa2!$B$1,
 IF(COUNTIF(Sayfa2!$C$2:$C$8, "*"&amp;D1353&amp;"*")&gt;0, Sayfa2!$C$1,
 IF(COUNTIF(Sayfa2!$D$2:$D$8,"*"&amp;D1353&amp;"*")&gt;0, Sayfa2!$D$1,
 IF(COUNTIF(Sayfa2!$E$2:$E$8, "*"&amp;D1353&amp;"*")&gt;0, Sayfa2!$E$1, "Bulunamadı")))))</f>
        <v>PAZARTESİ</v>
      </c>
    </row>
    <row r="1354" spans="1:5" hidden="1" x14ac:dyDescent="0.25">
      <c r="A1354" t="s">
        <v>3038</v>
      </c>
      <c r="B1354" t="s">
        <v>1478</v>
      </c>
      <c r="C1354" t="s">
        <v>3037</v>
      </c>
      <c r="D1354" s="4" t="s">
        <v>3088</v>
      </c>
      <c r="E1354" t="str">
        <f>IF(COUNTIF(Sayfa2!$A$2:$A$8,"*"&amp;D1354&amp;"*")&gt;0, Sayfa2!$A$1,
 IF(COUNTIF(Sayfa2!$B$2:$B$8, "*"&amp;D1354&amp;"*")&gt;0, Sayfa2!$B$1,
 IF(COUNTIF(Sayfa2!$C$2:$C$8, "*"&amp;D1354&amp;"*")&gt;0, Sayfa2!$C$1,
 IF(COUNTIF(Sayfa2!$D$2:$D$8,"*"&amp;D1354&amp;"*")&gt;0, Sayfa2!$D$1,
 IF(COUNTIF(Sayfa2!$E$2:$E$8, "*"&amp;D1354&amp;"*")&gt;0, Sayfa2!$E$1, "Bulunamadı")))))</f>
        <v>PAZARTESİ</v>
      </c>
    </row>
    <row r="1355" spans="1:5" hidden="1" x14ac:dyDescent="0.25">
      <c r="A1355" t="s">
        <v>3039</v>
      </c>
      <c r="B1355" t="s">
        <v>1479</v>
      </c>
      <c r="C1355" t="s">
        <v>3037</v>
      </c>
      <c r="D1355" s="4" t="s">
        <v>3088</v>
      </c>
      <c r="E1355" t="str">
        <f>IF(COUNTIF(Sayfa2!$A$2:$A$8,"*"&amp;D1355&amp;"*")&gt;0, Sayfa2!$A$1,
 IF(COUNTIF(Sayfa2!$B$2:$B$8, "*"&amp;D1355&amp;"*")&gt;0, Sayfa2!$B$1,
 IF(COUNTIF(Sayfa2!$C$2:$C$8, "*"&amp;D1355&amp;"*")&gt;0, Sayfa2!$C$1,
 IF(COUNTIF(Sayfa2!$D$2:$D$8,"*"&amp;D1355&amp;"*")&gt;0, Sayfa2!$D$1,
 IF(COUNTIF(Sayfa2!$E$2:$E$8, "*"&amp;D1355&amp;"*")&gt;0, Sayfa2!$E$1, "Bulunamadı")))))</f>
        <v>PAZARTESİ</v>
      </c>
    </row>
    <row r="1356" spans="1:5" hidden="1" x14ac:dyDescent="0.25">
      <c r="A1356" t="s">
        <v>3040</v>
      </c>
      <c r="B1356" t="s">
        <v>1480</v>
      </c>
      <c r="C1356" t="s">
        <v>3037</v>
      </c>
      <c r="D1356" s="4" t="s">
        <v>3088</v>
      </c>
      <c r="E1356" t="str">
        <f>IF(COUNTIF(Sayfa2!$A$2:$A$8,"*"&amp;D1356&amp;"*")&gt;0, Sayfa2!$A$1,
 IF(COUNTIF(Sayfa2!$B$2:$B$8, "*"&amp;D1356&amp;"*")&gt;0, Sayfa2!$B$1,
 IF(COUNTIF(Sayfa2!$C$2:$C$8, "*"&amp;D1356&amp;"*")&gt;0, Sayfa2!$C$1,
 IF(COUNTIF(Sayfa2!$D$2:$D$8,"*"&amp;D1356&amp;"*")&gt;0, Sayfa2!$D$1,
 IF(COUNTIF(Sayfa2!$E$2:$E$8, "*"&amp;D1356&amp;"*")&gt;0, Sayfa2!$E$1, "Bulunamadı")))))</f>
        <v>PAZARTESİ</v>
      </c>
    </row>
    <row r="1357" spans="1:5" hidden="1" x14ac:dyDescent="0.25">
      <c r="A1357" t="s">
        <v>3041</v>
      </c>
      <c r="B1357" t="s">
        <v>1481</v>
      </c>
      <c r="C1357" t="s">
        <v>3042</v>
      </c>
      <c r="D1357" s="4" t="s">
        <v>3088</v>
      </c>
      <c r="E1357" t="str">
        <f>IF(COUNTIF(Sayfa2!$A$2:$A$8,"*"&amp;D1357&amp;"*")&gt;0, Sayfa2!$A$1,
 IF(COUNTIF(Sayfa2!$B$2:$B$8, "*"&amp;D1357&amp;"*")&gt;0, Sayfa2!$B$1,
 IF(COUNTIF(Sayfa2!$C$2:$C$8, "*"&amp;D1357&amp;"*")&gt;0, Sayfa2!$C$1,
 IF(COUNTIF(Sayfa2!$D$2:$D$8,"*"&amp;D1357&amp;"*")&gt;0, Sayfa2!$D$1,
 IF(COUNTIF(Sayfa2!$E$2:$E$8, "*"&amp;D1357&amp;"*")&gt;0, Sayfa2!$E$1, "Bulunamadı")))))</f>
        <v>PAZARTESİ</v>
      </c>
    </row>
    <row r="1358" spans="1:5" hidden="1" x14ac:dyDescent="0.25">
      <c r="A1358" t="s">
        <v>3043</v>
      </c>
      <c r="B1358" t="s">
        <v>1483</v>
      </c>
      <c r="C1358" t="s">
        <v>3042</v>
      </c>
      <c r="D1358" s="4" t="s">
        <v>3088</v>
      </c>
      <c r="E1358" t="str">
        <f>IF(COUNTIF(Sayfa2!$A$2:$A$8,"*"&amp;D1358&amp;"*")&gt;0, Sayfa2!$A$1,
 IF(COUNTIF(Sayfa2!$B$2:$B$8, "*"&amp;D1358&amp;"*")&gt;0, Sayfa2!$B$1,
 IF(COUNTIF(Sayfa2!$C$2:$C$8, "*"&amp;D1358&amp;"*")&gt;0, Sayfa2!$C$1,
 IF(COUNTIF(Sayfa2!$D$2:$D$8,"*"&amp;D1358&amp;"*")&gt;0, Sayfa2!$D$1,
 IF(COUNTIF(Sayfa2!$E$2:$E$8, "*"&amp;D1358&amp;"*")&gt;0, Sayfa2!$E$1, "Bulunamadı")))))</f>
        <v>PAZARTESİ</v>
      </c>
    </row>
    <row r="1359" spans="1:5" hidden="1" x14ac:dyDescent="0.25">
      <c r="A1359" t="s">
        <v>3044</v>
      </c>
      <c r="B1359" t="s">
        <v>1484</v>
      </c>
      <c r="C1359" t="s">
        <v>3042</v>
      </c>
      <c r="D1359" s="4" t="s">
        <v>3088</v>
      </c>
      <c r="E1359" t="str">
        <f>IF(COUNTIF(Sayfa2!$A$2:$A$8,"*"&amp;D1359&amp;"*")&gt;0, Sayfa2!$A$1,
 IF(COUNTIF(Sayfa2!$B$2:$B$8, "*"&amp;D1359&amp;"*")&gt;0, Sayfa2!$B$1,
 IF(COUNTIF(Sayfa2!$C$2:$C$8, "*"&amp;D1359&amp;"*")&gt;0, Sayfa2!$C$1,
 IF(COUNTIF(Sayfa2!$D$2:$D$8,"*"&amp;D1359&amp;"*")&gt;0, Sayfa2!$D$1,
 IF(COUNTIF(Sayfa2!$E$2:$E$8, "*"&amp;D1359&amp;"*")&gt;0, Sayfa2!$E$1, "Bulunamadı")))))</f>
        <v>PAZARTESİ</v>
      </c>
    </row>
    <row r="1360" spans="1:5" hidden="1" x14ac:dyDescent="0.25">
      <c r="A1360" t="s">
        <v>3045</v>
      </c>
      <c r="B1360" t="s">
        <v>1485</v>
      </c>
      <c r="C1360" t="s">
        <v>3046</v>
      </c>
      <c r="D1360" s="4" t="s">
        <v>3086</v>
      </c>
      <c r="E1360" t="str">
        <f>IF(COUNTIF(Sayfa2!$A$2:$A$8,"*"&amp;D1360&amp;"*")&gt;0, Sayfa2!$A$1,
 IF(COUNTIF(Sayfa2!$B$2:$B$8, "*"&amp;D1360&amp;"*")&gt;0, Sayfa2!$B$1,
 IF(COUNTIF(Sayfa2!$C$2:$C$8, "*"&amp;D1360&amp;"*")&gt;0, Sayfa2!$C$1,
 IF(COUNTIF(Sayfa2!$D$2:$D$8,"*"&amp;D1360&amp;"*")&gt;0, Sayfa2!$D$1,
 IF(COUNTIF(Sayfa2!$E$2:$E$8, "*"&amp;D1360&amp;"*")&gt;0, Sayfa2!$E$1, "Bulunamadı")))))</f>
        <v>PERŞEMBE</v>
      </c>
    </row>
    <row r="1361" spans="1:5" hidden="1" x14ac:dyDescent="0.25">
      <c r="A1361" t="s">
        <v>3047</v>
      </c>
      <c r="B1361" t="s">
        <v>1487</v>
      </c>
      <c r="C1361" t="s">
        <v>3046</v>
      </c>
      <c r="D1361" s="4" t="s">
        <v>3086</v>
      </c>
      <c r="E1361" t="str">
        <f>IF(COUNTIF(Sayfa2!$A$2:$A$8,"*"&amp;D1361&amp;"*")&gt;0, Sayfa2!$A$1,
 IF(COUNTIF(Sayfa2!$B$2:$B$8, "*"&amp;D1361&amp;"*")&gt;0, Sayfa2!$B$1,
 IF(COUNTIF(Sayfa2!$C$2:$C$8, "*"&amp;D1361&amp;"*")&gt;0, Sayfa2!$C$1,
 IF(COUNTIF(Sayfa2!$D$2:$D$8,"*"&amp;D1361&amp;"*")&gt;0, Sayfa2!$D$1,
 IF(COUNTIF(Sayfa2!$E$2:$E$8, "*"&amp;D1361&amp;"*")&gt;0, Sayfa2!$E$1, "Bulunamadı")))))</f>
        <v>PERŞEMBE</v>
      </c>
    </row>
    <row r="1362" spans="1:5" hidden="1" x14ac:dyDescent="0.25">
      <c r="A1362" t="s">
        <v>3048</v>
      </c>
      <c r="B1362" t="s">
        <v>1488</v>
      </c>
      <c r="C1362" t="s">
        <v>3046</v>
      </c>
      <c r="D1362" s="4" t="s">
        <v>3086</v>
      </c>
      <c r="E1362" t="str">
        <f>IF(COUNTIF(Sayfa2!$A$2:$A$8,"*"&amp;D1362&amp;"*")&gt;0, Sayfa2!$A$1,
 IF(COUNTIF(Sayfa2!$B$2:$B$8, "*"&amp;D1362&amp;"*")&gt;0, Sayfa2!$B$1,
 IF(COUNTIF(Sayfa2!$C$2:$C$8, "*"&amp;D1362&amp;"*")&gt;0, Sayfa2!$C$1,
 IF(COUNTIF(Sayfa2!$D$2:$D$8,"*"&amp;D1362&amp;"*")&gt;0, Sayfa2!$D$1,
 IF(COUNTIF(Sayfa2!$E$2:$E$8, "*"&amp;D1362&amp;"*")&gt;0, Sayfa2!$E$1, "Bulunamadı")))))</f>
        <v>PERŞEMBE</v>
      </c>
    </row>
    <row r="1363" spans="1:5" hidden="1" x14ac:dyDescent="0.25">
      <c r="A1363" t="s">
        <v>3049</v>
      </c>
      <c r="B1363" t="s">
        <v>1489</v>
      </c>
      <c r="C1363" t="s">
        <v>3046</v>
      </c>
      <c r="D1363" s="4" t="s">
        <v>3086</v>
      </c>
      <c r="E1363" t="str">
        <f>IF(COUNTIF(Sayfa2!$A$2:$A$8,"*"&amp;D1363&amp;"*")&gt;0, Sayfa2!$A$1,
 IF(COUNTIF(Sayfa2!$B$2:$B$8, "*"&amp;D1363&amp;"*")&gt;0, Sayfa2!$B$1,
 IF(COUNTIF(Sayfa2!$C$2:$C$8, "*"&amp;D1363&amp;"*")&gt;0, Sayfa2!$C$1,
 IF(COUNTIF(Sayfa2!$D$2:$D$8,"*"&amp;D1363&amp;"*")&gt;0, Sayfa2!$D$1,
 IF(COUNTIF(Sayfa2!$E$2:$E$8, "*"&amp;D1363&amp;"*")&gt;0, Sayfa2!$E$1, "Bulunamadı")))))</f>
        <v>PERŞEMBE</v>
      </c>
    </row>
  </sheetData>
  <autoFilter ref="A1:E1363" xr:uid="{3C542125-916B-4258-AEEE-C400E400E907}">
    <filterColumn colId="4">
      <filters>
        <filter val="Bulunamadı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9FAD-DF78-4D2D-9A42-67CD9356EEB3}">
  <dimension ref="A1:E8"/>
  <sheetViews>
    <sheetView workbookViewId="0">
      <selection activeCell="C9" sqref="C9"/>
    </sheetView>
  </sheetViews>
  <sheetFormatPr defaultRowHeight="15" x14ac:dyDescent="0.25"/>
  <cols>
    <col min="1" max="1" width="10.140625" bestFit="1" customWidth="1"/>
    <col min="2" max="2" width="4.5703125" bestFit="1" customWidth="1"/>
    <col min="3" max="3" width="10.42578125" bestFit="1" customWidth="1"/>
    <col min="4" max="4" width="10" bestFit="1" customWidth="1"/>
    <col min="5" max="5" width="6.140625" bestFit="1" customWidth="1"/>
  </cols>
  <sheetData>
    <row r="1" spans="1:5" x14ac:dyDescent="0.25">
      <c r="A1" s="4" t="s">
        <v>3053</v>
      </c>
      <c r="B1" s="4" t="s">
        <v>3054</v>
      </c>
      <c r="C1" s="4" t="s">
        <v>3055</v>
      </c>
      <c r="D1" s="4" t="s">
        <v>3056</v>
      </c>
      <c r="E1" s="4" t="s">
        <v>3057</v>
      </c>
    </row>
    <row r="2" spans="1:5" x14ac:dyDescent="0.25">
      <c r="A2" s="4" t="s">
        <v>3105</v>
      </c>
      <c r="B2" s="4" t="s">
        <v>3106</v>
      </c>
      <c r="C2" s="4" t="s">
        <v>3107</v>
      </c>
      <c r="D2" s="4" t="s">
        <v>3108</v>
      </c>
      <c r="E2" s="4" t="s">
        <v>3062</v>
      </c>
    </row>
    <row r="3" spans="1:5" x14ac:dyDescent="0.25">
      <c r="A3" s="4" t="s">
        <v>3063</v>
      </c>
      <c r="B3" s="4" t="s">
        <v>3064</v>
      </c>
      <c r="C3" s="4" t="s">
        <v>3065</v>
      </c>
      <c r="D3" s="4" t="s">
        <v>3066</v>
      </c>
      <c r="E3" s="4" t="s">
        <v>3067</v>
      </c>
    </row>
    <row r="4" spans="1:5" x14ac:dyDescent="0.25">
      <c r="A4" s="4" t="s">
        <v>3068</v>
      </c>
      <c r="B4" s="4" t="s">
        <v>3069</v>
      </c>
      <c r="C4" s="4" t="s">
        <v>3070</v>
      </c>
      <c r="D4" s="4" t="s">
        <v>3071</v>
      </c>
      <c r="E4" s="4" t="s">
        <v>3072</v>
      </c>
    </row>
    <row r="5" spans="1:5" x14ac:dyDescent="0.25">
      <c r="A5" s="4" t="s">
        <v>3073</v>
      </c>
      <c r="B5" s="4" t="s">
        <v>3074</v>
      </c>
      <c r="C5" s="4" t="s">
        <v>3075</v>
      </c>
      <c r="D5" s="4" t="s">
        <v>3076</v>
      </c>
      <c r="E5" s="4" t="s">
        <v>3077</v>
      </c>
    </row>
    <row r="6" spans="1:5" x14ac:dyDescent="0.25">
      <c r="A6" s="4" t="s">
        <v>3078</v>
      </c>
      <c r="B6" s="4" t="s">
        <v>3079</v>
      </c>
      <c r="C6" s="4" t="s">
        <v>3080</v>
      </c>
      <c r="D6" s="4" t="s">
        <v>3081</v>
      </c>
      <c r="E6" s="4" t="s">
        <v>3082</v>
      </c>
    </row>
    <row r="7" spans="1:5" x14ac:dyDescent="0.25">
      <c r="A7" s="4" t="s">
        <v>3083</v>
      </c>
      <c r="B7" s="4" t="s">
        <v>3084</v>
      </c>
      <c r="C7" s="4" t="s">
        <v>3085</v>
      </c>
      <c r="D7" s="4" t="s">
        <v>3086</v>
      </c>
      <c r="E7" s="4" t="s">
        <v>3087</v>
      </c>
    </row>
    <row r="8" spans="1:5" x14ac:dyDescent="0.25">
      <c r="A8" s="4" t="s">
        <v>3088</v>
      </c>
      <c r="B8" s="4" t="s">
        <v>3089</v>
      </c>
      <c r="C8" s="4" t="s">
        <v>3110</v>
      </c>
      <c r="D8" s="4"/>
      <c r="E8" s="4" t="s">
        <v>3109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RadGridExport - 2026-09-18T0901</vt:lpstr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IDARE_03</dc:creator>
  <cp:lastModifiedBy>RFK URN</cp:lastModifiedBy>
  <dcterms:created xsi:type="dcterms:W3CDTF">2026-09-18T06:02:39Z</dcterms:created>
  <dcterms:modified xsi:type="dcterms:W3CDTF">2026-09-18T07:18:27Z</dcterms:modified>
</cp:coreProperties>
</file>